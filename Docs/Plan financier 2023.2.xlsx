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pfc-my.sharepoint.com/personal/luvanhecke_epfc_eu/Documents/EPFC - Cours/Ressources par matière/Plan Financier/"/>
    </mc:Choice>
  </mc:AlternateContent>
  <xr:revisionPtr revIDLastSave="120" documentId="13_ncr:1_{5B774790-43C0-4F7B-A5D4-961EA29290BE}" xr6:coauthVersionLast="47" xr6:coauthVersionMax="47" xr10:uidLastSave="{22B0A3A2-17E5-4AE0-9045-819474B86E3F}"/>
  <workbookProtection lockStructure="1"/>
  <bookViews>
    <workbookView xWindow="-120" yWindow="-120" windowWidth="29040" windowHeight="15720" tabRatio="827" activeTab="3" xr2:uid="{00000000-000D-0000-FFFF-FFFF00000000}"/>
  </bookViews>
  <sheets>
    <sheet name="Affectation" sheetId="22" r:id="rId1"/>
    <sheet name="Bilan" sheetId="8" r:id="rId2"/>
    <sheet name="Résultat" sheetId="21" r:id="rId3"/>
    <sheet name="Ventes " sheetId="2" r:id="rId4"/>
    <sheet name="Investissements" sheetId="3" r:id="rId5"/>
    <sheet name="Personnel" sheetId="7" r:id="rId6"/>
    <sheet name="Trésorerie AN 1" sheetId="4" r:id="rId7"/>
    <sheet name="Trésorerie AN 2" sheetId="29" r:id="rId8"/>
    <sheet name="Trésorerie AN 3" sheetId="31" r:id="rId9"/>
    <sheet name="Données emprunt" sheetId="6" r:id="rId10"/>
    <sheet name="Amortissement crédit" sheetId="23" r:id="rId11"/>
    <sheet name="Amortissement leasing" sheetId="28" r:id="rId12"/>
  </sheets>
  <definedNames>
    <definedName name="_xlnm.Print_Area" localSheetId="0">Affectation!$B$2:$E$41</definedName>
    <definedName name="_xlnm.Print_Area" localSheetId="10">'Amortissement crédit'!$A$1:$I$58</definedName>
    <definedName name="_xlnm.Print_Area" localSheetId="11">'Amortissement leasing'!$A$1:$I$58</definedName>
    <definedName name="_xlnm.Print_Area" localSheetId="1">Bilan!$B$1:$E$42</definedName>
    <definedName name="_xlnm.Print_Area" localSheetId="9">'Données emprunt'!$A$1:$G$30</definedName>
    <definedName name="_xlnm.Print_Area" localSheetId="4">Investissements!$B$1:$V$33</definedName>
    <definedName name="_xlnm.Print_Area" localSheetId="5">Personnel!$B$1:$Q$42</definedName>
    <definedName name="_xlnm.Print_Area" localSheetId="2">Résultat!$A$1:$F$56</definedName>
    <definedName name="_xlnm.Print_Area" localSheetId="6">'Trésorerie AN 1'!$B$3:$T$44</definedName>
    <definedName name="_xlnm.Print_Area" localSheetId="7">'Trésorerie AN 2'!$B$3:$U$45</definedName>
    <definedName name="_xlnm.Print_Area" localSheetId="8">'Trésorerie AN 3'!$B$3:$T$45</definedName>
    <definedName name="_xlnm.Print_Area" localSheetId="3">'Ventes '!$B$3:$X$62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7" l="1"/>
  <c r="R36" i="31" s="1"/>
  <c r="N41" i="7"/>
  <c r="Q36" i="31" s="1"/>
  <c r="Q75" i="31" s="1"/>
  <c r="M41" i="7"/>
  <c r="P36" i="31" s="1"/>
  <c r="P75" i="31" s="1"/>
  <c r="L41" i="7"/>
  <c r="O36" i="31" s="1"/>
  <c r="O75" i="31" s="1"/>
  <c r="K41" i="7"/>
  <c r="N36" i="31" s="1"/>
  <c r="J41" i="7"/>
  <c r="M36" i="31" s="1"/>
  <c r="M75" i="31" s="1"/>
  <c r="I41" i="7"/>
  <c r="L36" i="31" s="1"/>
  <c r="H41" i="7"/>
  <c r="K36" i="31" s="1"/>
  <c r="K75" i="31" s="1"/>
  <c r="G41" i="7"/>
  <c r="J36" i="31" s="1"/>
  <c r="J75" i="31" s="1"/>
  <c r="F41" i="7"/>
  <c r="I36" i="31" s="1"/>
  <c r="I75" i="31" s="1"/>
  <c r="E41" i="7"/>
  <c r="H36" i="31" s="1"/>
  <c r="D41" i="7"/>
  <c r="P40" i="7"/>
  <c r="P39" i="7"/>
  <c r="P38" i="7"/>
  <c r="P37" i="7"/>
  <c r="P36" i="7"/>
  <c r="P35" i="7"/>
  <c r="P34" i="7"/>
  <c r="P33" i="7"/>
  <c r="P32" i="7"/>
  <c r="O27" i="7"/>
  <c r="R36" i="29" s="1"/>
  <c r="R75" i="29" s="1"/>
  <c r="N27" i="7"/>
  <c r="Q36" i="29" s="1"/>
  <c r="Q75" i="29" s="1"/>
  <c r="M27" i="7"/>
  <c r="P36" i="29" s="1"/>
  <c r="P75" i="29" s="1"/>
  <c r="L27" i="7"/>
  <c r="O36" i="29" s="1"/>
  <c r="O75" i="29" s="1"/>
  <c r="K27" i="7"/>
  <c r="N36" i="29" s="1"/>
  <c r="J27" i="7"/>
  <c r="M36" i="29" s="1"/>
  <c r="M75" i="29" s="1"/>
  <c r="I27" i="7"/>
  <c r="L36" i="29" s="1"/>
  <c r="L75" i="29" s="1"/>
  <c r="H27" i="7"/>
  <c r="K36" i="29" s="1"/>
  <c r="G27" i="7"/>
  <c r="J36" i="29" s="1"/>
  <c r="F27" i="7"/>
  <c r="I36" i="29" s="1"/>
  <c r="I75" i="29" s="1"/>
  <c r="E27" i="7"/>
  <c r="H36" i="29" s="1"/>
  <c r="D27" i="7"/>
  <c r="G36" i="29" s="1"/>
  <c r="P26" i="7"/>
  <c r="P25" i="7"/>
  <c r="P24" i="7"/>
  <c r="P23" i="7"/>
  <c r="P22" i="7"/>
  <c r="P21" i="7"/>
  <c r="P20" i="7"/>
  <c r="P19" i="7"/>
  <c r="P18" i="7"/>
  <c r="O13" i="7"/>
  <c r="Q36" i="4" s="1"/>
  <c r="Q75" i="4" s="1"/>
  <c r="E13" i="7"/>
  <c r="G36" i="4" s="1"/>
  <c r="G75" i="4" s="1"/>
  <c r="F13" i="7"/>
  <c r="H36" i="4" s="1"/>
  <c r="G13" i="7"/>
  <c r="I36" i="4" s="1"/>
  <c r="I75" i="4" s="1"/>
  <c r="H13" i="7"/>
  <c r="J36" i="4" s="1"/>
  <c r="I13" i="7"/>
  <c r="K36" i="4" s="1"/>
  <c r="K75" i="4" s="1"/>
  <c r="J13" i="7"/>
  <c r="L36" i="4" s="1"/>
  <c r="L75" i="4" s="1"/>
  <c r="K13" i="7"/>
  <c r="M36" i="4" s="1"/>
  <c r="L13" i="7"/>
  <c r="N36" i="4" s="1"/>
  <c r="N75" i="4" s="1"/>
  <c r="M13" i="7"/>
  <c r="O36" i="4" s="1"/>
  <c r="O75" i="4" s="1"/>
  <c r="N13" i="7"/>
  <c r="P36" i="4" s="1"/>
  <c r="D13" i="7"/>
  <c r="F36" i="4" s="1"/>
  <c r="P5" i="7"/>
  <c r="P6" i="7"/>
  <c r="P7" i="7"/>
  <c r="P8" i="7"/>
  <c r="P9" i="7"/>
  <c r="P10" i="7"/>
  <c r="P11" i="7"/>
  <c r="P12" i="7"/>
  <c r="P4" i="7"/>
  <c r="M9" i="2"/>
  <c r="S19" i="4"/>
  <c r="G29" i="29"/>
  <c r="U5" i="3"/>
  <c r="C24" i="3" s="1"/>
  <c r="S5" i="3"/>
  <c r="C22" i="3" s="1"/>
  <c r="Q5" i="3"/>
  <c r="C20" i="3" s="1"/>
  <c r="O5" i="3"/>
  <c r="C19" i="3" s="1"/>
  <c r="E32" i="2"/>
  <c r="E52" i="2"/>
  <c r="E33" i="2"/>
  <c r="E53" i="2"/>
  <c r="E34" i="2"/>
  <c r="E54" i="2" s="1"/>
  <c r="F54" i="2" s="1"/>
  <c r="E35" i="2"/>
  <c r="E36" i="2"/>
  <c r="E37" i="2"/>
  <c r="E57" i="2"/>
  <c r="E24" i="2"/>
  <c r="E44" i="2"/>
  <c r="E27" i="2"/>
  <c r="E47" i="2"/>
  <c r="E28" i="2"/>
  <c r="E29" i="2"/>
  <c r="E49" i="2"/>
  <c r="E30" i="2"/>
  <c r="E31" i="2"/>
  <c r="E51" i="2"/>
  <c r="E26" i="2"/>
  <c r="E46" i="2" s="1"/>
  <c r="F46" i="2" s="1"/>
  <c r="F7" i="2"/>
  <c r="H7" i="2"/>
  <c r="F8" i="2"/>
  <c r="F9" i="2"/>
  <c r="H9" i="2"/>
  <c r="F10" i="2"/>
  <c r="H10" i="2"/>
  <c r="F11" i="2"/>
  <c r="H11" i="2"/>
  <c r="F12" i="2"/>
  <c r="H12" i="2"/>
  <c r="F13" i="2"/>
  <c r="H13" i="2"/>
  <c r="F14" i="2"/>
  <c r="H14" i="2" s="1"/>
  <c r="F15" i="2"/>
  <c r="H15" i="2"/>
  <c r="F16" i="2"/>
  <c r="H16" i="2"/>
  <c r="F17" i="2"/>
  <c r="H17" i="2"/>
  <c r="F6" i="2"/>
  <c r="K14" i="2"/>
  <c r="L6" i="2"/>
  <c r="L21" i="2" s="1"/>
  <c r="F17" i="4" s="1"/>
  <c r="C26" i="2"/>
  <c r="C46" i="2" s="1"/>
  <c r="C27" i="2"/>
  <c r="C47" i="2"/>
  <c r="B26" i="2"/>
  <c r="B46" i="2"/>
  <c r="B27" i="2"/>
  <c r="B47" i="2"/>
  <c r="D11" i="31"/>
  <c r="D9" i="29"/>
  <c r="D10" i="29"/>
  <c r="D10" i="31"/>
  <c r="U10" i="31" s="1"/>
  <c r="F7" i="21" s="1"/>
  <c r="D19" i="29"/>
  <c r="D20" i="29"/>
  <c r="M59" i="29"/>
  <c r="D21" i="29"/>
  <c r="D22" i="29"/>
  <c r="D23" i="29"/>
  <c r="D24" i="29"/>
  <c r="D24" i="31"/>
  <c r="D25" i="29"/>
  <c r="D30" i="29"/>
  <c r="D30" i="31"/>
  <c r="D31" i="29"/>
  <c r="D32" i="29"/>
  <c r="D33" i="29"/>
  <c r="D33" i="31"/>
  <c r="D34" i="29"/>
  <c r="D34" i="31"/>
  <c r="D35" i="29"/>
  <c r="D35" i="31"/>
  <c r="D18" i="29"/>
  <c r="D8" i="29"/>
  <c r="D8" i="31"/>
  <c r="H66" i="29"/>
  <c r="J34" i="2"/>
  <c r="U34" i="2"/>
  <c r="J35" i="2"/>
  <c r="M35" i="2"/>
  <c r="J36" i="2"/>
  <c r="J37" i="2"/>
  <c r="M37" i="2"/>
  <c r="G34" i="2"/>
  <c r="D34" i="2"/>
  <c r="D54" i="2"/>
  <c r="C34" i="2"/>
  <c r="B34" i="2"/>
  <c r="B54" i="2"/>
  <c r="D33" i="2"/>
  <c r="D53" i="2"/>
  <c r="G33" i="2"/>
  <c r="G53" i="2"/>
  <c r="L14" i="2"/>
  <c r="M14" i="2"/>
  <c r="N14" i="2"/>
  <c r="O14" i="2"/>
  <c r="P14" i="2"/>
  <c r="Q14" i="2"/>
  <c r="R14" i="2"/>
  <c r="S14" i="2"/>
  <c r="T14" i="2"/>
  <c r="U14" i="2"/>
  <c r="V14" i="2"/>
  <c r="W14" i="2"/>
  <c r="L15" i="2"/>
  <c r="M15" i="2"/>
  <c r="N15" i="2"/>
  <c r="O15" i="2"/>
  <c r="P15" i="2"/>
  <c r="Q15" i="2"/>
  <c r="R15" i="2"/>
  <c r="S15" i="2"/>
  <c r="T15" i="2"/>
  <c r="U15" i="2"/>
  <c r="V15" i="2"/>
  <c r="W15" i="2"/>
  <c r="L16" i="2"/>
  <c r="M16" i="2"/>
  <c r="N16" i="2"/>
  <c r="O16" i="2"/>
  <c r="P16" i="2"/>
  <c r="Q16" i="2"/>
  <c r="R16" i="2"/>
  <c r="S16" i="2"/>
  <c r="T16" i="2"/>
  <c r="U16" i="2"/>
  <c r="V16" i="2"/>
  <c r="W16" i="2"/>
  <c r="L17" i="2"/>
  <c r="M17" i="2"/>
  <c r="N17" i="2"/>
  <c r="O17" i="2"/>
  <c r="P17" i="2"/>
  <c r="Q17" i="2"/>
  <c r="R17" i="2"/>
  <c r="S17" i="2"/>
  <c r="T17" i="2"/>
  <c r="U17" i="2"/>
  <c r="V17" i="2"/>
  <c r="W17" i="2"/>
  <c r="K15" i="2"/>
  <c r="K16" i="2"/>
  <c r="K17" i="2"/>
  <c r="D26" i="2"/>
  <c r="D46" i="2" s="1"/>
  <c r="G26" i="2"/>
  <c r="G46" i="2"/>
  <c r="J26" i="2"/>
  <c r="M26" i="2" s="1"/>
  <c r="D27" i="2"/>
  <c r="D47" i="2"/>
  <c r="G27" i="2"/>
  <c r="G47" i="2"/>
  <c r="J27" i="2"/>
  <c r="J47" i="2"/>
  <c r="C28" i="2"/>
  <c r="C48" i="2"/>
  <c r="D28" i="2"/>
  <c r="D48" i="2"/>
  <c r="G28" i="2"/>
  <c r="G48" i="2"/>
  <c r="J28" i="2"/>
  <c r="J48" i="2"/>
  <c r="C29" i="2"/>
  <c r="C49" i="2"/>
  <c r="D29" i="2"/>
  <c r="D49" i="2"/>
  <c r="G29" i="2"/>
  <c r="G49" i="2"/>
  <c r="J29" i="2"/>
  <c r="C30" i="2"/>
  <c r="D30" i="2"/>
  <c r="D50" i="2"/>
  <c r="G30" i="2"/>
  <c r="G50" i="2"/>
  <c r="J30" i="2"/>
  <c r="S30" i="2"/>
  <c r="C31" i="2"/>
  <c r="C51" i="2"/>
  <c r="D31" i="2"/>
  <c r="D51" i="2"/>
  <c r="G31" i="2"/>
  <c r="J31" i="2"/>
  <c r="P31" i="2"/>
  <c r="C32" i="2"/>
  <c r="C52" i="2"/>
  <c r="D32" i="2"/>
  <c r="D52" i="2"/>
  <c r="G32" i="2"/>
  <c r="J32" i="2"/>
  <c r="Q32" i="2"/>
  <c r="C33" i="2"/>
  <c r="C53" i="2"/>
  <c r="J33" i="2"/>
  <c r="C35" i="2"/>
  <c r="D35" i="2"/>
  <c r="D55" i="2"/>
  <c r="G35" i="2"/>
  <c r="G55" i="2"/>
  <c r="C36" i="2"/>
  <c r="C56" i="2"/>
  <c r="D36" i="2"/>
  <c r="D56" i="2"/>
  <c r="G36" i="2"/>
  <c r="G56" i="2"/>
  <c r="C37" i="2"/>
  <c r="C57" i="2"/>
  <c r="D37" i="2"/>
  <c r="D57" i="2"/>
  <c r="G37" i="2"/>
  <c r="G57" i="2"/>
  <c r="B28" i="2"/>
  <c r="B48" i="2"/>
  <c r="B29" i="2"/>
  <c r="B49" i="2"/>
  <c r="B30" i="2"/>
  <c r="B50" i="2"/>
  <c r="B31" i="2"/>
  <c r="B51" i="2"/>
  <c r="B32" i="2"/>
  <c r="B52" i="2"/>
  <c r="B33" i="2"/>
  <c r="B53" i="2"/>
  <c r="B35" i="2"/>
  <c r="B55" i="2"/>
  <c r="B36" i="2"/>
  <c r="B56" i="2"/>
  <c r="B37" i="2"/>
  <c r="B57" i="2"/>
  <c r="K7" i="2"/>
  <c r="K8" i="2"/>
  <c r="K9" i="2"/>
  <c r="K10" i="2"/>
  <c r="K11" i="2"/>
  <c r="K12" i="2"/>
  <c r="K13" i="2"/>
  <c r="K6" i="2"/>
  <c r="H18" i="29"/>
  <c r="H57" i="29"/>
  <c r="I18" i="29"/>
  <c r="I18" i="31"/>
  <c r="H19" i="29"/>
  <c r="H58" i="29"/>
  <c r="I19" i="29"/>
  <c r="I19" i="31"/>
  <c r="H20" i="29"/>
  <c r="I20" i="29"/>
  <c r="J20" i="29"/>
  <c r="J20" i="31"/>
  <c r="K20" i="29"/>
  <c r="K20" i="31"/>
  <c r="L20" i="29"/>
  <c r="L20" i="31"/>
  <c r="M20" i="29"/>
  <c r="N20" i="29"/>
  <c r="O20" i="29"/>
  <c r="O20" i="31"/>
  <c r="P20" i="29"/>
  <c r="Q20" i="29"/>
  <c r="Q20" i="31"/>
  <c r="R20" i="29"/>
  <c r="R20" i="31"/>
  <c r="H21" i="29"/>
  <c r="H21" i="31"/>
  <c r="H60" i="31" s="1"/>
  <c r="I21" i="29"/>
  <c r="J21" i="29"/>
  <c r="K21" i="29"/>
  <c r="K21" i="31"/>
  <c r="L21" i="29"/>
  <c r="L21" i="31"/>
  <c r="M21" i="29"/>
  <c r="N21" i="29"/>
  <c r="N21" i="31"/>
  <c r="O21" i="29"/>
  <c r="O21" i="31"/>
  <c r="P21" i="29"/>
  <c r="P21" i="31"/>
  <c r="Q21" i="29"/>
  <c r="R21" i="29"/>
  <c r="R60" i="29"/>
  <c r="H22" i="29"/>
  <c r="H22" i="31"/>
  <c r="I22" i="29"/>
  <c r="J22" i="29"/>
  <c r="H23" i="29"/>
  <c r="H23" i="31"/>
  <c r="I23" i="29"/>
  <c r="I62" i="29"/>
  <c r="J23" i="29"/>
  <c r="K23" i="29"/>
  <c r="L23" i="29"/>
  <c r="L62" i="29"/>
  <c r="M23" i="29"/>
  <c r="N23" i="29"/>
  <c r="N23" i="31"/>
  <c r="O23" i="29"/>
  <c r="P23" i="29"/>
  <c r="Q23" i="29"/>
  <c r="Q23" i="31"/>
  <c r="R23" i="29"/>
  <c r="R23" i="31"/>
  <c r="H24" i="29"/>
  <c r="H24" i="31"/>
  <c r="I24" i="29"/>
  <c r="I24" i="31"/>
  <c r="I63" i="31" s="1"/>
  <c r="J24" i="29"/>
  <c r="J24" i="31"/>
  <c r="H25" i="29"/>
  <c r="H26" i="29"/>
  <c r="I26" i="29"/>
  <c r="J26" i="29"/>
  <c r="J66" i="31"/>
  <c r="H28" i="29"/>
  <c r="H29" i="29"/>
  <c r="H30" i="29"/>
  <c r="H69" i="29"/>
  <c r="H31" i="29"/>
  <c r="H31" i="31"/>
  <c r="I31" i="29"/>
  <c r="J31" i="29"/>
  <c r="J31" i="31"/>
  <c r="H32" i="29"/>
  <c r="I32" i="29"/>
  <c r="I32" i="31"/>
  <c r="J32" i="29"/>
  <c r="K32" i="29"/>
  <c r="K32" i="31"/>
  <c r="L32" i="29"/>
  <c r="M32" i="29"/>
  <c r="M71" i="29"/>
  <c r="N32" i="29"/>
  <c r="O32" i="29"/>
  <c r="O32" i="31"/>
  <c r="P32" i="29"/>
  <c r="P32" i="31"/>
  <c r="Q32" i="29"/>
  <c r="Q32" i="31"/>
  <c r="R32" i="29"/>
  <c r="R32" i="31"/>
  <c r="H33" i="29"/>
  <c r="H72" i="29"/>
  <c r="I33" i="29"/>
  <c r="I33" i="31"/>
  <c r="J33" i="29"/>
  <c r="J33" i="31"/>
  <c r="K33" i="29"/>
  <c r="L33" i="29"/>
  <c r="L33" i="31"/>
  <c r="M33" i="29"/>
  <c r="N33" i="29"/>
  <c r="O33" i="29"/>
  <c r="O33" i="31"/>
  <c r="O72" i="31" s="1"/>
  <c r="P33" i="29"/>
  <c r="Q33" i="29"/>
  <c r="Q33" i="31"/>
  <c r="Q72" i="31" s="1"/>
  <c r="R33" i="29"/>
  <c r="R33" i="31"/>
  <c r="R72" i="31" s="1"/>
  <c r="H34" i="29"/>
  <c r="I34" i="29"/>
  <c r="I34" i="31"/>
  <c r="I73" i="31" s="1"/>
  <c r="J34" i="29"/>
  <c r="K34" i="29"/>
  <c r="K34" i="31"/>
  <c r="K73" i="31" s="1"/>
  <c r="L34" i="29"/>
  <c r="L34" i="31"/>
  <c r="M34" i="29"/>
  <c r="N34" i="29"/>
  <c r="N34" i="31"/>
  <c r="O34" i="29"/>
  <c r="O34" i="31"/>
  <c r="O73" i="31" s="1"/>
  <c r="P34" i="29"/>
  <c r="Q34" i="29"/>
  <c r="R34" i="29"/>
  <c r="R73" i="29"/>
  <c r="H35" i="29"/>
  <c r="I35" i="29"/>
  <c r="I35" i="31"/>
  <c r="J35" i="29"/>
  <c r="K35" i="29"/>
  <c r="K35" i="31"/>
  <c r="L35" i="29"/>
  <c r="L74" i="29"/>
  <c r="M35" i="29"/>
  <c r="M35" i="31"/>
  <c r="N35" i="29"/>
  <c r="O35" i="29"/>
  <c r="P35" i="29"/>
  <c r="P35" i="31"/>
  <c r="P74" i="31" s="1"/>
  <c r="Q35" i="29"/>
  <c r="R35" i="29"/>
  <c r="G19" i="29"/>
  <c r="G20" i="29"/>
  <c r="G21" i="29"/>
  <c r="G22" i="29"/>
  <c r="G22" i="31"/>
  <c r="G23" i="29"/>
  <c r="G24" i="29"/>
  <c r="G25" i="29"/>
  <c r="G25" i="31"/>
  <c r="G26" i="29"/>
  <c r="G26" i="31"/>
  <c r="G65" i="31" s="1"/>
  <c r="G66" i="31"/>
  <c r="G28" i="29"/>
  <c r="G67" i="29"/>
  <c r="G29" i="31"/>
  <c r="G30" i="29"/>
  <c r="G30" i="31"/>
  <c r="G31" i="29"/>
  <c r="G31" i="31"/>
  <c r="G32" i="29"/>
  <c r="G33" i="29"/>
  <c r="G34" i="29"/>
  <c r="G35" i="29"/>
  <c r="G35" i="31"/>
  <c r="G18" i="29"/>
  <c r="R80" i="31"/>
  <c r="Q80" i="31"/>
  <c r="P80" i="31"/>
  <c r="O80" i="31"/>
  <c r="N80" i="31"/>
  <c r="M80" i="31"/>
  <c r="L80" i="31"/>
  <c r="K80" i="31"/>
  <c r="J80" i="31"/>
  <c r="I80" i="31"/>
  <c r="H80" i="31"/>
  <c r="G80" i="31"/>
  <c r="F80" i="31"/>
  <c r="R79" i="31"/>
  <c r="Q79" i="31"/>
  <c r="P79" i="31"/>
  <c r="O79" i="31"/>
  <c r="N79" i="31"/>
  <c r="M79" i="31"/>
  <c r="L79" i="31"/>
  <c r="K79" i="31"/>
  <c r="J79" i="31"/>
  <c r="I79" i="31"/>
  <c r="H79" i="31"/>
  <c r="G79" i="31"/>
  <c r="F79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F77" i="31"/>
  <c r="F76" i="31"/>
  <c r="F75" i="31"/>
  <c r="F74" i="31"/>
  <c r="F73" i="31"/>
  <c r="F72" i="31"/>
  <c r="F71" i="31"/>
  <c r="F70" i="31"/>
  <c r="F69" i="31"/>
  <c r="F68" i="31"/>
  <c r="F67" i="31"/>
  <c r="F66" i="31"/>
  <c r="F65" i="31"/>
  <c r="F64" i="31"/>
  <c r="F63" i="31"/>
  <c r="F62" i="31"/>
  <c r="F61" i="31"/>
  <c r="F60" i="31"/>
  <c r="F59" i="31"/>
  <c r="F58" i="31"/>
  <c r="F57" i="31"/>
  <c r="F56" i="31"/>
  <c r="T41" i="31"/>
  <c r="U41" i="31"/>
  <c r="T40" i="31"/>
  <c r="U40" i="31"/>
  <c r="T39" i="31"/>
  <c r="U39" i="31"/>
  <c r="T38" i="31"/>
  <c r="U15" i="31"/>
  <c r="T12" i="31"/>
  <c r="U12" i="31"/>
  <c r="T11" i="31"/>
  <c r="T10" i="31"/>
  <c r="T9" i="31"/>
  <c r="T8" i="31"/>
  <c r="U8" i="31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F77" i="29"/>
  <c r="F76" i="29"/>
  <c r="F75" i="29"/>
  <c r="F74" i="29"/>
  <c r="F73" i="29"/>
  <c r="F72" i="29"/>
  <c r="F71" i="29"/>
  <c r="F70" i="29"/>
  <c r="F69" i="29"/>
  <c r="F68" i="29"/>
  <c r="F67" i="29"/>
  <c r="F66" i="29"/>
  <c r="F65" i="29"/>
  <c r="F64" i="29"/>
  <c r="F63" i="29"/>
  <c r="F62" i="29"/>
  <c r="F61" i="29"/>
  <c r="F60" i="29"/>
  <c r="F59" i="29"/>
  <c r="F58" i="29"/>
  <c r="F57" i="29"/>
  <c r="F56" i="29"/>
  <c r="T41" i="29"/>
  <c r="U41" i="29"/>
  <c r="T40" i="29"/>
  <c r="U40" i="29"/>
  <c r="T39" i="29"/>
  <c r="U39" i="29"/>
  <c r="T38" i="29"/>
  <c r="U15" i="29"/>
  <c r="T12" i="29"/>
  <c r="U12" i="29"/>
  <c r="T11" i="29"/>
  <c r="U11" i="29"/>
  <c r="T10" i="29"/>
  <c r="U10" i="29"/>
  <c r="E7" i="21"/>
  <c r="T9" i="29"/>
  <c r="T8" i="29"/>
  <c r="U8" i="29"/>
  <c r="BC51" i="2"/>
  <c r="BC52" i="2"/>
  <c r="BC31" i="2"/>
  <c r="BC32" i="2"/>
  <c r="E23" i="3"/>
  <c r="C23" i="3" s="1"/>
  <c r="E78" i="4"/>
  <c r="F78" i="4"/>
  <c r="G78" i="4"/>
  <c r="H78" i="4"/>
  <c r="I78" i="4"/>
  <c r="J78" i="4"/>
  <c r="K78" i="4"/>
  <c r="L78" i="4"/>
  <c r="M78" i="4"/>
  <c r="N78" i="4"/>
  <c r="O78" i="4"/>
  <c r="P78" i="4"/>
  <c r="E79" i="4"/>
  <c r="F79" i="4"/>
  <c r="G79" i="4"/>
  <c r="H79" i="4"/>
  <c r="I79" i="4"/>
  <c r="J79" i="4"/>
  <c r="K79" i="4"/>
  <c r="L79" i="4"/>
  <c r="M79" i="4"/>
  <c r="N79" i="4"/>
  <c r="O79" i="4"/>
  <c r="P79" i="4"/>
  <c r="E80" i="4"/>
  <c r="F80" i="4"/>
  <c r="G80" i="4"/>
  <c r="H80" i="4"/>
  <c r="I80" i="4"/>
  <c r="J80" i="4"/>
  <c r="K80" i="4"/>
  <c r="L80" i="4"/>
  <c r="M80" i="4"/>
  <c r="N80" i="4"/>
  <c r="O80" i="4"/>
  <c r="P80" i="4"/>
  <c r="Q78" i="4"/>
  <c r="Q79" i="4"/>
  <c r="Q80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E61" i="4"/>
  <c r="F61" i="4"/>
  <c r="G61" i="4"/>
  <c r="H61" i="4"/>
  <c r="I61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E63" i="4"/>
  <c r="F63" i="4"/>
  <c r="G63" i="4"/>
  <c r="H63" i="4"/>
  <c r="I63" i="4"/>
  <c r="E64" i="4"/>
  <c r="F64" i="4"/>
  <c r="G64" i="4"/>
  <c r="E65" i="4"/>
  <c r="F65" i="4"/>
  <c r="G65" i="4"/>
  <c r="H65" i="4"/>
  <c r="I65" i="4"/>
  <c r="E66" i="4"/>
  <c r="F66" i="4"/>
  <c r="G66" i="4"/>
  <c r="I66" i="4"/>
  <c r="E67" i="4"/>
  <c r="F67" i="4"/>
  <c r="G67" i="4"/>
  <c r="E68" i="4"/>
  <c r="F68" i="4"/>
  <c r="G68" i="4"/>
  <c r="E69" i="4"/>
  <c r="F69" i="4"/>
  <c r="G69" i="4"/>
  <c r="E70" i="4"/>
  <c r="F70" i="4"/>
  <c r="G70" i="4"/>
  <c r="H70" i="4"/>
  <c r="I70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E75" i="4"/>
  <c r="E76" i="4"/>
  <c r="E57" i="4"/>
  <c r="F57" i="4"/>
  <c r="G57" i="4"/>
  <c r="H57" i="4"/>
  <c r="H58" i="4"/>
  <c r="G58" i="4"/>
  <c r="F58" i="4"/>
  <c r="E58" i="4"/>
  <c r="T15" i="4"/>
  <c r="H8" i="3"/>
  <c r="E7" i="3"/>
  <c r="E11" i="3"/>
  <c r="E12" i="3"/>
  <c r="E13" i="3"/>
  <c r="E17" i="3"/>
  <c r="E18" i="3"/>
  <c r="E21" i="3"/>
  <c r="E6" i="3"/>
  <c r="C16" i="22"/>
  <c r="C15" i="22"/>
  <c r="C14" i="22"/>
  <c r="D76" i="4"/>
  <c r="D77" i="4"/>
  <c r="D78" i="4"/>
  <c r="D79" i="4"/>
  <c r="D80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56" i="4"/>
  <c r="S20" i="4"/>
  <c r="T20" i="4"/>
  <c r="D16" i="21"/>
  <c r="S21" i="4"/>
  <c r="T21" i="4"/>
  <c r="D17" i="21"/>
  <c r="S23" i="4"/>
  <c r="T23" i="4"/>
  <c r="D19" i="21"/>
  <c r="S32" i="4"/>
  <c r="T32" i="4" s="1"/>
  <c r="D28" i="21" s="1"/>
  <c r="C37" i="22" s="1"/>
  <c r="C36" i="22" s="1"/>
  <c r="S33" i="4"/>
  <c r="T33" i="4" s="1"/>
  <c r="D29" i="21" s="1"/>
  <c r="S34" i="4"/>
  <c r="T34" i="4" s="1"/>
  <c r="D30" i="21" s="1"/>
  <c r="S35" i="4"/>
  <c r="C32" i="21"/>
  <c r="C30" i="21"/>
  <c r="C31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L7" i="2"/>
  <c r="M7" i="2"/>
  <c r="N7" i="2"/>
  <c r="O7" i="2"/>
  <c r="P7" i="2"/>
  <c r="Q7" i="2"/>
  <c r="R7" i="2"/>
  <c r="S7" i="2"/>
  <c r="T7" i="2"/>
  <c r="U7" i="2"/>
  <c r="V7" i="2"/>
  <c r="W7" i="2"/>
  <c r="L8" i="2"/>
  <c r="M8" i="2"/>
  <c r="N8" i="2"/>
  <c r="O8" i="2"/>
  <c r="P8" i="2"/>
  <c r="Q8" i="2"/>
  <c r="R8" i="2"/>
  <c r="S8" i="2"/>
  <c r="T8" i="2"/>
  <c r="U8" i="2"/>
  <c r="V8" i="2"/>
  <c r="W8" i="2"/>
  <c r="L9" i="2"/>
  <c r="N9" i="2"/>
  <c r="O9" i="2"/>
  <c r="P9" i="2"/>
  <c r="Q9" i="2"/>
  <c r="R9" i="2"/>
  <c r="S9" i="2"/>
  <c r="T9" i="2"/>
  <c r="U9" i="2"/>
  <c r="V9" i="2"/>
  <c r="W9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L11" i="2"/>
  <c r="M11" i="2"/>
  <c r="N11" i="2"/>
  <c r="O11" i="2"/>
  <c r="P11" i="2"/>
  <c r="Q11" i="2"/>
  <c r="R11" i="2"/>
  <c r="S11" i="2"/>
  <c r="T11" i="2"/>
  <c r="U11" i="2"/>
  <c r="V11" i="2"/>
  <c r="W11" i="2"/>
  <c r="L12" i="2"/>
  <c r="M12" i="2"/>
  <c r="N12" i="2"/>
  <c r="O12" i="2"/>
  <c r="P12" i="2"/>
  <c r="Q12" i="2"/>
  <c r="R12" i="2"/>
  <c r="S12" i="2"/>
  <c r="T12" i="2"/>
  <c r="U12" i="2"/>
  <c r="V12" i="2"/>
  <c r="W12" i="2"/>
  <c r="L13" i="2"/>
  <c r="M13" i="2"/>
  <c r="N13" i="2"/>
  <c r="O13" i="2"/>
  <c r="P13" i="2"/>
  <c r="Q13" i="2"/>
  <c r="R13" i="2"/>
  <c r="S13" i="2"/>
  <c r="T13" i="2"/>
  <c r="U13" i="2"/>
  <c r="V13" i="2"/>
  <c r="W13" i="2"/>
  <c r="M6" i="2"/>
  <c r="M19" i="2" s="1"/>
  <c r="N6" i="2"/>
  <c r="N19" i="2" s="1"/>
  <c r="O6" i="2"/>
  <c r="P6" i="2"/>
  <c r="Q6" i="2"/>
  <c r="Q21" i="2" s="1"/>
  <c r="K17" i="4" s="1"/>
  <c r="R6" i="2"/>
  <c r="S6" i="2"/>
  <c r="T6" i="2"/>
  <c r="T19" i="2" s="1"/>
  <c r="U6" i="2"/>
  <c r="U19" i="2" s="1"/>
  <c r="V6" i="2"/>
  <c r="V19" i="2" s="1"/>
  <c r="W6" i="2"/>
  <c r="C23" i="22"/>
  <c r="G6" i="3"/>
  <c r="I6" i="3" s="1"/>
  <c r="G9" i="28"/>
  <c r="D1" i="28"/>
  <c r="D3" i="28"/>
  <c r="G9" i="23"/>
  <c r="S10" i="4"/>
  <c r="T10" i="4"/>
  <c r="D7" i="21"/>
  <c r="E3" i="6"/>
  <c r="C20" i="6"/>
  <c r="E18" i="6"/>
  <c r="D2" i="28"/>
  <c r="C3" i="28"/>
  <c r="C5" i="28"/>
  <c r="C5" i="6"/>
  <c r="E31" i="22" s="1"/>
  <c r="G7" i="3"/>
  <c r="G11" i="3"/>
  <c r="I11" i="3" s="1"/>
  <c r="G12" i="3"/>
  <c r="I12" i="3" s="1"/>
  <c r="J12" i="3" s="1"/>
  <c r="K12" i="3" s="1"/>
  <c r="G17" i="3"/>
  <c r="I17" i="3" s="1"/>
  <c r="G18" i="3"/>
  <c r="I18" i="3" s="1"/>
  <c r="J18" i="3" s="1"/>
  <c r="K18" i="3" s="1"/>
  <c r="G21" i="3"/>
  <c r="I21" i="3" s="1"/>
  <c r="J21" i="3" s="1"/>
  <c r="K21" i="3" s="1"/>
  <c r="H14" i="3"/>
  <c r="C8" i="3"/>
  <c r="C14" i="3"/>
  <c r="D1" i="23"/>
  <c r="E10" i="22"/>
  <c r="E7" i="22"/>
  <c r="E5" i="22" s="1"/>
  <c r="E15" i="22"/>
  <c r="E14" i="22"/>
  <c r="E16" i="22"/>
  <c r="C6" i="22"/>
  <c r="C7" i="22"/>
  <c r="C10" i="22"/>
  <c r="C11" i="22"/>
  <c r="C19" i="22"/>
  <c r="C20" i="22"/>
  <c r="AB62" i="2"/>
  <c r="BC11" i="2"/>
  <c r="BC12" i="2"/>
  <c r="C3" i="23"/>
  <c r="C5" i="23" s="1"/>
  <c r="D2" i="23"/>
  <c r="S11" i="4"/>
  <c r="T11" i="4"/>
  <c r="C12" i="8"/>
  <c r="D12" i="8"/>
  <c r="D13" i="6"/>
  <c r="C14" i="6"/>
  <c r="E13" i="6"/>
  <c r="F13" i="6"/>
  <c r="G15" i="3"/>
  <c r="I15" i="3" s="1"/>
  <c r="J15" i="3" s="1"/>
  <c r="K15" i="3" s="1"/>
  <c r="E35" i="22"/>
  <c r="H27" i="3"/>
  <c r="S9" i="4"/>
  <c r="T9" i="4"/>
  <c r="C6" i="8" s="1"/>
  <c r="D6" i="8" s="1"/>
  <c r="S8" i="4"/>
  <c r="T8" i="4"/>
  <c r="C5" i="8" s="1"/>
  <c r="D5" i="8" s="1"/>
  <c r="E5" i="8" s="1"/>
  <c r="S40" i="4"/>
  <c r="T40" i="4"/>
  <c r="S41" i="4"/>
  <c r="T41" i="4"/>
  <c r="S39" i="4"/>
  <c r="T39" i="4"/>
  <c r="T35" i="4"/>
  <c r="D31" i="21"/>
  <c r="O71" i="29"/>
  <c r="H32" i="31"/>
  <c r="I23" i="31"/>
  <c r="I62" i="31" s="1"/>
  <c r="H20" i="31"/>
  <c r="G65" i="29"/>
  <c r="H62" i="29"/>
  <c r="Q62" i="29"/>
  <c r="J72" i="29"/>
  <c r="L23" i="31"/>
  <c r="L62" i="31" s="1"/>
  <c r="H69" i="4"/>
  <c r="I30" i="29"/>
  <c r="I29" i="29"/>
  <c r="I68" i="29"/>
  <c r="H68" i="4"/>
  <c r="I28" i="29"/>
  <c r="I67" i="29"/>
  <c r="H67" i="4"/>
  <c r="I25" i="29"/>
  <c r="H64" i="4"/>
  <c r="K31" i="29"/>
  <c r="J70" i="4"/>
  <c r="J66" i="4"/>
  <c r="K26" i="29"/>
  <c r="K65" i="29"/>
  <c r="J65" i="4"/>
  <c r="K24" i="29"/>
  <c r="J63" i="4"/>
  <c r="H66" i="31"/>
  <c r="K22" i="29"/>
  <c r="K22" i="31"/>
  <c r="J61" i="4"/>
  <c r="J19" i="29"/>
  <c r="J58" i="29"/>
  <c r="I58" i="4"/>
  <c r="J18" i="29"/>
  <c r="I57" i="4"/>
  <c r="Q59" i="29"/>
  <c r="M28" i="2"/>
  <c r="P27" i="2"/>
  <c r="U27" i="2"/>
  <c r="G34" i="31"/>
  <c r="G24" i="31"/>
  <c r="R34" i="31"/>
  <c r="R73" i="31" s="1"/>
  <c r="P72" i="29"/>
  <c r="P33" i="31"/>
  <c r="G74" i="29"/>
  <c r="Q35" i="31"/>
  <c r="Q74" i="31" s="1"/>
  <c r="Q74" i="29"/>
  <c r="J34" i="31"/>
  <c r="J73" i="31"/>
  <c r="Q72" i="29"/>
  <c r="O72" i="29"/>
  <c r="R72" i="29"/>
  <c r="I20" i="31"/>
  <c r="J66" i="29"/>
  <c r="L59" i="29"/>
  <c r="R62" i="29"/>
  <c r="J30" i="29"/>
  <c r="J69" i="29"/>
  <c r="I69" i="4"/>
  <c r="I68" i="4"/>
  <c r="J29" i="29"/>
  <c r="J68" i="29"/>
  <c r="J28" i="29"/>
  <c r="J67" i="29"/>
  <c r="I67" i="4"/>
  <c r="J25" i="29"/>
  <c r="I64" i="4"/>
  <c r="L24" i="29"/>
  <c r="K63" i="4"/>
  <c r="L26" i="29"/>
  <c r="L26" i="31"/>
  <c r="K65" i="4"/>
  <c r="L31" i="29"/>
  <c r="K70" i="4"/>
  <c r="K26" i="31"/>
  <c r="K65" i="31" s="1"/>
  <c r="L22" i="29"/>
  <c r="K61" i="4"/>
  <c r="J58" i="4"/>
  <c r="K19" i="29"/>
  <c r="K19" i="31"/>
  <c r="K18" i="29"/>
  <c r="K18" i="31"/>
  <c r="J57" i="4"/>
  <c r="K30" i="29"/>
  <c r="K69" i="29"/>
  <c r="J69" i="4"/>
  <c r="K29" i="29"/>
  <c r="K68" i="29"/>
  <c r="J68" i="4"/>
  <c r="J67" i="4"/>
  <c r="K28" i="29"/>
  <c r="K25" i="29"/>
  <c r="J64" i="4"/>
  <c r="L66" i="4"/>
  <c r="M31" i="29"/>
  <c r="L70" i="4"/>
  <c r="M26" i="29"/>
  <c r="L65" i="4"/>
  <c r="M24" i="29"/>
  <c r="L63" i="4"/>
  <c r="M22" i="29"/>
  <c r="M22" i="31"/>
  <c r="M61" i="31" s="1"/>
  <c r="L61" i="4"/>
  <c r="L19" i="29"/>
  <c r="L58" i="29"/>
  <c r="K58" i="4"/>
  <c r="K57" i="4"/>
  <c r="L18" i="29"/>
  <c r="K69" i="4"/>
  <c r="L30" i="29"/>
  <c r="L69" i="29"/>
  <c r="K68" i="4"/>
  <c r="L29" i="29"/>
  <c r="L29" i="31"/>
  <c r="L68" i="31" s="1"/>
  <c r="K67" i="4"/>
  <c r="L28" i="29"/>
  <c r="L28" i="31"/>
  <c r="L67" i="31" s="1"/>
  <c r="L25" i="29"/>
  <c r="K64" i="4"/>
  <c r="M66" i="4"/>
  <c r="N24" i="29"/>
  <c r="N24" i="31"/>
  <c r="N63" i="31" s="1"/>
  <c r="M63" i="4"/>
  <c r="N26" i="29"/>
  <c r="M65" i="4"/>
  <c r="N31" i="29"/>
  <c r="M70" i="4"/>
  <c r="N22" i="29"/>
  <c r="N22" i="31"/>
  <c r="M61" i="4"/>
  <c r="M19" i="29"/>
  <c r="M58" i="29"/>
  <c r="L58" i="4"/>
  <c r="L57" i="4"/>
  <c r="M18" i="29"/>
  <c r="M18" i="31"/>
  <c r="L69" i="4"/>
  <c r="M30" i="29"/>
  <c r="L68" i="4"/>
  <c r="M29" i="29"/>
  <c r="M29" i="31"/>
  <c r="M68" i="31" s="1"/>
  <c r="L67" i="4"/>
  <c r="M28" i="29"/>
  <c r="M25" i="29"/>
  <c r="M25" i="31"/>
  <c r="L64" i="4"/>
  <c r="O26" i="29"/>
  <c r="N65" i="4"/>
  <c r="O24" i="29"/>
  <c r="N63" i="4"/>
  <c r="O31" i="29"/>
  <c r="O70" i="29"/>
  <c r="N70" i="4"/>
  <c r="O22" i="29"/>
  <c r="N61" i="4"/>
  <c r="N19" i="29"/>
  <c r="N58" i="29"/>
  <c r="M58" i="4"/>
  <c r="M57" i="4"/>
  <c r="N18" i="29"/>
  <c r="N18" i="31"/>
  <c r="N30" i="29"/>
  <c r="M69" i="4"/>
  <c r="M68" i="4"/>
  <c r="N29" i="29"/>
  <c r="M67" i="4"/>
  <c r="N28" i="29"/>
  <c r="N25" i="29"/>
  <c r="N64" i="29"/>
  <c r="M64" i="4"/>
  <c r="P66" i="31"/>
  <c r="O66" i="4"/>
  <c r="P31" i="29"/>
  <c r="O70" i="4"/>
  <c r="P24" i="29"/>
  <c r="O63" i="4"/>
  <c r="P26" i="29"/>
  <c r="O65" i="4"/>
  <c r="O61" i="4"/>
  <c r="P22" i="29"/>
  <c r="P22" i="31"/>
  <c r="O19" i="29"/>
  <c r="O19" i="31"/>
  <c r="N58" i="4"/>
  <c r="N57" i="4"/>
  <c r="O18" i="29"/>
  <c r="O18" i="31"/>
  <c r="N69" i="4"/>
  <c r="O30" i="29"/>
  <c r="O69" i="29"/>
  <c r="O30" i="31"/>
  <c r="O69" i="31" s="1"/>
  <c r="N68" i="4"/>
  <c r="O29" i="29"/>
  <c r="O68" i="29"/>
  <c r="O28" i="29"/>
  <c r="O28" i="31"/>
  <c r="O67" i="31"/>
  <c r="N67" i="4"/>
  <c r="O25" i="29"/>
  <c r="N64" i="4"/>
  <c r="Q26" i="29"/>
  <c r="Q65" i="29"/>
  <c r="P65" i="4"/>
  <c r="Q24" i="29"/>
  <c r="P63" i="4"/>
  <c r="Q31" i="29"/>
  <c r="Q31" i="31"/>
  <c r="P70" i="4"/>
  <c r="P66" i="4"/>
  <c r="S22" i="4"/>
  <c r="T22" i="4"/>
  <c r="D18" i="21"/>
  <c r="Q22" i="29"/>
  <c r="P61" i="4"/>
  <c r="P19" i="29"/>
  <c r="P58" i="29"/>
  <c r="O58" i="4"/>
  <c r="O57" i="4"/>
  <c r="P18" i="29"/>
  <c r="P57" i="29"/>
  <c r="O69" i="4"/>
  <c r="P30" i="29"/>
  <c r="P30" i="31"/>
  <c r="P29" i="29"/>
  <c r="P29" i="31"/>
  <c r="P68" i="31" s="1"/>
  <c r="O68" i="4"/>
  <c r="O67" i="4"/>
  <c r="P28" i="29"/>
  <c r="P28" i="31"/>
  <c r="P67" i="31" s="1"/>
  <c r="O64" i="4"/>
  <c r="P25" i="29"/>
  <c r="P64" i="29"/>
  <c r="R31" i="29"/>
  <c r="Q70" i="4"/>
  <c r="S31" i="4"/>
  <c r="T31" i="4"/>
  <c r="D27" i="21"/>
  <c r="Q65" i="4"/>
  <c r="R26" i="29"/>
  <c r="R65" i="29"/>
  <c r="S26" i="4"/>
  <c r="T26" i="4"/>
  <c r="D22" i="21"/>
  <c r="R24" i="29"/>
  <c r="Q63" i="4"/>
  <c r="S24" i="4"/>
  <c r="T24" i="4"/>
  <c r="D20" i="21"/>
  <c r="Q61" i="4"/>
  <c r="R22" i="29"/>
  <c r="Q19" i="29"/>
  <c r="Q19" i="31"/>
  <c r="P58" i="4"/>
  <c r="P57" i="4"/>
  <c r="Q18" i="29"/>
  <c r="Q57" i="29"/>
  <c r="Q30" i="29"/>
  <c r="P69" i="4"/>
  <c r="P69" i="29"/>
  <c r="Q29" i="29"/>
  <c r="Q68" i="29"/>
  <c r="P68" i="4"/>
  <c r="Q28" i="29"/>
  <c r="Q67" i="29"/>
  <c r="P67" i="4"/>
  <c r="P64" i="4"/>
  <c r="Q25" i="29"/>
  <c r="R19" i="29"/>
  <c r="Q58" i="4"/>
  <c r="T19" i="4"/>
  <c r="D15" i="21"/>
  <c r="Q57" i="4"/>
  <c r="R18" i="29"/>
  <c r="R18" i="31"/>
  <c r="S18" i="4"/>
  <c r="T18" i="4"/>
  <c r="D14" i="21"/>
  <c r="Q69" i="4"/>
  <c r="R30" i="29"/>
  <c r="R69" i="29"/>
  <c r="S30" i="4"/>
  <c r="T30" i="4"/>
  <c r="D26" i="21"/>
  <c r="R29" i="29"/>
  <c r="R68" i="29"/>
  <c r="S29" i="4"/>
  <c r="Q27" i="4"/>
  <c r="Q66" i="4"/>
  <c r="Q68" i="4"/>
  <c r="Q67" i="4"/>
  <c r="R28" i="29"/>
  <c r="S28" i="4"/>
  <c r="T28" i="4"/>
  <c r="D24" i="21"/>
  <c r="S25" i="4"/>
  <c r="T25" i="4"/>
  <c r="D21" i="21"/>
  <c r="Q64" i="4"/>
  <c r="R25" i="29"/>
  <c r="G21" i="31"/>
  <c r="P60" i="29"/>
  <c r="K30" i="31"/>
  <c r="K69" i="31" s="1"/>
  <c r="L67" i="29"/>
  <c r="K70" i="29"/>
  <c r="K60" i="29"/>
  <c r="K31" i="31"/>
  <c r="O73" i="29"/>
  <c r="H73" i="29"/>
  <c r="G66" i="29"/>
  <c r="G20" i="31"/>
  <c r="T20" i="31" s="1"/>
  <c r="U20" i="31" s="1"/>
  <c r="F16" i="21" s="1"/>
  <c r="L35" i="31"/>
  <c r="L74" i="31" s="1"/>
  <c r="M73" i="29"/>
  <c r="M32" i="31"/>
  <c r="P23" i="31"/>
  <c r="I22" i="31"/>
  <c r="I21" i="31"/>
  <c r="I57" i="29"/>
  <c r="D19" i="31"/>
  <c r="Q58" i="31" s="1"/>
  <c r="N62" i="29"/>
  <c r="J73" i="29"/>
  <c r="G73" i="29"/>
  <c r="M34" i="31"/>
  <c r="K73" i="29"/>
  <c r="L73" i="29"/>
  <c r="I60" i="29"/>
  <c r="I73" i="29"/>
  <c r="P28" i="2"/>
  <c r="U28" i="2"/>
  <c r="J63" i="29"/>
  <c r="I63" i="29"/>
  <c r="G63" i="29"/>
  <c r="G68" i="29"/>
  <c r="Q29" i="31"/>
  <c r="Q68" i="31" s="1"/>
  <c r="G28" i="31"/>
  <c r="G67" i="31" s="1"/>
  <c r="H63" i="29"/>
  <c r="P61" i="29"/>
  <c r="Q58" i="29"/>
  <c r="L19" i="31"/>
  <c r="L58" i="31" s="1"/>
  <c r="O29" i="2"/>
  <c r="K29" i="2"/>
  <c r="R28" i="2"/>
  <c r="O28" i="2"/>
  <c r="L28" i="2"/>
  <c r="T28" i="2"/>
  <c r="Q28" i="2"/>
  <c r="N28" i="2"/>
  <c r="V28" i="2"/>
  <c r="S28" i="2"/>
  <c r="K28" i="2"/>
  <c r="N25" i="31"/>
  <c r="N64" i="31" s="1"/>
  <c r="O65" i="29"/>
  <c r="O26" i="31"/>
  <c r="O65" i="31"/>
  <c r="L65" i="29"/>
  <c r="R26" i="31"/>
  <c r="R65" i="31" s="1"/>
  <c r="P25" i="31"/>
  <c r="P64" i="31" s="1"/>
  <c r="D18" i="31"/>
  <c r="I57" i="31" s="1"/>
  <c r="D25" i="31"/>
  <c r="G64" i="31" s="1"/>
  <c r="M64" i="29"/>
  <c r="D21" i="31"/>
  <c r="R60" i="31" s="1"/>
  <c r="R21" i="31"/>
  <c r="E14" i="6"/>
  <c r="G72" i="29"/>
  <c r="G33" i="31"/>
  <c r="G72" i="31" s="1"/>
  <c r="O35" i="31"/>
  <c r="O74" i="31" s="1"/>
  <c r="O74" i="29"/>
  <c r="M21" i="31"/>
  <c r="M60" i="31"/>
  <c r="M60" i="29"/>
  <c r="T35" i="29"/>
  <c r="U35" i="29"/>
  <c r="E31" i="21"/>
  <c r="G60" i="29"/>
  <c r="D31" i="31"/>
  <c r="H70" i="31" s="1"/>
  <c r="H70" i="29"/>
  <c r="D23" i="31"/>
  <c r="L60" i="29"/>
  <c r="M27" i="2"/>
  <c r="O27" i="2"/>
  <c r="U37" i="2"/>
  <c r="R27" i="2"/>
  <c r="T35" i="2"/>
  <c r="Q27" i="2"/>
  <c r="K27" i="2"/>
  <c r="L27" i="2"/>
  <c r="T27" i="2"/>
  <c r="S27" i="2"/>
  <c r="N27" i="2"/>
  <c r="V27" i="2"/>
  <c r="T33" i="2"/>
  <c r="Q33" i="2"/>
  <c r="F37" i="2"/>
  <c r="F33" i="2"/>
  <c r="H33" i="2"/>
  <c r="F27" i="2"/>
  <c r="H27" i="2"/>
  <c r="J50" i="2"/>
  <c r="M30" i="2"/>
  <c r="N30" i="2"/>
  <c r="P30" i="2"/>
  <c r="T30" i="2"/>
  <c r="V30" i="2"/>
  <c r="U30" i="2"/>
  <c r="T29" i="2"/>
  <c r="P29" i="2"/>
  <c r="R29" i="2"/>
  <c r="M29" i="2"/>
  <c r="V29" i="2"/>
  <c r="N29" i="2"/>
  <c r="Q29" i="2"/>
  <c r="S29" i="2"/>
  <c r="L29" i="2"/>
  <c r="J49" i="2"/>
  <c r="P49" i="2"/>
  <c r="U29" i="2"/>
  <c r="K50" i="2"/>
  <c r="N50" i="2"/>
  <c r="O50" i="2"/>
  <c r="D10" i="28"/>
  <c r="C27" i="6"/>
  <c r="L68" i="29"/>
  <c r="R29" i="31"/>
  <c r="R68" i="31" s="1"/>
  <c r="P34" i="31"/>
  <c r="P73" i="31" s="1"/>
  <c r="L30" i="31"/>
  <c r="J30" i="31"/>
  <c r="J69" i="31" s="1"/>
  <c r="N73" i="29"/>
  <c r="H33" i="31"/>
  <c r="H72" i="31" s="1"/>
  <c r="G70" i="29"/>
  <c r="G68" i="31"/>
  <c r="L72" i="29"/>
  <c r="L32" i="31"/>
  <c r="H30" i="31"/>
  <c r="T30" i="31" s="1"/>
  <c r="U30" i="31" s="1"/>
  <c r="F26" i="21" s="1"/>
  <c r="R30" i="31"/>
  <c r="N60" i="29"/>
  <c r="G63" i="31"/>
  <c r="M61" i="29"/>
  <c r="M20" i="31"/>
  <c r="O59" i="29"/>
  <c r="G64" i="29"/>
  <c r="H60" i="29"/>
  <c r="G61" i="29"/>
  <c r="N57" i="29"/>
  <c r="C55" i="2"/>
  <c r="H8" i="2"/>
  <c r="J32" i="31"/>
  <c r="J71" i="29"/>
  <c r="I70" i="29"/>
  <c r="I31" i="31"/>
  <c r="J26" i="31"/>
  <c r="J65" i="31" s="1"/>
  <c r="J65" i="29"/>
  <c r="H25" i="31"/>
  <c r="H64" i="29"/>
  <c r="P60" i="31"/>
  <c r="P32" i="2"/>
  <c r="T32" i="2"/>
  <c r="O32" i="2"/>
  <c r="L32" i="2"/>
  <c r="V32" i="2"/>
  <c r="G54" i="2"/>
  <c r="L72" i="31"/>
  <c r="N33" i="31"/>
  <c r="N72" i="31" s="1"/>
  <c r="N72" i="29"/>
  <c r="N49" i="2"/>
  <c r="K49" i="2"/>
  <c r="L49" i="2"/>
  <c r="P31" i="31"/>
  <c r="P70" i="31" s="1"/>
  <c r="P70" i="29"/>
  <c r="J18" i="31"/>
  <c r="J57" i="29"/>
  <c r="K66" i="31"/>
  <c r="K66" i="29"/>
  <c r="R57" i="29"/>
  <c r="R31" i="31"/>
  <c r="R70" i="31" s="1"/>
  <c r="R70" i="29"/>
  <c r="L57" i="29"/>
  <c r="L18" i="31"/>
  <c r="Q66" i="31"/>
  <c r="Q66" i="29"/>
  <c r="N26" i="31"/>
  <c r="N65" i="31" s="1"/>
  <c r="N65" i="29"/>
  <c r="Q63" i="29"/>
  <c r="Q24" i="31"/>
  <c r="Q63" i="31" s="1"/>
  <c r="J62" i="29"/>
  <c r="J23" i="31"/>
  <c r="J62" i="31"/>
  <c r="O31" i="31"/>
  <c r="H34" i="31"/>
  <c r="H73" i="31" s="1"/>
  <c r="J72" i="31"/>
  <c r="H71" i="29"/>
  <c r="I74" i="29"/>
  <c r="P73" i="29"/>
  <c r="N73" i="31"/>
  <c r="M73" i="31"/>
  <c r="U11" i="31"/>
  <c r="E12" i="8" s="1"/>
  <c r="F8" i="21" s="1"/>
  <c r="I7" i="3"/>
  <c r="J7" i="3" s="1"/>
  <c r="K7" i="3" s="1"/>
  <c r="L61" i="29"/>
  <c r="L22" i="31"/>
  <c r="L70" i="29"/>
  <c r="L31" i="31"/>
  <c r="L70" i="31" s="1"/>
  <c r="T31" i="29"/>
  <c r="U31" i="29"/>
  <c r="E27" i="21"/>
  <c r="Q64" i="29"/>
  <c r="Q25" i="31"/>
  <c r="Q64" i="31" s="1"/>
  <c r="N66" i="31"/>
  <c r="N66" i="29"/>
  <c r="K64" i="29"/>
  <c r="I30" i="31"/>
  <c r="I69" i="31" s="1"/>
  <c r="I69" i="29"/>
  <c r="N28" i="31"/>
  <c r="N67" i="31" s="1"/>
  <c r="N67" i="29"/>
  <c r="K25" i="31"/>
  <c r="N70" i="29"/>
  <c r="N31" i="31"/>
  <c r="P26" i="31"/>
  <c r="P65" i="31"/>
  <c r="P65" i="29"/>
  <c r="T26" i="29"/>
  <c r="U26" i="29"/>
  <c r="E22" i="21"/>
  <c r="R25" i="31"/>
  <c r="R64" i="31" s="1"/>
  <c r="R64" i="29"/>
  <c r="O24" i="31"/>
  <c r="O63" i="31" s="1"/>
  <c r="O63" i="29"/>
  <c r="M69" i="29"/>
  <c r="M30" i="31"/>
  <c r="M69" i="31" s="1"/>
  <c r="O25" i="31"/>
  <c r="O64" i="31" s="1"/>
  <c r="O64" i="29"/>
  <c r="N29" i="31"/>
  <c r="N68" i="31"/>
  <c r="N68" i="29"/>
  <c r="L63" i="29"/>
  <c r="L24" i="31"/>
  <c r="I25" i="31"/>
  <c r="I64" i="31" s="1"/>
  <c r="I64" i="29"/>
  <c r="G69" i="29"/>
  <c r="P62" i="29"/>
  <c r="H59" i="29"/>
  <c r="D8" i="21"/>
  <c r="O60" i="29"/>
  <c r="P63" i="29"/>
  <c r="P24" i="31"/>
  <c r="P63" i="31" s="1"/>
  <c r="N69" i="29"/>
  <c r="N30" i="31"/>
  <c r="N69" i="31" s="1"/>
  <c r="L73" i="31"/>
  <c r="P66" i="29"/>
  <c r="Q69" i="29"/>
  <c r="Q30" i="31"/>
  <c r="Q69" i="31" s="1"/>
  <c r="L50" i="2"/>
  <c r="U50" i="2"/>
  <c r="R22" i="31"/>
  <c r="R61" i="29"/>
  <c r="M19" i="31"/>
  <c r="L25" i="31"/>
  <c r="L64" i="29"/>
  <c r="M66" i="31"/>
  <c r="M66" i="29"/>
  <c r="K28" i="31"/>
  <c r="K67" i="31"/>
  <c r="K67" i="29"/>
  <c r="R28" i="31"/>
  <c r="R67" i="31" s="1"/>
  <c r="R67" i="29"/>
  <c r="O61" i="29"/>
  <c r="O22" i="31"/>
  <c r="R63" i="29"/>
  <c r="R24" i="31"/>
  <c r="R63" i="31" s="1"/>
  <c r="M67" i="29"/>
  <c r="M28" i="31"/>
  <c r="M67" i="31" s="1"/>
  <c r="Q62" i="31"/>
  <c r="Q70" i="29"/>
  <c r="O67" i="29"/>
  <c r="N63" i="29"/>
  <c r="J28" i="31"/>
  <c r="J67" i="31" s="1"/>
  <c r="J53" i="2"/>
  <c r="T53" i="2"/>
  <c r="N33" i="2"/>
  <c r="G23" i="31"/>
  <c r="T23" i="31" s="1"/>
  <c r="U23" i="31" s="1"/>
  <c r="F19" i="21" s="1"/>
  <c r="G62" i="29"/>
  <c r="J70" i="29"/>
  <c r="O33" i="2"/>
  <c r="K74" i="29"/>
  <c r="M74" i="29"/>
  <c r="P74" i="29"/>
  <c r="J19" i="31"/>
  <c r="J58" i="31" s="1"/>
  <c r="I72" i="29"/>
  <c r="O23" i="31"/>
  <c r="O62" i="31" s="1"/>
  <c r="O62" i="29"/>
  <c r="L63" i="31"/>
  <c r="L65" i="31"/>
  <c r="N27" i="4"/>
  <c r="N66" i="4"/>
  <c r="K27" i="4"/>
  <c r="K66" i="4"/>
  <c r="L26" i="2"/>
  <c r="K33" i="31"/>
  <c r="K72" i="31" s="1"/>
  <c r="T33" i="29"/>
  <c r="U33" i="29"/>
  <c r="E29" i="21"/>
  <c r="K72" i="29"/>
  <c r="H29" i="31"/>
  <c r="H68" i="29"/>
  <c r="R19" i="31"/>
  <c r="R58" i="29"/>
  <c r="G73" i="31"/>
  <c r="G19" i="31"/>
  <c r="G58" i="29"/>
  <c r="I28" i="31"/>
  <c r="I67" i="31"/>
  <c r="D9" i="31"/>
  <c r="U9" i="31"/>
  <c r="U9" i="29"/>
  <c r="T28" i="29"/>
  <c r="U28" i="29"/>
  <c r="E24" i="21"/>
  <c r="E8" i="21"/>
  <c r="G32" i="31"/>
  <c r="G71" i="29"/>
  <c r="T32" i="29"/>
  <c r="U32" i="29"/>
  <c r="E28" i="21"/>
  <c r="J64" i="29"/>
  <c r="J25" i="31"/>
  <c r="J64" i="31" s="1"/>
  <c r="J21" i="31"/>
  <c r="J60" i="31" s="1"/>
  <c r="T21" i="29"/>
  <c r="U21" i="29"/>
  <c r="E17" i="21"/>
  <c r="J60" i="29"/>
  <c r="P20" i="31"/>
  <c r="P59" i="29"/>
  <c r="U33" i="2"/>
  <c r="P33" i="2"/>
  <c r="M33" i="2"/>
  <c r="S33" i="2"/>
  <c r="K33" i="2"/>
  <c r="R33" i="2"/>
  <c r="V33" i="2"/>
  <c r="L33" i="2"/>
  <c r="S31" i="2"/>
  <c r="M65" i="29"/>
  <c r="M26" i="31"/>
  <c r="M65" i="31" s="1"/>
  <c r="K23" i="31"/>
  <c r="K62" i="29"/>
  <c r="T23" i="29"/>
  <c r="U23" i="29"/>
  <c r="E19" i="21"/>
  <c r="N20" i="31"/>
  <c r="N59" i="29"/>
  <c r="K63" i="29"/>
  <c r="K24" i="31"/>
  <c r="K63" i="31" s="1"/>
  <c r="T24" i="29"/>
  <c r="U24" i="29"/>
  <c r="E20" i="21"/>
  <c r="T25" i="29"/>
  <c r="U25" i="29"/>
  <c r="E21" i="21"/>
  <c r="R49" i="2"/>
  <c r="T49" i="2"/>
  <c r="P71" i="29"/>
  <c r="K71" i="29"/>
  <c r="H65" i="29"/>
  <c r="H26" i="31"/>
  <c r="H65" i="31"/>
  <c r="M23" i="31"/>
  <c r="M62" i="29"/>
  <c r="F30" i="2"/>
  <c r="E50" i="2"/>
  <c r="S50" i="2"/>
  <c r="M50" i="2"/>
  <c r="T50" i="2"/>
  <c r="Q50" i="2"/>
  <c r="R50" i="2"/>
  <c r="P50" i="2"/>
  <c r="V50" i="2"/>
  <c r="M70" i="29"/>
  <c r="M31" i="31"/>
  <c r="M70" i="31" s="1"/>
  <c r="G59" i="29"/>
  <c r="T20" i="29"/>
  <c r="U20" i="29"/>
  <c r="E16" i="21"/>
  <c r="Q73" i="29"/>
  <c r="Q34" i="31"/>
  <c r="Q73" i="31" s="1"/>
  <c r="T34" i="29"/>
  <c r="U34" i="29"/>
  <c r="E30" i="21"/>
  <c r="I61" i="29"/>
  <c r="T22" i="29"/>
  <c r="U22" i="29"/>
  <c r="E18" i="21"/>
  <c r="H61" i="29"/>
  <c r="N61" i="29"/>
  <c r="D22" i="31"/>
  <c r="G61" i="31" s="1"/>
  <c r="K61" i="29"/>
  <c r="G52" i="2"/>
  <c r="F32" i="2"/>
  <c r="H32" i="2"/>
  <c r="D32" i="31"/>
  <c r="O71" i="31"/>
  <c r="Q71" i="29"/>
  <c r="R71" i="29"/>
  <c r="I71" i="29"/>
  <c r="L71" i="29"/>
  <c r="D14" i="6"/>
  <c r="C15" i="6"/>
  <c r="D15" i="6"/>
  <c r="R35" i="31"/>
  <c r="R74" i="31" s="1"/>
  <c r="R74" i="29"/>
  <c r="P72" i="31"/>
  <c r="I29" i="31"/>
  <c r="I68" i="31" s="1"/>
  <c r="C5" i="22"/>
  <c r="J35" i="31"/>
  <c r="J74" i="31"/>
  <c r="J74" i="29"/>
  <c r="N71" i="29"/>
  <c r="N32" i="31"/>
  <c r="H28" i="31"/>
  <c r="H67" i="31" s="1"/>
  <c r="H67" i="29"/>
  <c r="K59" i="29"/>
  <c r="D20" i="31"/>
  <c r="L59" i="31" s="1"/>
  <c r="I59" i="29"/>
  <c r="R59" i="29"/>
  <c r="J59" i="29"/>
  <c r="Q61" i="29"/>
  <c r="Q22" i="31"/>
  <c r="M63" i="29"/>
  <c r="M24" i="31"/>
  <c r="M63" i="31" s="1"/>
  <c r="C13" i="22"/>
  <c r="G18" i="31"/>
  <c r="G57" i="29"/>
  <c r="K30" i="2"/>
  <c r="O30" i="2"/>
  <c r="R30" i="2"/>
  <c r="L30" i="2"/>
  <c r="Q30" i="2"/>
  <c r="Q36" i="2"/>
  <c r="M36" i="2"/>
  <c r="T36" i="2"/>
  <c r="R36" i="2"/>
  <c r="J56" i="2"/>
  <c r="N56" i="2"/>
  <c r="K36" i="2"/>
  <c r="N36" i="2"/>
  <c r="U36" i="2"/>
  <c r="L36" i="2"/>
  <c r="H74" i="29"/>
  <c r="H35" i="31"/>
  <c r="Q21" i="31"/>
  <c r="Q60" i="31" s="1"/>
  <c r="Q60" i="29"/>
  <c r="F47" i="2"/>
  <c r="H47" i="2"/>
  <c r="M72" i="29"/>
  <c r="M33" i="31"/>
  <c r="M72" i="31"/>
  <c r="H19" i="31"/>
  <c r="H68" i="31"/>
  <c r="Q71" i="31"/>
  <c r="K62" i="31"/>
  <c r="E15" i="6"/>
  <c r="F15" i="6"/>
  <c r="E16" i="6"/>
  <c r="H61" i="31"/>
  <c r="F14" i="6"/>
  <c r="D16" i="6"/>
  <c r="O61" i="31"/>
  <c r="C41" i="28"/>
  <c r="C56" i="28"/>
  <c r="C33" i="28"/>
  <c r="C54" i="28"/>
  <c r="C20" i="28"/>
  <c r="C29" i="28"/>
  <c r="C53" i="28"/>
  <c r="C32" i="28"/>
  <c r="C22" i="28"/>
  <c r="C11" i="28"/>
  <c r="C14" i="28"/>
  <c r="C45" i="28"/>
  <c r="C13" i="28"/>
  <c r="C39" i="28"/>
  <c r="C35" i="28"/>
  <c r="C23" i="28"/>
  <c r="C21" i="28"/>
  <c r="C30" i="28"/>
  <c r="C26" i="28"/>
  <c r="C31" i="28"/>
  <c r="C57" i="28"/>
  <c r="C42" i="28"/>
  <c r="C52" i="28"/>
  <c r="C43" i="28"/>
  <c r="C10" i="28"/>
  <c r="E10" i="28"/>
  <c r="C18" i="28"/>
  <c r="C44" i="28"/>
  <c r="C16" i="28"/>
  <c r="C19" i="28"/>
  <c r="C40" i="28"/>
  <c r="C47" i="28"/>
  <c r="C15" i="28"/>
  <c r="C37" i="28"/>
  <c r="C48" i="28"/>
  <c r="C34" i="28"/>
  <c r="C36" i="28"/>
  <c r="C55" i="28"/>
  <c r="C49" i="28"/>
  <c r="C38" i="28"/>
  <c r="C50" i="28"/>
  <c r="C17" i="28"/>
  <c r="C27" i="28"/>
  <c r="C25" i="28"/>
  <c r="C6" i="28"/>
  <c r="C51" i="28"/>
  <c r="C12" i="28"/>
  <c r="C28" i="28"/>
  <c r="C24" i="28"/>
  <c r="C46" i="28"/>
  <c r="P67" i="29"/>
  <c r="P68" i="29"/>
  <c r="J29" i="31"/>
  <c r="J68" i="31" s="1"/>
  <c r="O29" i="31"/>
  <c r="O68" i="31" s="1"/>
  <c r="T29" i="4"/>
  <c r="D25" i="21"/>
  <c r="H27" i="4"/>
  <c r="H66" i="4"/>
  <c r="M68" i="29"/>
  <c r="K29" i="31"/>
  <c r="K68" i="31" s="1"/>
  <c r="T29" i="29"/>
  <c r="I27" i="29"/>
  <c r="O58" i="29"/>
  <c r="I58" i="29"/>
  <c r="N19" i="31"/>
  <c r="K58" i="29"/>
  <c r="T19" i="29"/>
  <c r="U19" i="29"/>
  <c r="E15" i="21"/>
  <c r="T58" i="29"/>
  <c r="P19" i="31"/>
  <c r="T18" i="29"/>
  <c r="U18" i="29"/>
  <c r="E14" i="21"/>
  <c r="Q18" i="31"/>
  <c r="Q57" i="31" s="1"/>
  <c r="P18" i="31"/>
  <c r="P57" i="31" s="1"/>
  <c r="K57" i="29"/>
  <c r="O57" i="29"/>
  <c r="M57" i="29"/>
  <c r="H18" i="31"/>
  <c r="N26" i="2"/>
  <c r="O19" i="2"/>
  <c r="R26" i="2"/>
  <c r="U26" i="2"/>
  <c r="S26" i="2"/>
  <c r="O26" i="2"/>
  <c r="P26" i="2"/>
  <c r="V26" i="2"/>
  <c r="Q26" i="2"/>
  <c r="T26" i="2"/>
  <c r="K26" i="2"/>
  <c r="J46" i="2"/>
  <c r="V46" i="2" s="1"/>
  <c r="Q46" i="2"/>
  <c r="V31" i="2"/>
  <c r="T31" i="2"/>
  <c r="K31" i="2"/>
  <c r="S35" i="2"/>
  <c r="J55" i="2"/>
  <c r="L31" i="2"/>
  <c r="M31" i="2"/>
  <c r="F29" i="2"/>
  <c r="H29" i="2"/>
  <c r="U35" i="2"/>
  <c r="Q31" i="2"/>
  <c r="H37" i="2"/>
  <c r="V35" i="2"/>
  <c r="L35" i="2"/>
  <c r="W35" i="2"/>
  <c r="R35" i="2"/>
  <c r="S19" i="2"/>
  <c r="X9" i="2"/>
  <c r="R21" i="2"/>
  <c r="L17" i="4" s="1"/>
  <c r="X7" i="2"/>
  <c r="O21" i="2"/>
  <c r="F50" i="2"/>
  <c r="O31" i="2"/>
  <c r="O53" i="2"/>
  <c r="N35" i="2"/>
  <c r="O35" i="2"/>
  <c r="U31" i="2"/>
  <c r="J51" i="2"/>
  <c r="V51" i="2"/>
  <c r="P35" i="2"/>
  <c r="Q35" i="2"/>
  <c r="R31" i="2"/>
  <c r="N31" i="2"/>
  <c r="K35" i="2"/>
  <c r="F34" i="2"/>
  <c r="F26" i="2"/>
  <c r="L38" i="2" s="1"/>
  <c r="Q48" i="2"/>
  <c r="P48" i="2"/>
  <c r="U47" i="2"/>
  <c r="S47" i="2"/>
  <c r="P47" i="2"/>
  <c r="Q56" i="2"/>
  <c r="W33" i="2"/>
  <c r="L53" i="2"/>
  <c r="S49" i="2"/>
  <c r="L56" i="2"/>
  <c r="V53" i="2"/>
  <c r="L37" i="2"/>
  <c r="U49" i="2"/>
  <c r="P37" i="2"/>
  <c r="V37" i="2"/>
  <c r="W28" i="2"/>
  <c r="S37" i="2"/>
  <c r="X13" i="2"/>
  <c r="F49" i="2"/>
  <c r="H49" i="2"/>
  <c r="U56" i="2"/>
  <c r="P53" i="2"/>
  <c r="R37" i="2"/>
  <c r="N37" i="2"/>
  <c r="K19" i="2"/>
  <c r="D35" i="8" s="1"/>
  <c r="F53" i="2"/>
  <c r="H53" i="2"/>
  <c r="V21" i="2"/>
  <c r="P17" i="4" s="1"/>
  <c r="Q53" i="2"/>
  <c r="R53" i="2"/>
  <c r="Q49" i="2"/>
  <c r="T37" i="2"/>
  <c r="N51" i="2"/>
  <c r="N53" i="2"/>
  <c r="F57" i="2"/>
  <c r="H57" i="2"/>
  <c r="T51" i="2"/>
  <c r="X15" i="2"/>
  <c r="Q37" i="2"/>
  <c r="K37" i="2"/>
  <c r="F36" i="2"/>
  <c r="H36" i="2"/>
  <c r="E56" i="2"/>
  <c r="F56" i="2"/>
  <c r="H56" i="2"/>
  <c r="P19" i="2"/>
  <c r="P21" i="2"/>
  <c r="J17" i="4" s="1"/>
  <c r="O48" i="2"/>
  <c r="L48" i="2"/>
  <c r="U48" i="2"/>
  <c r="K48" i="2"/>
  <c r="N48" i="2"/>
  <c r="S48" i="2"/>
  <c r="V48" i="2"/>
  <c r="M48" i="2"/>
  <c r="W27" i="2"/>
  <c r="W30" i="2"/>
  <c r="W50" i="2"/>
  <c r="T48" i="2"/>
  <c r="R48" i="2"/>
  <c r="F28" i="2"/>
  <c r="E48" i="2"/>
  <c r="F48" i="2"/>
  <c r="C50" i="2"/>
  <c r="H50" i="2"/>
  <c r="R56" i="2"/>
  <c r="M56" i="2"/>
  <c r="K56" i="2"/>
  <c r="V56" i="2"/>
  <c r="S56" i="2"/>
  <c r="P56" i="2"/>
  <c r="T56" i="2"/>
  <c r="O56" i="2"/>
  <c r="R34" i="2"/>
  <c r="P34" i="2"/>
  <c r="T34" i="2"/>
  <c r="Q34" i="2"/>
  <c r="L34" i="2"/>
  <c r="S34" i="2"/>
  <c r="N34" i="2"/>
  <c r="M34" i="2"/>
  <c r="J54" i="2"/>
  <c r="O34" i="2"/>
  <c r="V34" i="2"/>
  <c r="H30" i="2"/>
  <c r="K34" i="2"/>
  <c r="K41" i="2" s="1"/>
  <c r="V47" i="2"/>
  <c r="M47" i="2"/>
  <c r="L47" i="2"/>
  <c r="T47" i="2"/>
  <c r="O47" i="2"/>
  <c r="K47" i="2"/>
  <c r="N47" i="2"/>
  <c r="R47" i="2"/>
  <c r="W20" i="2"/>
  <c r="Q13" i="4" s="1"/>
  <c r="Q7" i="4" s="1"/>
  <c r="E55" i="2"/>
  <c r="F55" i="2"/>
  <c r="H55" i="2"/>
  <c r="F35" i="2"/>
  <c r="H35" i="2"/>
  <c r="W29" i="2"/>
  <c r="X12" i="2"/>
  <c r="U21" i="2"/>
  <c r="O17" i="4" s="1"/>
  <c r="X8" i="2"/>
  <c r="F31" i="2"/>
  <c r="H31" i="2"/>
  <c r="G51" i="2"/>
  <c r="F51" i="2"/>
  <c r="U53" i="2"/>
  <c r="K53" i="2"/>
  <c r="M53" i="2"/>
  <c r="S53" i="2"/>
  <c r="Q47" i="2"/>
  <c r="W47" i="2"/>
  <c r="U51" i="2"/>
  <c r="K21" i="2"/>
  <c r="E17" i="4" s="1"/>
  <c r="M32" i="2"/>
  <c r="N32" i="2"/>
  <c r="S32" i="2"/>
  <c r="K32" i="2"/>
  <c r="R32" i="2"/>
  <c r="U32" i="2"/>
  <c r="J52" i="2"/>
  <c r="F52" i="2"/>
  <c r="H52" i="2"/>
  <c r="S21" i="2"/>
  <c r="M17" i="4" s="1"/>
  <c r="W21" i="2"/>
  <c r="W19" i="2"/>
  <c r="V49" i="2"/>
  <c r="P55" i="2"/>
  <c r="O49" i="2"/>
  <c r="K55" i="2"/>
  <c r="O37" i="2"/>
  <c r="J57" i="2"/>
  <c r="M49" i="2"/>
  <c r="F22" i="6"/>
  <c r="F21" i="6"/>
  <c r="F20" i="6"/>
  <c r="F10" i="28"/>
  <c r="K46" i="2"/>
  <c r="O27" i="29"/>
  <c r="O66" i="29"/>
  <c r="U29" i="29"/>
  <c r="E25" i="21"/>
  <c r="R27" i="29"/>
  <c r="R66" i="29"/>
  <c r="S27" i="4"/>
  <c r="T27" i="4"/>
  <c r="D23" i="21"/>
  <c r="L27" i="29"/>
  <c r="L66" i="29"/>
  <c r="O46" i="2"/>
  <c r="R46" i="2"/>
  <c r="T46" i="2"/>
  <c r="S46" i="2"/>
  <c r="P46" i="2"/>
  <c r="R51" i="2"/>
  <c r="O51" i="2"/>
  <c r="M55" i="2"/>
  <c r="R55" i="2"/>
  <c r="O55" i="2"/>
  <c r="U55" i="2"/>
  <c r="T55" i="2"/>
  <c r="L55" i="2"/>
  <c r="Q55" i="2"/>
  <c r="V55" i="2"/>
  <c r="W55" i="2"/>
  <c r="N55" i="2"/>
  <c r="S55" i="2"/>
  <c r="K51" i="2"/>
  <c r="M51" i="2"/>
  <c r="P51" i="2"/>
  <c r="W49" i="2"/>
  <c r="W37" i="2"/>
  <c r="H28" i="2"/>
  <c r="W53" i="2"/>
  <c r="M54" i="2"/>
  <c r="R54" i="2"/>
  <c r="K54" i="2"/>
  <c r="W54" i="2" s="1"/>
  <c r="S54" i="2"/>
  <c r="T54" i="2"/>
  <c r="O54" i="2"/>
  <c r="V54" i="2"/>
  <c r="Q54" i="2"/>
  <c r="L54" i="2"/>
  <c r="U54" i="2"/>
  <c r="P54" i="2"/>
  <c r="N54" i="2"/>
  <c r="W56" i="2"/>
  <c r="L52" i="2"/>
  <c r="R52" i="2"/>
  <c r="T52" i="2"/>
  <c r="V52" i="2"/>
  <c r="O52" i="2"/>
  <c r="N52" i="2"/>
  <c r="S52" i="2"/>
  <c r="Q52" i="2"/>
  <c r="M52" i="2"/>
  <c r="U52" i="2"/>
  <c r="K52" i="2"/>
  <c r="P52" i="2"/>
  <c r="U40" i="2"/>
  <c r="O57" i="2"/>
  <c r="N57" i="2"/>
  <c r="T57" i="2"/>
  <c r="Q57" i="2"/>
  <c r="L57" i="2"/>
  <c r="V57" i="2"/>
  <c r="S57" i="2"/>
  <c r="U57" i="2"/>
  <c r="K57" i="2"/>
  <c r="P57" i="2"/>
  <c r="R57" i="2"/>
  <c r="M57" i="2"/>
  <c r="W34" i="2"/>
  <c r="W32" i="2"/>
  <c r="H48" i="2"/>
  <c r="W48" i="2"/>
  <c r="G10" i="28"/>
  <c r="W57" i="2"/>
  <c r="W52" i="2"/>
  <c r="D11" i="28"/>
  <c r="E11" i="28"/>
  <c r="F11" i="28"/>
  <c r="G11" i="28"/>
  <c r="X11" i="2"/>
  <c r="W31" i="2"/>
  <c r="H51" i="2"/>
  <c r="D12" i="28"/>
  <c r="I66" i="29"/>
  <c r="T27" i="29"/>
  <c r="U27" i="29"/>
  <c r="E23" i="21"/>
  <c r="L51" i="2"/>
  <c r="S51" i="2"/>
  <c r="M62" i="31"/>
  <c r="Q51" i="2"/>
  <c r="G71" i="31"/>
  <c r="G59" i="31"/>
  <c r="R71" i="31"/>
  <c r="L71" i="31"/>
  <c r="I71" i="31"/>
  <c r="M71" i="31"/>
  <c r="J71" i="31"/>
  <c r="N71" i="31"/>
  <c r="H71" i="31"/>
  <c r="T30" i="29"/>
  <c r="U30" i="29"/>
  <c r="E26" i="21"/>
  <c r="N74" i="29"/>
  <c r="N35" i="31"/>
  <c r="N74" i="31" s="1"/>
  <c r="I65" i="29"/>
  <c r="I26" i="31"/>
  <c r="I65" i="31" s="1"/>
  <c r="R62" i="31"/>
  <c r="C31" i="8"/>
  <c r="D31" i="8"/>
  <c r="E31" i="8"/>
  <c r="J61" i="29"/>
  <c r="J22" i="31"/>
  <c r="J61" i="31" s="1"/>
  <c r="O60" i="31"/>
  <c r="Q26" i="31"/>
  <c r="Q65" i="31" s="1"/>
  <c r="N62" i="31"/>
  <c r="H62" i="31"/>
  <c r="X16" i="2"/>
  <c r="Q28" i="31"/>
  <c r="Q67" i="31" s="1"/>
  <c r="K60" i="31"/>
  <c r="X17" i="2"/>
  <c r="S36" i="2"/>
  <c r="V36" i="2"/>
  <c r="O36" i="2"/>
  <c r="P36" i="2"/>
  <c r="W36" i="2"/>
  <c r="W51" i="2"/>
  <c r="E12" i="28"/>
  <c r="H10" i="28"/>
  <c r="I10" i="28"/>
  <c r="F12" i="28"/>
  <c r="G12" i="28"/>
  <c r="D13" i="28"/>
  <c r="E13" i="28"/>
  <c r="H11" i="28"/>
  <c r="I11" i="28"/>
  <c r="F13" i="28"/>
  <c r="G13" i="28"/>
  <c r="D14" i="28"/>
  <c r="E14" i="28"/>
  <c r="H12" i="28"/>
  <c r="I12" i="28"/>
  <c r="F14" i="28"/>
  <c r="G14" i="28"/>
  <c r="D15" i="28"/>
  <c r="E15" i="28"/>
  <c r="H13" i="28"/>
  <c r="I13" i="28"/>
  <c r="F15" i="28"/>
  <c r="G15" i="28"/>
  <c r="D16" i="28"/>
  <c r="E16" i="28"/>
  <c r="H14" i="28"/>
  <c r="I14" i="28"/>
  <c r="F16" i="28"/>
  <c r="G16" i="28"/>
  <c r="D17" i="28"/>
  <c r="E17" i="28"/>
  <c r="F17" i="28"/>
  <c r="H15" i="28"/>
  <c r="I15" i="28"/>
  <c r="G17" i="28"/>
  <c r="D18" i="28"/>
  <c r="E18" i="28"/>
  <c r="F18" i="28"/>
  <c r="H16" i="28"/>
  <c r="I16" i="28"/>
  <c r="G18" i="28"/>
  <c r="D19" i="28"/>
  <c r="E19" i="28"/>
  <c r="F19" i="28"/>
  <c r="H17" i="28"/>
  <c r="I17" i="28"/>
  <c r="G19" i="28"/>
  <c r="D20" i="28"/>
  <c r="E20" i="28"/>
  <c r="F20" i="28"/>
  <c r="H18" i="28"/>
  <c r="I18" i="28"/>
  <c r="G20" i="28"/>
  <c r="D21" i="28"/>
  <c r="E21" i="28"/>
  <c r="H2" i="28"/>
  <c r="E20" i="6"/>
  <c r="D36" i="21"/>
  <c r="H19" i="28"/>
  <c r="I19" i="28"/>
  <c r="G2" i="28"/>
  <c r="D20" i="6"/>
  <c r="C21" i="6"/>
  <c r="F21" i="28"/>
  <c r="G21" i="28"/>
  <c r="D22" i="28"/>
  <c r="E22" i="28"/>
  <c r="F22" i="28"/>
  <c r="H20" i="28"/>
  <c r="I20" i="28"/>
  <c r="G22" i="28"/>
  <c r="D23" i="28"/>
  <c r="E23" i="28"/>
  <c r="F23" i="28"/>
  <c r="H21" i="28"/>
  <c r="I21" i="28"/>
  <c r="G23" i="28"/>
  <c r="D24" i="28"/>
  <c r="E24" i="28"/>
  <c r="F24" i="28"/>
  <c r="H22" i="28"/>
  <c r="I22" i="28"/>
  <c r="G24" i="28"/>
  <c r="D25" i="28"/>
  <c r="E25" i="28"/>
  <c r="F25" i="28"/>
  <c r="H23" i="28"/>
  <c r="I23" i="28"/>
  <c r="G25" i="28"/>
  <c r="D26" i="28"/>
  <c r="E26" i="28"/>
  <c r="F26" i="28"/>
  <c r="H24" i="28"/>
  <c r="I24" i="28"/>
  <c r="G26" i="28"/>
  <c r="D27" i="28"/>
  <c r="E27" i="28"/>
  <c r="F27" i="28"/>
  <c r="H25" i="28"/>
  <c r="I25" i="28"/>
  <c r="G27" i="28"/>
  <c r="D28" i="28"/>
  <c r="E28" i="28"/>
  <c r="F28" i="28"/>
  <c r="H26" i="28"/>
  <c r="I26" i="28"/>
  <c r="G28" i="28"/>
  <c r="D29" i="28"/>
  <c r="E29" i="28"/>
  <c r="F29" i="28"/>
  <c r="H27" i="28"/>
  <c r="I27" i="28"/>
  <c r="G29" i="28"/>
  <c r="D30" i="28"/>
  <c r="E30" i="28"/>
  <c r="F30" i="28"/>
  <c r="H28" i="28"/>
  <c r="I28" i="28"/>
  <c r="G30" i="28"/>
  <c r="D31" i="28"/>
  <c r="E31" i="28"/>
  <c r="F31" i="28"/>
  <c r="H29" i="28"/>
  <c r="I29" i="28"/>
  <c r="G31" i="28"/>
  <c r="D32" i="28"/>
  <c r="E32" i="28"/>
  <c r="F32" i="28"/>
  <c r="H30" i="28"/>
  <c r="I30" i="28"/>
  <c r="G32" i="28"/>
  <c r="D33" i="28"/>
  <c r="E33" i="28"/>
  <c r="F33" i="28"/>
  <c r="H3" i="28"/>
  <c r="E21" i="6"/>
  <c r="E36" i="21"/>
  <c r="H31" i="28"/>
  <c r="I31" i="28"/>
  <c r="G33" i="28"/>
  <c r="G3" i="28"/>
  <c r="D21" i="6"/>
  <c r="C22" i="6"/>
  <c r="D34" i="28"/>
  <c r="E34" i="28"/>
  <c r="F34" i="28"/>
  <c r="H32" i="28"/>
  <c r="I32" i="28"/>
  <c r="G34" i="28"/>
  <c r="D35" i="28"/>
  <c r="E35" i="28"/>
  <c r="F35" i="28"/>
  <c r="H33" i="28"/>
  <c r="I33" i="28"/>
  <c r="G35" i="28"/>
  <c r="D36" i="28"/>
  <c r="E36" i="28"/>
  <c r="F36" i="28"/>
  <c r="H34" i="28"/>
  <c r="I34" i="28"/>
  <c r="G36" i="28"/>
  <c r="D37" i="28"/>
  <c r="E37" i="28"/>
  <c r="F37" i="28"/>
  <c r="H35" i="28"/>
  <c r="I35" i="28"/>
  <c r="G37" i="28"/>
  <c r="D38" i="28"/>
  <c r="E38" i="28"/>
  <c r="F38" i="28"/>
  <c r="H36" i="28"/>
  <c r="I36" i="28"/>
  <c r="G38" i="28"/>
  <c r="D39" i="28"/>
  <c r="E39" i="28"/>
  <c r="F39" i="28"/>
  <c r="H37" i="28"/>
  <c r="I37" i="28"/>
  <c r="G39" i="28"/>
  <c r="D40" i="28"/>
  <c r="E40" i="28"/>
  <c r="F40" i="28"/>
  <c r="H38" i="28"/>
  <c r="I38" i="28"/>
  <c r="G40" i="28"/>
  <c r="D41" i="28"/>
  <c r="E41" i="28"/>
  <c r="F41" i="28"/>
  <c r="H39" i="28"/>
  <c r="I39" i="28"/>
  <c r="G41" i="28"/>
  <c r="D42" i="28"/>
  <c r="E42" i="28"/>
  <c r="F42" i="28"/>
  <c r="H40" i="28"/>
  <c r="I40" i="28"/>
  <c r="G42" i="28"/>
  <c r="D43" i="28"/>
  <c r="E43" i="28"/>
  <c r="F43" i="28"/>
  <c r="H41" i="28"/>
  <c r="I41" i="28"/>
  <c r="G43" i="28"/>
  <c r="D44" i="28"/>
  <c r="E44" i="28"/>
  <c r="F44" i="28"/>
  <c r="H42" i="28"/>
  <c r="I42" i="28"/>
  <c r="G44" i="28"/>
  <c r="D45" i="28"/>
  <c r="E45" i="28"/>
  <c r="F45" i="28"/>
  <c r="H4" i="28"/>
  <c r="E22" i="6"/>
  <c r="F36" i="21"/>
  <c r="H43" i="28"/>
  <c r="I43" i="28"/>
  <c r="G4" i="28"/>
  <c r="D22" i="6"/>
  <c r="G45" i="28"/>
  <c r="D46" i="28"/>
  <c r="E46" i="28"/>
  <c r="F46" i="28"/>
  <c r="H44" i="28"/>
  <c r="I44" i="28"/>
  <c r="G46" i="28"/>
  <c r="D47" i="28"/>
  <c r="E47" i="28"/>
  <c r="F47" i="28"/>
  <c r="H45" i="28"/>
  <c r="I45" i="28"/>
  <c r="G47" i="28"/>
  <c r="D48" i="28"/>
  <c r="E48" i="28"/>
  <c r="F48" i="28"/>
  <c r="H46" i="28"/>
  <c r="I46" i="28"/>
  <c r="G48" i="28"/>
  <c r="D49" i="28"/>
  <c r="E49" i="28"/>
  <c r="F49" i="28"/>
  <c r="H47" i="28"/>
  <c r="I47" i="28"/>
  <c r="G49" i="28"/>
  <c r="D50" i="28"/>
  <c r="E50" i="28"/>
  <c r="F50" i="28"/>
  <c r="H48" i="28"/>
  <c r="I48" i="28"/>
  <c r="G50" i="28"/>
  <c r="D51" i="28"/>
  <c r="E51" i="28"/>
  <c r="F51" i="28"/>
  <c r="H49" i="28"/>
  <c r="I49" i="28"/>
  <c r="G51" i="28"/>
  <c r="D52" i="28"/>
  <c r="E52" i="28"/>
  <c r="F52" i="28"/>
  <c r="H50" i="28"/>
  <c r="I50" i="28"/>
  <c r="G52" i="28"/>
  <c r="D53" i="28"/>
  <c r="E53" i="28"/>
  <c r="F53" i="28"/>
  <c r="H51" i="28"/>
  <c r="I51" i="28"/>
  <c r="G53" i="28"/>
  <c r="D54" i="28"/>
  <c r="E54" i="28"/>
  <c r="F54" i="28"/>
  <c r="H52" i="28"/>
  <c r="I52" i="28"/>
  <c r="G54" i="28"/>
  <c r="D55" i="28"/>
  <c r="E55" i="28"/>
  <c r="F55" i="28"/>
  <c r="H53" i="28"/>
  <c r="I53" i="28"/>
  <c r="G55" i="28"/>
  <c r="D56" i="28"/>
  <c r="E56" i="28"/>
  <c r="F56" i="28"/>
  <c r="H54" i="28"/>
  <c r="I54" i="28"/>
  <c r="G56" i="28"/>
  <c r="D57" i="28"/>
  <c r="E57" i="28"/>
  <c r="F57" i="28"/>
  <c r="G57" i="28"/>
  <c r="H55" i="28"/>
  <c r="I55" i="28"/>
  <c r="H56" i="28"/>
  <c r="I56" i="28"/>
  <c r="M57" i="31" l="1"/>
  <c r="T22" i="31"/>
  <c r="U22" i="31" s="1"/>
  <c r="F18" i="21" s="1"/>
  <c r="O59" i="31"/>
  <c r="H57" i="31"/>
  <c r="G58" i="31"/>
  <c r="H69" i="31"/>
  <c r="O58" i="31"/>
  <c r="K58" i="31"/>
  <c r="T34" i="31"/>
  <c r="U34" i="31" s="1"/>
  <c r="F30" i="21" s="1"/>
  <c r="T21" i="31"/>
  <c r="U21" i="31" s="1"/>
  <c r="F17" i="21" s="1"/>
  <c r="J59" i="31"/>
  <c r="T18" i="31"/>
  <c r="U18" i="31" s="1"/>
  <c r="F14" i="21" s="1"/>
  <c r="G74" i="31"/>
  <c r="G69" i="31"/>
  <c r="T28" i="31"/>
  <c r="U28" i="31" s="1"/>
  <c r="F24" i="21" s="1"/>
  <c r="R59" i="31"/>
  <c r="T35" i="31"/>
  <c r="U35" i="31" s="1"/>
  <c r="F31" i="21" s="1"/>
  <c r="Q61" i="31"/>
  <c r="T29" i="31"/>
  <c r="L57" i="31"/>
  <c r="J57" i="31"/>
  <c r="I61" i="31"/>
  <c r="T33" i="31"/>
  <c r="U33" i="31" s="1"/>
  <c r="F29" i="21" s="1"/>
  <c r="P71" i="31"/>
  <c r="T32" i="31"/>
  <c r="U32" i="31" s="1"/>
  <c r="F28" i="21" s="1"/>
  <c r="N59" i="31"/>
  <c r="R58" i="31"/>
  <c r="P62" i="31"/>
  <c r="K70" i="31"/>
  <c r="R57" i="31"/>
  <c r="O57" i="31"/>
  <c r="H63" i="31"/>
  <c r="T19" i="31"/>
  <c r="U19" i="31" s="1"/>
  <c r="F15" i="21" s="1"/>
  <c r="M58" i="31"/>
  <c r="L61" i="31"/>
  <c r="P58" i="31"/>
  <c r="G57" i="31"/>
  <c r="K57" i="31"/>
  <c r="P59" i="31"/>
  <c r="G62" i="31"/>
  <c r="N57" i="31"/>
  <c r="T25" i="31"/>
  <c r="U25" i="31" s="1"/>
  <c r="F21" i="21" s="1"/>
  <c r="H59" i="31"/>
  <c r="T31" i="31"/>
  <c r="U31" i="31" s="1"/>
  <c r="F27" i="21" s="1"/>
  <c r="L27" i="31"/>
  <c r="L66" i="31" s="1"/>
  <c r="I27" i="31"/>
  <c r="O27" i="31"/>
  <c r="O66" i="31" s="1"/>
  <c r="U29" i="31"/>
  <c r="F25" i="21" s="1"/>
  <c r="R27" i="31"/>
  <c r="R66" i="31" s="1"/>
  <c r="K64" i="31"/>
  <c r="G70" i="31"/>
  <c r="Q59" i="31"/>
  <c r="N61" i="31"/>
  <c r="H64" i="31"/>
  <c r="J63" i="31"/>
  <c r="I60" i="31"/>
  <c r="M74" i="31"/>
  <c r="M64" i="31"/>
  <c r="T26" i="31"/>
  <c r="U26" i="31" s="1"/>
  <c r="F22" i="21" s="1"/>
  <c r="P61" i="31"/>
  <c r="G60" i="31"/>
  <c r="L60" i="31"/>
  <c r="I74" i="31"/>
  <c r="N60" i="31"/>
  <c r="H74" i="31"/>
  <c r="I59" i="31"/>
  <c r="K74" i="31"/>
  <c r="N70" i="31"/>
  <c r="K71" i="31"/>
  <c r="N58" i="31"/>
  <c r="K61" i="31"/>
  <c r="M59" i="31"/>
  <c r="I72" i="31"/>
  <c r="Q70" i="31"/>
  <c r="I58" i="31"/>
  <c r="K59" i="31"/>
  <c r="H58" i="31"/>
  <c r="L64" i="31"/>
  <c r="L69" i="31"/>
  <c r="O70" i="31"/>
  <c r="I70" i="31"/>
  <c r="R69" i="31"/>
  <c r="P69" i="31"/>
  <c r="E6" i="8"/>
  <c r="J70" i="31"/>
  <c r="R61" i="31"/>
  <c r="T24" i="31"/>
  <c r="U24" i="31" s="1"/>
  <c r="F20" i="21" s="1"/>
  <c r="C22" i="22"/>
  <c r="G20" i="3"/>
  <c r="I20" i="3" s="1"/>
  <c r="J20" i="3" s="1"/>
  <c r="K20" i="3" s="1"/>
  <c r="E20" i="3"/>
  <c r="H30" i="3"/>
  <c r="C9" i="22"/>
  <c r="E19" i="3"/>
  <c r="C21" i="22"/>
  <c r="G19" i="3"/>
  <c r="C27" i="3"/>
  <c r="C30" i="3" s="1"/>
  <c r="I19" i="3"/>
  <c r="J19" i="3" s="1"/>
  <c r="K19" i="3" s="1"/>
  <c r="E33" i="22"/>
  <c r="E30" i="22" s="1"/>
  <c r="E39" i="22" s="1"/>
  <c r="G23" i="3"/>
  <c r="I23" i="3"/>
  <c r="C25" i="22"/>
  <c r="E22" i="3"/>
  <c r="C24" i="22"/>
  <c r="G22" i="3"/>
  <c r="I22" i="3" s="1"/>
  <c r="G24" i="3"/>
  <c r="I24" i="3"/>
  <c r="J24" i="3" s="1"/>
  <c r="K24" i="3" s="1"/>
  <c r="C26" i="22"/>
  <c r="E24" i="3"/>
  <c r="I14" i="3"/>
  <c r="C28" i="8" s="1"/>
  <c r="J11" i="3"/>
  <c r="G14" i="3"/>
  <c r="G8" i="3"/>
  <c r="N46" i="2"/>
  <c r="L19" i="2"/>
  <c r="Q19" i="2"/>
  <c r="U46" i="2"/>
  <c r="M46" i="2"/>
  <c r="W46" i="2" s="1"/>
  <c r="L46" i="2"/>
  <c r="X6" i="2"/>
  <c r="M21" i="2"/>
  <c r="X21" i="2" s="1"/>
  <c r="T21" i="2"/>
  <c r="N17" i="4" s="1"/>
  <c r="W26" i="2"/>
  <c r="R19" i="2"/>
  <c r="N21" i="2"/>
  <c r="H17" i="4" s="1"/>
  <c r="N38" i="2"/>
  <c r="L40" i="2"/>
  <c r="H13" i="29" s="1"/>
  <c r="H7" i="29" s="1"/>
  <c r="U38" i="2"/>
  <c r="Q54" i="29" s="1"/>
  <c r="S40" i="2"/>
  <c r="O38" i="2"/>
  <c r="K60" i="2"/>
  <c r="G13" i="31" s="1"/>
  <c r="T58" i="2"/>
  <c r="Q60" i="2"/>
  <c r="M13" i="31" s="1"/>
  <c r="P58" i="2"/>
  <c r="V60" i="2"/>
  <c r="M58" i="2"/>
  <c r="S58" i="2"/>
  <c r="L58" i="2"/>
  <c r="M60" i="2"/>
  <c r="I13" i="31" s="1"/>
  <c r="P60" i="2"/>
  <c r="L60" i="2"/>
  <c r="H13" i="31" s="1"/>
  <c r="H7" i="31" s="1"/>
  <c r="U60" i="2"/>
  <c r="Q13" i="31" s="1"/>
  <c r="Q7" i="31" s="1"/>
  <c r="V58" i="2"/>
  <c r="K58" i="2"/>
  <c r="G54" i="31" s="1"/>
  <c r="T60" i="2"/>
  <c r="P13" i="31" s="1"/>
  <c r="N60" i="2"/>
  <c r="J13" i="31" s="1"/>
  <c r="Q58" i="2"/>
  <c r="S60" i="2"/>
  <c r="O13" i="31" s="1"/>
  <c r="O7" i="31" s="1"/>
  <c r="L20" i="2"/>
  <c r="F13" i="4" s="1"/>
  <c r="F7" i="4" s="1"/>
  <c r="P18" i="2"/>
  <c r="R38" i="2"/>
  <c r="U58" i="2"/>
  <c r="O58" i="2"/>
  <c r="R60" i="2"/>
  <c r="N13" i="31" s="1"/>
  <c r="N7" i="31" s="1"/>
  <c r="W18" i="2"/>
  <c r="M20" i="2"/>
  <c r="G13" i="4" s="1"/>
  <c r="G7" i="4" s="1"/>
  <c r="N58" i="2"/>
  <c r="R58" i="2"/>
  <c r="O60" i="2"/>
  <c r="K56" i="4"/>
  <c r="I56" i="4"/>
  <c r="X14" i="2"/>
  <c r="I17" i="4"/>
  <c r="Q54" i="4"/>
  <c r="Q18" i="2"/>
  <c r="H54" i="29"/>
  <c r="O56" i="4"/>
  <c r="M56" i="4"/>
  <c r="S38" i="2"/>
  <c r="V38" i="2"/>
  <c r="R18" i="2"/>
  <c r="N18" i="2"/>
  <c r="Q13" i="29"/>
  <c r="Q7" i="29" s="1"/>
  <c r="T38" i="2"/>
  <c r="K38" i="2"/>
  <c r="U20" i="2"/>
  <c r="O18" i="2"/>
  <c r="S20" i="2"/>
  <c r="U18" i="2"/>
  <c r="S18" i="2"/>
  <c r="H46" i="2"/>
  <c r="P40" i="2"/>
  <c r="L13" i="29" s="1"/>
  <c r="L7" i="29" s="1"/>
  <c r="V40" i="2"/>
  <c r="R13" i="29" s="1"/>
  <c r="R7" i="29" s="1"/>
  <c r="R20" i="2"/>
  <c r="L13" i="4" s="1"/>
  <c r="M40" i="2"/>
  <c r="I13" i="29" s="1"/>
  <c r="I7" i="29" s="1"/>
  <c r="N40" i="2"/>
  <c r="Q38" i="2"/>
  <c r="K40" i="2"/>
  <c r="R40" i="2"/>
  <c r="T20" i="2"/>
  <c r="H6" i="2"/>
  <c r="T18" i="2"/>
  <c r="Q20" i="2"/>
  <c r="P38" i="2"/>
  <c r="O40" i="2"/>
  <c r="K13" i="29" s="1"/>
  <c r="K7" i="29" s="1"/>
  <c r="V18" i="2"/>
  <c r="Q40" i="2"/>
  <c r="T40" i="2"/>
  <c r="L18" i="2"/>
  <c r="F54" i="4" s="1"/>
  <c r="V20" i="2"/>
  <c r="P13" i="4" s="1"/>
  <c r="P7" i="4" s="1"/>
  <c r="P20" i="2"/>
  <c r="M18" i="2"/>
  <c r="N20" i="2"/>
  <c r="O20" i="2"/>
  <c r="E35" i="8"/>
  <c r="H26" i="2"/>
  <c r="C31" i="22"/>
  <c r="C30" i="22" s="1"/>
  <c r="E56" i="4"/>
  <c r="H56" i="4"/>
  <c r="C35" i="8"/>
  <c r="O54" i="29"/>
  <c r="W58" i="2"/>
  <c r="I48" i="2" s="1"/>
  <c r="P54" i="31"/>
  <c r="J56" i="4"/>
  <c r="R54" i="29"/>
  <c r="R54" i="31"/>
  <c r="M38" i="2"/>
  <c r="P56" i="4"/>
  <c r="N56" i="4"/>
  <c r="W60" i="2"/>
  <c r="L56" i="4"/>
  <c r="I7" i="31"/>
  <c r="K54" i="29"/>
  <c r="O13" i="29"/>
  <c r="O7" i="29" s="1"/>
  <c r="I54" i="31"/>
  <c r="H34" i="2"/>
  <c r="R13" i="31"/>
  <c r="R7" i="31" s="1"/>
  <c r="G17" i="29"/>
  <c r="C54" i="2"/>
  <c r="N39" i="2"/>
  <c r="R41" i="2"/>
  <c r="L41" i="2"/>
  <c r="R39" i="2"/>
  <c r="M39" i="2"/>
  <c r="V41" i="2"/>
  <c r="U39" i="2"/>
  <c r="V39" i="2"/>
  <c r="S41" i="2"/>
  <c r="P39" i="2"/>
  <c r="Q39" i="2"/>
  <c r="L39" i="2"/>
  <c r="Q41" i="2"/>
  <c r="T41" i="2"/>
  <c r="K39" i="2"/>
  <c r="O41" i="2"/>
  <c r="Q17" i="4"/>
  <c r="Q56" i="4"/>
  <c r="X19" i="2"/>
  <c r="D9" i="21" s="1"/>
  <c r="O39" i="2"/>
  <c r="T39" i="2"/>
  <c r="P41" i="2"/>
  <c r="S39" i="2"/>
  <c r="M41" i="2"/>
  <c r="N41" i="2"/>
  <c r="U41" i="2"/>
  <c r="F56" i="4"/>
  <c r="D3" i="23"/>
  <c r="C27" i="23" s="1"/>
  <c r="C55" i="23"/>
  <c r="C35" i="23"/>
  <c r="C16" i="23"/>
  <c r="C39" i="23"/>
  <c r="D10" i="23"/>
  <c r="E12" i="4"/>
  <c r="J17" i="3"/>
  <c r="U38" i="29"/>
  <c r="T38" i="4"/>
  <c r="U38" i="31"/>
  <c r="J6" i="3"/>
  <c r="I8" i="3"/>
  <c r="E28" i="22"/>
  <c r="S36" i="4"/>
  <c r="T36" i="4" s="1"/>
  <c r="D32" i="21" s="1"/>
  <c r="F75" i="4"/>
  <c r="R75" i="31"/>
  <c r="H75" i="31"/>
  <c r="P41" i="7"/>
  <c r="G36" i="31"/>
  <c r="G75" i="31" s="1"/>
  <c r="N75" i="29"/>
  <c r="T36" i="29"/>
  <c r="U36" i="29" s="1"/>
  <c r="E32" i="21" s="1"/>
  <c r="J75" i="4"/>
  <c r="P27" i="7"/>
  <c r="P13" i="7"/>
  <c r="R36" i="4" s="1"/>
  <c r="L75" i="31"/>
  <c r="N75" i="31"/>
  <c r="K75" i="29"/>
  <c r="H75" i="29"/>
  <c r="P75" i="4"/>
  <c r="M75" i="4"/>
  <c r="G75" i="29"/>
  <c r="H75" i="4"/>
  <c r="J75" i="29"/>
  <c r="T58" i="31" l="1"/>
  <c r="T27" i="31"/>
  <c r="U27" i="31" s="1"/>
  <c r="F23" i="21" s="1"/>
  <c r="I66" i="31"/>
  <c r="C32" i="3"/>
  <c r="E77" i="4" s="1"/>
  <c r="E55" i="4" s="1"/>
  <c r="E53" i="4" s="1"/>
  <c r="E38" i="4"/>
  <c r="S38" i="4" s="1"/>
  <c r="F32" i="3"/>
  <c r="J22" i="3"/>
  <c r="K22" i="3" s="1"/>
  <c r="I27" i="3"/>
  <c r="J23" i="3"/>
  <c r="J27" i="3" s="1"/>
  <c r="C30" i="8"/>
  <c r="K11" i="3"/>
  <c r="K14" i="3" s="1"/>
  <c r="E28" i="8" s="1"/>
  <c r="J14" i="3"/>
  <c r="D28" i="8" s="1"/>
  <c r="G27" i="3"/>
  <c r="G30" i="3" s="1"/>
  <c r="C18" i="22"/>
  <c r="C28" i="22" s="1"/>
  <c r="G56" i="4"/>
  <c r="G17" i="4"/>
  <c r="S17" i="4" s="1"/>
  <c r="T17" i="4" s="1"/>
  <c r="L54" i="4"/>
  <c r="G54" i="4"/>
  <c r="O54" i="31"/>
  <c r="M54" i="31"/>
  <c r="H54" i="31"/>
  <c r="T54" i="31" s="1"/>
  <c r="F6" i="21"/>
  <c r="F5" i="21" s="1"/>
  <c r="N54" i="31"/>
  <c r="Q54" i="31"/>
  <c r="L13" i="31"/>
  <c r="L7" i="31" s="1"/>
  <c r="L54" i="31"/>
  <c r="J54" i="31"/>
  <c r="C34" i="22"/>
  <c r="C39" i="22" s="1"/>
  <c r="C41" i="22" s="1"/>
  <c r="I50" i="2"/>
  <c r="K54" i="31"/>
  <c r="K13" i="31"/>
  <c r="K7" i="31" s="1"/>
  <c r="I54" i="29"/>
  <c r="I55" i="2"/>
  <c r="L54" i="29"/>
  <c r="I52" i="2"/>
  <c r="I47" i="2"/>
  <c r="I54" i="2"/>
  <c r="W38" i="2"/>
  <c r="I28" i="2" s="1"/>
  <c r="X20" i="2"/>
  <c r="J13" i="4"/>
  <c r="J7" i="4" s="1"/>
  <c r="J54" i="4"/>
  <c r="M13" i="29"/>
  <c r="M54" i="29"/>
  <c r="K13" i="4"/>
  <c r="K7" i="4" s="1"/>
  <c r="K54" i="4"/>
  <c r="N13" i="29"/>
  <c r="N7" i="29" s="1"/>
  <c r="N54" i="29"/>
  <c r="M54" i="4"/>
  <c r="M13" i="4"/>
  <c r="M7" i="4" s="1"/>
  <c r="I56" i="2"/>
  <c r="X18" i="2"/>
  <c r="I14" i="2" s="1"/>
  <c r="I13" i="4"/>
  <c r="I54" i="4"/>
  <c r="P54" i="4"/>
  <c r="G13" i="29"/>
  <c r="G54" i="29"/>
  <c r="H13" i="4"/>
  <c r="H54" i="4"/>
  <c r="O54" i="4"/>
  <c r="O13" i="4"/>
  <c r="W40" i="2"/>
  <c r="P54" i="29"/>
  <c r="P13" i="29"/>
  <c r="N54" i="4"/>
  <c r="N13" i="4"/>
  <c r="N7" i="4" s="1"/>
  <c r="J13" i="29"/>
  <c r="J54" i="29"/>
  <c r="I51" i="2"/>
  <c r="I46" i="2"/>
  <c r="I53" i="2"/>
  <c r="I57" i="2"/>
  <c r="I49" i="2"/>
  <c r="I30" i="2"/>
  <c r="I29" i="2"/>
  <c r="I34" i="2"/>
  <c r="I31" i="2"/>
  <c r="I35" i="2"/>
  <c r="I26" i="2"/>
  <c r="I27" i="2"/>
  <c r="I37" i="2"/>
  <c r="E6" i="21"/>
  <c r="E5" i="21" s="1"/>
  <c r="I33" i="2"/>
  <c r="I56" i="29"/>
  <c r="I17" i="29"/>
  <c r="K17" i="29"/>
  <c r="K56" i="29"/>
  <c r="H54" i="2"/>
  <c r="N61" i="2"/>
  <c r="U59" i="2"/>
  <c r="K61" i="2"/>
  <c r="O59" i="2"/>
  <c r="P61" i="2"/>
  <c r="Q59" i="2"/>
  <c r="L61" i="2"/>
  <c r="M59" i="2"/>
  <c r="N59" i="2"/>
  <c r="U61" i="2"/>
  <c r="L59" i="2"/>
  <c r="V59" i="2"/>
  <c r="O61" i="2"/>
  <c r="M61" i="2"/>
  <c r="P59" i="2"/>
  <c r="T61" i="2"/>
  <c r="V61" i="2"/>
  <c r="R59" i="2"/>
  <c r="S61" i="2"/>
  <c r="R61" i="2"/>
  <c r="T59" i="2"/>
  <c r="S59" i="2"/>
  <c r="Q61" i="2"/>
  <c r="K59" i="2"/>
  <c r="W39" i="2"/>
  <c r="E9" i="21" s="1"/>
  <c r="H17" i="29"/>
  <c r="H56" i="29"/>
  <c r="W41" i="2"/>
  <c r="Q56" i="29"/>
  <c r="Q17" i="29"/>
  <c r="P56" i="29"/>
  <c r="P17" i="29"/>
  <c r="R17" i="29"/>
  <c r="R56" i="29"/>
  <c r="N17" i="29"/>
  <c r="N56" i="29"/>
  <c r="J56" i="29"/>
  <c r="J17" i="29"/>
  <c r="L56" i="29"/>
  <c r="L17" i="29"/>
  <c r="G56" i="29"/>
  <c r="M56" i="29"/>
  <c r="M17" i="29"/>
  <c r="O56" i="29"/>
  <c r="O17" i="29"/>
  <c r="C17" i="23"/>
  <c r="C47" i="23"/>
  <c r="C49" i="23"/>
  <c r="C31" i="23"/>
  <c r="C29" i="23"/>
  <c r="C30" i="23"/>
  <c r="C48" i="23"/>
  <c r="C41" i="23"/>
  <c r="C44" i="23"/>
  <c r="C15" i="23"/>
  <c r="C38" i="23"/>
  <c r="C12" i="23"/>
  <c r="C23" i="23"/>
  <c r="C22" i="23"/>
  <c r="C57" i="23"/>
  <c r="C10" i="23"/>
  <c r="E10" i="23" s="1"/>
  <c r="F10" i="23" s="1"/>
  <c r="C56" i="23"/>
  <c r="C13" i="23"/>
  <c r="C51" i="23"/>
  <c r="C26" i="23"/>
  <c r="C36" i="23"/>
  <c r="C45" i="23"/>
  <c r="C25" i="23"/>
  <c r="C53" i="23"/>
  <c r="C28" i="23"/>
  <c r="C40" i="23"/>
  <c r="C43" i="23"/>
  <c r="C18" i="23"/>
  <c r="C11" i="23"/>
  <c r="C50" i="23"/>
  <c r="C52" i="23"/>
  <c r="C54" i="23"/>
  <c r="C37" i="23"/>
  <c r="C34" i="23"/>
  <c r="C24" i="23"/>
  <c r="C46" i="23"/>
  <c r="C6" i="23"/>
  <c r="C14" i="23"/>
  <c r="C32" i="23"/>
  <c r="C33" i="23"/>
  <c r="C21" i="23"/>
  <c r="C42" i="23"/>
  <c r="C20" i="23"/>
  <c r="C19" i="23"/>
  <c r="F6" i="6"/>
  <c r="F28" i="6" s="1"/>
  <c r="O37" i="29" s="1"/>
  <c r="O76" i="29" s="1"/>
  <c r="E7" i="4"/>
  <c r="S12" i="4"/>
  <c r="T12" i="4" s="1"/>
  <c r="K17" i="3"/>
  <c r="K6" i="3"/>
  <c r="K8" i="3" s="1"/>
  <c r="J8" i="3"/>
  <c r="I30" i="3"/>
  <c r="C27" i="8"/>
  <c r="E41" i="22"/>
  <c r="T36" i="31"/>
  <c r="U36" i="31" s="1"/>
  <c r="F32" i="21" s="1"/>
  <c r="E16" i="4" l="1"/>
  <c r="E44" i="4" s="1"/>
  <c r="F5" i="4" s="1"/>
  <c r="C29" i="8"/>
  <c r="D30" i="8"/>
  <c r="K23" i="3"/>
  <c r="E30" i="8" s="1"/>
  <c r="D29" i="8"/>
  <c r="K27" i="3"/>
  <c r="E29" i="8" s="1"/>
  <c r="D34" i="21"/>
  <c r="F34" i="21"/>
  <c r="E34" i="21"/>
  <c r="I36" i="2"/>
  <c r="I32" i="2"/>
  <c r="T13" i="31"/>
  <c r="U13" i="31" s="1"/>
  <c r="T13" i="29"/>
  <c r="U13" i="29" s="1"/>
  <c r="T54" i="29"/>
  <c r="D6" i="21"/>
  <c r="D5" i="21" s="1"/>
  <c r="I15" i="2"/>
  <c r="I8" i="2"/>
  <c r="I11" i="2"/>
  <c r="I16" i="2"/>
  <c r="I10" i="2"/>
  <c r="I7" i="2"/>
  <c r="I9" i="2"/>
  <c r="I13" i="2"/>
  <c r="I6" i="2"/>
  <c r="I17" i="2"/>
  <c r="I12" i="2"/>
  <c r="H7" i="4"/>
  <c r="S13" i="4"/>
  <c r="T13" i="4" s="1"/>
  <c r="T17" i="29"/>
  <c r="U17" i="29" s="1"/>
  <c r="M17" i="31"/>
  <c r="M56" i="31"/>
  <c r="O17" i="31"/>
  <c r="O56" i="31"/>
  <c r="H56" i="31"/>
  <c r="H17" i="31"/>
  <c r="G56" i="31"/>
  <c r="W61" i="2"/>
  <c r="G17" i="31"/>
  <c r="I56" i="31"/>
  <c r="I17" i="31"/>
  <c r="Q17" i="31"/>
  <c r="Q56" i="31"/>
  <c r="O55" i="29"/>
  <c r="O53" i="29" s="1"/>
  <c r="E11" i="21"/>
  <c r="E54" i="21"/>
  <c r="E55" i="21" s="1"/>
  <c r="R17" i="31"/>
  <c r="R56" i="31"/>
  <c r="K17" i="31"/>
  <c r="K56" i="31"/>
  <c r="L56" i="31"/>
  <c r="L17" i="31"/>
  <c r="J17" i="31"/>
  <c r="J56" i="31"/>
  <c r="W59" i="2"/>
  <c r="F9" i="21" s="1"/>
  <c r="N56" i="31"/>
  <c r="N17" i="31"/>
  <c r="P56" i="31"/>
  <c r="P17" i="31"/>
  <c r="I37" i="29"/>
  <c r="I76" i="29" s="1"/>
  <c r="I55" i="29" s="1"/>
  <c r="I53" i="29" s="1"/>
  <c r="K37" i="29"/>
  <c r="R37" i="29"/>
  <c r="R76" i="29" s="1"/>
  <c r="R55" i="29" s="1"/>
  <c r="R53" i="29" s="1"/>
  <c r="P37" i="29"/>
  <c r="P76" i="29" s="1"/>
  <c r="P55" i="29" s="1"/>
  <c r="P53" i="29" s="1"/>
  <c r="Q37" i="29"/>
  <c r="Q16" i="29" s="1"/>
  <c r="H37" i="29"/>
  <c r="H16" i="29" s="1"/>
  <c r="N37" i="29"/>
  <c r="N16" i="29" s="1"/>
  <c r="G37" i="29"/>
  <c r="T37" i="29" s="1"/>
  <c r="U37" i="29" s="1"/>
  <c r="J37" i="29"/>
  <c r="J76" i="29" s="1"/>
  <c r="J55" i="29" s="1"/>
  <c r="J53" i="29" s="1"/>
  <c r="M37" i="29"/>
  <c r="M76" i="29" s="1"/>
  <c r="M55" i="29" s="1"/>
  <c r="M53" i="29" s="1"/>
  <c r="L37" i="29"/>
  <c r="L76" i="29" s="1"/>
  <c r="L55" i="29" s="1"/>
  <c r="L53" i="29" s="1"/>
  <c r="F5" i="6"/>
  <c r="F27" i="6" s="1"/>
  <c r="F37" i="4" s="1"/>
  <c r="F7" i="6"/>
  <c r="F29" i="6" s="1"/>
  <c r="G10" i="23"/>
  <c r="H76" i="29"/>
  <c r="H55" i="29" s="1"/>
  <c r="H53" i="29" s="1"/>
  <c r="K76" i="29"/>
  <c r="K55" i="29" s="1"/>
  <c r="K53" i="29" s="1"/>
  <c r="K16" i="29"/>
  <c r="D27" i="8"/>
  <c r="J30" i="3"/>
  <c r="E27" i="8"/>
  <c r="K30" i="3" l="1"/>
  <c r="N76" i="29"/>
  <c r="N55" i="29" s="1"/>
  <c r="N53" i="29" s="1"/>
  <c r="O52" i="29" s="1"/>
  <c r="P42" i="29" s="1"/>
  <c r="P16" i="29" s="1"/>
  <c r="D11" i="21"/>
  <c r="D54" i="21"/>
  <c r="D55" i="21" s="1"/>
  <c r="L52" i="29"/>
  <c r="M42" i="29" s="1"/>
  <c r="M16" i="29" s="1"/>
  <c r="F54" i="21"/>
  <c r="F55" i="21" s="1"/>
  <c r="F11" i="21"/>
  <c r="T17" i="31"/>
  <c r="U17" i="31" s="1"/>
  <c r="Q76" i="29"/>
  <c r="Q55" i="29" s="1"/>
  <c r="Q53" i="29" s="1"/>
  <c r="R52" i="29" s="1"/>
  <c r="G76" i="29"/>
  <c r="G55" i="29" s="1"/>
  <c r="G53" i="29" s="1"/>
  <c r="I52" i="29" s="1"/>
  <c r="L37" i="31"/>
  <c r="L76" i="31" s="1"/>
  <c r="L55" i="31" s="1"/>
  <c r="L53" i="31" s="1"/>
  <c r="J37" i="31"/>
  <c r="J76" i="31" s="1"/>
  <c r="J55" i="31" s="1"/>
  <c r="J53" i="31" s="1"/>
  <c r="Q37" i="31"/>
  <c r="N37" i="31"/>
  <c r="R37" i="31"/>
  <c r="R76" i="31" s="1"/>
  <c r="R55" i="31" s="1"/>
  <c r="R53" i="31" s="1"/>
  <c r="H37" i="31"/>
  <c r="G37" i="31"/>
  <c r="O37" i="31"/>
  <c r="O76" i="31" s="1"/>
  <c r="O55" i="31" s="1"/>
  <c r="O53" i="31" s="1"/>
  <c r="I37" i="31"/>
  <c r="I76" i="31" s="1"/>
  <c r="I55" i="31" s="1"/>
  <c r="I53" i="31" s="1"/>
  <c r="P37" i="31"/>
  <c r="P76" i="31" s="1"/>
  <c r="P55" i="31" s="1"/>
  <c r="P53" i="31" s="1"/>
  <c r="K37" i="31"/>
  <c r="M37" i="31"/>
  <c r="M76" i="31" s="1"/>
  <c r="M55" i="31" s="1"/>
  <c r="M53" i="31" s="1"/>
  <c r="F16" i="4"/>
  <c r="F44" i="4" s="1"/>
  <c r="G5" i="4" s="1"/>
  <c r="G37" i="4"/>
  <c r="F76" i="4"/>
  <c r="F55" i="4" s="1"/>
  <c r="F53" i="4" s="1"/>
  <c r="D11" i="23"/>
  <c r="T55" i="29" l="1"/>
  <c r="P14" i="29"/>
  <c r="P7" i="29" s="1"/>
  <c r="M14" i="29"/>
  <c r="M7" i="29" s="1"/>
  <c r="D38" i="8"/>
  <c r="D18" i="8"/>
  <c r="G42" i="31"/>
  <c r="G16" i="31" s="1"/>
  <c r="G14" i="31"/>
  <c r="G7" i="31" s="1"/>
  <c r="H37" i="4"/>
  <c r="G76" i="4"/>
  <c r="G55" i="4" s="1"/>
  <c r="G53" i="4" s="1"/>
  <c r="G16" i="4"/>
  <c r="G44" i="4" s="1"/>
  <c r="H5" i="4" s="1"/>
  <c r="N76" i="31"/>
  <c r="N55" i="31" s="1"/>
  <c r="N53" i="31" s="1"/>
  <c r="O52" i="31" s="1"/>
  <c r="N16" i="31"/>
  <c r="K16" i="31"/>
  <c r="K76" i="31"/>
  <c r="K55" i="31" s="1"/>
  <c r="K53" i="31" s="1"/>
  <c r="L52" i="31" s="1"/>
  <c r="T37" i="31"/>
  <c r="U37" i="31" s="1"/>
  <c r="G76" i="31"/>
  <c r="G55" i="31" s="1"/>
  <c r="Q76" i="31"/>
  <c r="Q55" i="31" s="1"/>
  <c r="Q53" i="31" s="1"/>
  <c r="R52" i="31" s="1"/>
  <c r="Q16" i="31"/>
  <c r="H16" i="31"/>
  <c r="H76" i="31"/>
  <c r="H55" i="31" s="1"/>
  <c r="H53" i="31" s="1"/>
  <c r="E11" i="23"/>
  <c r="J42" i="29"/>
  <c r="J16" i="29" s="1"/>
  <c r="J14" i="29"/>
  <c r="J7" i="29" s="1"/>
  <c r="E38" i="8" l="1"/>
  <c r="E18" i="8"/>
  <c r="T55" i="31"/>
  <c r="G53" i="31"/>
  <c r="I52" i="31" s="1"/>
  <c r="P14" i="31"/>
  <c r="P7" i="31" s="1"/>
  <c r="P42" i="31"/>
  <c r="P16" i="31" s="1"/>
  <c r="M14" i="31"/>
  <c r="M7" i="31" s="1"/>
  <c r="M42" i="31"/>
  <c r="M16" i="31" s="1"/>
  <c r="I37" i="4"/>
  <c r="H76" i="4"/>
  <c r="H55" i="4" s="1"/>
  <c r="H53" i="4" s="1"/>
  <c r="H52" i="4" s="1"/>
  <c r="F11" i="23"/>
  <c r="J37" i="4" l="1"/>
  <c r="I76" i="4"/>
  <c r="I55" i="4" s="1"/>
  <c r="I53" i="4" s="1"/>
  <c r="J14" i="31"/>
  <c r="J42" i="31"/>
  <c r="I14" i="4"/>
  <c r="I7" i="4" s="1"/>
  <c r="I42" i="4"/>
  <c r="I16" i="4" s="1"/>
  <c r="G11" i="23"/>
  <c r="J16" i="31" l="1"/>
  <c r="T42" i="31"/>
  <c r="U42" i="31" s="1"/>
  <c r="T14" i="31"/>
  <c r="J7" i="31"/>
  <c r="K37" i="4"/>
  <c r="J76" i="4"/>
  <c r="J55" i="4" s="1"/>
  <c r="J53" i="4" s="1"/>
  <c r="J16" i="4"/>
  <c r="D12" i="23"/>
  <c r="T7" i="31" l="1"/>
  <c r="U14" i="31"/>
  <c r="U7" i="31" s="1"/>
  <c r="L37" i="4"/>
  <c r="K76" i="4"/>
  <c r="K55" i="4" s="1"/>
  <c r="K53" i="4" s="1"/>
  <c r="K52" i="4" s="1"/>
  <c r="E12" i="23"/>
  <c r="H10" i="23"/>
  <c r="I10" i="23" s="1"/>
  <c r="L42" i="4" l="1"/>
  <c r="L16" i="4" s="1"/>
  <c r="L14" i="4"/>
  <c r="L7" i="4" s="1"/>
  <c r="M37" i="4"/>
  <c r="L76" i="4"/>
  <c r="L55" i="4" s="1"/>
  <c r="L53" i="4" s="1"/>
  <c r="F12" i="23"/>
  <c r="M76" i="4" l="1"/>
  <c r="M55" i="4" s="1"/>
  <c r="M53" i="4" s="1"/>
  <c r="M16" i="4"/>
  <c r="N37" i="4"/>
  <c r="G12" i="23"/>
  <c r="N76" i="4" l="1"/>
  <c r="N55" i="4" s="1"/>
  <c r="N53" i="4" s="1"/>
  <c r="N52" i="4" s="1"/>
  <c r="O37" i="4"/>
  <c r="D13" i="23"/>
  <c r="P37" i="4" l="1"/>
  <c r="O76" i="4"/>
  <c r="O55" i="4" s="1"/>
  <c r="O53" i="4" s="1"/>
  <c r="O14" i="4"/>
  <c r="O42" i="4"/>
  <c r="E13" i="23"/>
  <c r="H11" i="23"/>
  <c r="I11" i="23" s="1"/>
  <c r="S42" i="4" l="1"/>
  <c r="T42" i="4" s="1"/>
  <c r="O16" i="4"/>
  <c r="O7" i="4"/>
  <c r="S14" i="4"/>
  <c r="P76" i="4"/>
  <c r="P55" i="4" s="1"/>
  <c r="P53" i="4" s="1"/>
  <c r="P16" i="4"/>
  <c r="Q37" i="4"/>
  <c r="F13" i="23"/>
  <c r="T14" i="4" l="1"/>
  <c r="T7" i="4" s="1"/>
  <c r="S7" i="4"/>
  <c r="Q76" i="4"/>
  <c r="Q55" i="4" s="1"/>
  <c r="Q53" i="4" s="1"/>
  <c r="Q52" i="4" s="1"/>
  <c r="S37" i="4"/>
  <c r="T37" i="4" s="1"/>
  <c r="G13" i="23"/>
  <c r="G42" i="29" l="1"/>
  <c r="C18" i="8"/>
  <c r="C38" i="8"/>
  <c r="G14" i="29"/>
  <c r="D14" i="23"/>
  <c r="T14" i="29" l="1"/>
  <c r="G7" i="29"/>
  <c r="G16" i="29"/>
  <c r="T42" i="29"/>
  <c r="U42" i="29" s="1"/>
  <c r="E14" i="23"/>
  <c r="H12" i="23"/>
  <c r="I12" i="23" s="1"/>
  <c r="U14" i="29" l="1"/>
  <c r="U7" i="29" s="1"/>
  <c r="T7" i="29"/>
  <c r="F14" i="23"/>
  <c r="G14" i="23" l="1"/>
  <c r="D15" i="23" l="1"/>
  <c r="E15" i="23" l="1"/>
  <c r="F15" i="23" s="1"/>
  <c r="H13" i="23"/>
  <c r="I13" i="23" s="1"/>
  <c r="G15" i="23" l="1"/>
  <c r="D16" i="23" l="1"/>
  <c r="E16" i="23" l="1"/>
  <c r="F16" i="23" s="1"/>
  <c r="H14" i="23"/>
  <c r="I14" i="23" s="1"/>
  <c r="G16" i="23" l="1"/>
  <c r="D17" i="23" l="1"/>
  <c r="E17" i="23" l="1"/>
  <c r="F17" i="23" s="1"/>
  <c r="H15" i="23"/>
  <c r="I15" i="23" s="1"/>
  <c r="G17" i="23" l="1"/>
  <c r="D18" i="23" l="1"/>
  <c r="E18" i="23" l="1"/>
  <c r="F18" i="23" s="1"/>
  <c r="H16" i="23"/>
  <c r="I16" i="23" s="1"/>
  <c r="G18" i="23" l="1"/>
  <c r="D19" i="23" l="1"/>
  <c r="E19" i="23" l="1"/>
  <c r="F19" i="23" s="1"/>
  <c r="H17" i="23"/>
  <c r="I17" i="23" s="1"/>
  <c r="G19" i="23" l="1"/>
  <c r="D20" i="23" l="1"/>
  <c r="E20" i="23" l="1"/>
  <c r="F20" i="23" s="1"/>
  <c r="H18" i="23"/>
  <c r="I18" i="23" s="1"/>
  <c r="G20" i="23" l="1"/>
  <c r="D21" i="23" l="1"/>
  <c r="E21" i="23" l="1"/>
  <c r="H2" i="23"/>
  <c r="E5" i="6" s="1"/>
  <c r="H19" i="23"/>
  <c r="I19" i="23" s="1"/>
  <c r="D35" i="21" l="1"/>
  <c r="E27" i="6"/>
  <c r="G2" i="23"/>
  <c r="D5" i="6" s="1"/>
  <c r="F21" i="23"/>
  <c r="D27" i="6" l="1"/>
  <c r="C13" i="8" s="1"/>
  <c r="C6" i="6"/>
  <c r="G21" i="23"/>
  <c r="D13" i="21"/>
  <c r="D56" i="21" s="1"/>
  <c r="D38" i="21"/>
  <c r="D22" i="23" l="1"/>
  <c r="D40" i="21"/>
  <c r="D42" i="21" s="1"/>
  <c r="C28" i="6"/>
  <c r="Q43" i="4" l="1"/>
  <c r="Q16" i="4" s="1"/>
  <c r="H43" i="4"/>
  <c r="K43" i="4"/>
  <c r="K16" i="4" s="1"/>
  <c r="N43" i="4"/>
  <c r="N16" i="4" s="1"/>
  <c r="D49" i="21"/>
  <c r="D50" i="21" s="1"/>
  <c r="D44" i="21"/>
  <c r="C8" i="8" s="1"/>
  <c r="E22" i="23"/>
  <c r="F22" i="23" s="1"/>
  <c r="H20" i="23"/>
  <c r="I20" i="23" s="1"/>
  <c r="D45" i="21" l="1"/>
  <c r="C10" i="8" s="1"/>
  <c r="C22" i="8" s="1"/>
  <c r="S43" i="4"/>
  <c r="T43" i="4" s="1"/>
  <c r="T16" i="4" s="1"/>
  <c r="H16" i="4"/>
  <c r="G22" i="23"/>
  <c r="H44" i="4" l="1"/>
  <c r="I5" i="4" s="1"/>
  <c r="I44" i="4" s="1"/>
  <c r="J5" i="4" s="1"/>
  <c r="J44" i="4" s="1"/>
  <c r="K5" i="4" s="1"/>
  <c r="K44" i="4" s="1"/>
  <c r="L5" i="4" s="1"/>
  <c r="L44" i="4" s="1"/>
  <c r="M5" i="4" s="1"/>
  <c r="M44" i="4" s="1"/>
  <c r="N5" i="4" s="1"/>
  <c r="N44" i="4" s="1"/>
  <c r="O5" i="4" s="1"/>
  <c r="O44" i="4" s="1"/>
  <c r="P5" i="4" s="1"/>
  <c r="P44" i="4" s="1"/>
  <c r="Q5" i="4" s="1"/>
  <c r="Q44" i="4" s="1"/>
  <c r="S16" i="4"/>
  <c r="S44" i="4" s="1"/>
  <c r="D23" i="23"/>
  <c r="E23" i="23" l="1"/>
  <c r="F23" i="23" s="1"/>
  <c r="H21" i="23"/>
  <c r="I21" i="23" s="1"/>
  <c r="C40" i="8"/>
  <c r="C42" i="8" s="1"/>
  <c r="C45" i="8" s="1"/>
  <c r="G5" i="29"/>
  <c r="G44" i="29" s="1"/>
  <c r="H5" i="29" s="1"/>
  <c r="H44" i="29" s="1"/>
  <c r="I5" i="29" s="1"/>
  <c r="G23" i="23" l="1"/>
  <c r="D24" i="23" l="1"/>
  <c r="E24" i="23" l="1"/>
  <c r="F24" i="23" s="1"/>
  <c r="H22" i="23"/>
  <c r="I22" i="23" s="1"/>
  <c r="G24" i="23" l="1"/>
  <c r="D25" i="23" l="1"/>
  <c r="E25" i="23" l="1"/>
  <c r="F25" i="23" s="1"/>
  <c r="H23" i="23"/>
  <c r="I23" i="23" s="1"/>
  <c r="G25" i="23" l="1"/>
  <c r="D26" i="23" l="1"/>
  <c r="E26" i="23" l="1"/>
  <c r="F26" i="23" s="1"/>
  <c r="H24" i="23"/>
  <c r="I24" i="23" s="1"/>
  <c r="G26" i="23" l="1"/>
  <c r="D27" i="23" l="1"/>
  <c r="E27" i="23" l="1"/>
  <c r="F27" i="23" s="1"/>
  <c r="H25" i="23"/>
  <c r="I25" i="23" s="1"/>
  <c r="G27" i="23" l="1"/>
  <c r="D28" i="23" l="1"/>
  <c r="E28" i="23" l="1"/>
  <c r="F28" i="23" s="1"/>
  <c r="H26" i="23"/>
  <c r="I26" i="23" s="1"/>
  <c r="G28" i="23" l="1"/>
  <c r="D29" i="23" l="1"/>
  <c r="E29" i="23" l="1"/>
  <c r="F29" i="23" s="1"/>
  <c r="H27" i="23"/>
  <c r="I27" i="23" s="1"/>
  <c r="G29" i="23" l="1"/>
  <c r="D30" i="23" l="1"/>
  <c r="E30" i="23" l="1"/>
  <c r="F30" i="23" s="1"/>
  <c r="H28" i="23"/>
  <c r="I28" i="23" s="1"/>
  <c r="G30" i="23" l="1"/>
  <c r="D31" i="23" l="1"/>
  <c r="E31" i="23" l="1"/>
  <c r="F31" i="23" s="1"/>
  <c r="H29" i="23"/>
  <c r="I29" i="23" s="1"/>
  <c r="G31" i="23" l="1"/>
  <c r="D32" i="23" l="1"/>
  <c r="E32" i="23" l="1"/>
  <c r="F32" i="23" s="1"/>
  <c r="H30" i="23"/>
  <c r="I30" i="23" s="1"/>
  <c r="G32" i="23" l="1"/>
  <c r="D33" i="23" l="1"/>
  <c r="E33" i="23" l="1"/>
  <c r="F33" i="23" s="1"/>
  <c r="H3" i="23"/>
  <c r="E6" i="6" s="1"/>
  <c r="H31" i="23"/>
  <c r="I31" i="23" s="1"/>
  <c r="E28" i="6" l="1"/>
  <c r="E35" i="21"/>
  <c r="G3" i="23"/>
  <c r="D6" i="6" s="1"/>
  <c r="G33" i="23"/>
  <c r="D28" i="6" l="1"/>
  <c r="D13" i="8" s="1"/>
  <c r="C7" i="6"/>
  <c r="C29" i="6" s="1"/>
  <c r="E38" i="21"/>
  <c r="E40" i="21" s="1"/>
  <c r="E13" i="21"/>
  <c r="E56" i="21" s="1"/>
  <c r="D34" i="23"/>
  <c r="E42" i="21" l="1"/>
  <c r="R43" i="29"/>
  <c r="R16" i="29" s="1"/>
  <c r="I43" i="29"/>
  <c r="L43" i="29"/>
  <c r="L16" i="29" s="1"/>
  <c r="O43" i="29"/>
  <c r="O16" i="29" s="1"/>
  <c r="E34" i="23"/>
  <c r="F34" i="23" s="1"/>
  <c r="H32" i="23"/>
  <c r="I32" i="23" s="1"/>
  <c r="T43" i="29" l="1"/>
  <c r="U43" i="29" s="1"/>
  <c r="U16" i="29" s="1"/>
  <c r="I16" i="29"/>
  <c r="G34" i="23"/>
  <c r="E44" i="21"/>
  <c r="D8" i="8" s="1"/>
  <c r="E49" i="21"/>
  <c r="E50" i="21" s="1"/>
  <c r="E45" i="21" l="1"/>
  <c r="D10" i="8" s="1"/>
  <c r="D22" i="8" s="1"/>
  <c r="D35" i="23"/>
  <c r="T16" i="29"/>
  <c r="T44" i="29" s="1"/>
  <c r="I44" i="29"/>
  <c r="J5" i="29" s="1"/>
  <c r="J44" i="29" s="1"/>
  <c r="K5" i="29" s="1"/>
  <c r="K44" i="29" s="1"/>
  <c r="L5" i="29" s="1"/>
  <c r="L44" i="29" s="1"/>
  <c r="M5" i="29" s="1"/>
  <c r="M44" i="29" s="1"/>
  <c r="N5" i="29" s="1"/>
  <c r="N44" i="29" s="1"/>
  <c r="O5" i="29" s="1"/>
  <c r="O44" i="29" s="1"/>
  <c r="P5" i="29" s="1"/>
  <c r="P44" i="29" s="1"/>
  <c r="Q5" i="29" s="1"/>
  <c r="Q44" i="29" s="1"/>
  <c r="R5" i="29" s="1"/>
  <c r="R44" i="29" s="1"/>
  <c r="E35" i="23" l="1"/>
  <c r="F35" i="23" s="1"/>
  <c r="H33" i="23"/>
  <c r="I33" i="23" s="1"/>
  <c r="D40" i="8"/>
  <c r="D42" i="8" s="1"/>
  <c r="D45" i="8" s="1"/>
  <c r="G5" i="31"/>
  <c r="G44" i="31" s="1"/>
  <c r="H5" i="31" s="1"/>
  <c r="H44" i="31" s="1"/>
  <c r="I5" i="31" s="1"/>
  <c r="G35" i="23" l="1"/>
  <c r="D36" i="23" l="1"/>
  <c r="E36" i="23" l="1"/>
  <c r="F36" i="23" s="1"/>
  <c r="H34" i="23"/>
  <c r="I34" i="23" s="1"/>
  <c r="G36" i="23" l="1"/>
  <c r="D37" i="23" l="1"/>
  <c r="E37" i="23" l="1"/>
  <c r="F37" i="23" s="1"/>
  <c r="H35" i="23"/>
  <c r="I35" i="23" s="1"/>
  <c r="G37" i="23" l="1"/>
  <c r="D38" i="23" l="1"/>
  <c r="E38" i="23" l="1"/>
  <c r="F38" i="23" s="1"/>
  <c r="H36" i="23"/>
  <c r="I36" i="23" s="1"/>
  <c r="G38" i="23" l="1"/>
  <c r="D39" i="23" l="1"/>
  <c r="E39" i="23" l="1"/>
  <c r="F39" i="23" s="1"/>
  <c r="H37" i="23"/>
  <c r="I37" i="23" s="1"/>
  <c r="G39" i="23" l="1"/>
  <c r="D40" i="23" l="1"/>
  <c r="E40" i="23" l="1"/>
  <c r="F40" i="23" s="1"/>
  <c r="H38" i="23"/>
  <c r="I38" i="23" s="1"/>
  <c r="G40" i="23" l="1"/>
  <c r="D41" i="23" l="1"/>
  <c r="E41" i="23" l="1"/>
  <c r="F41" i="23" s="1"/>
  <c r="H39" i="23"/>
  <c r="I39" i="23" s="1"/>
  <c r="G41" i="23" l="1"/>
  <c r="D42" i="23" l="1"/>
  <c r="E42" i="23" l="1"/>
  <c r="F42" i="23" s="1"/>
  <c r="H40" i="23"/>
  <c r="I40" i="23" s="1"/>
  <c r="G42" i="23" l="1"/>
  <c r="D43" i="23" l="1"/>
  <c r="E43" i="23" l="1"/>
  <c r="F43" i="23" s="1"/>
  <c r="H41" i="23"/>
  <c r="I41" i="23" s="1"/>
  <c r="G43" i="23" l="1"/>
  <c r="D44" i="23" l="1"/>
  <c r="E44" i="23" l="1"/>
  <c r="F44" i="23" s="1"/>
  <c r="H42" i="23"/>
  <c r="I42" i="23" s="1"/>
  <c r="G44" i="23" l="1"/>
  <c r="D45" i="23" l="1"/>
  <c r="E45" i="23" l="1"/>
  <c r="F45" i="23" s="1"/>
  <c r="H4" i="23"/>
  <c r="E7" i="6" s="1"/>
  <c r="H43" i="23"/>
  <c r="I43" i="23" s="1"/>
  <c r="F35" i="21" l="1"/>
  <c r="E29" i="6"/>
  <c r="G4" i="23"/>
  <c r="D7" i="6" s="1"/>
  <c r="D29" i="6" s="1"/>
  <c r="E13" i="8" s="1"/>
  <c r="G45" i="23"/>
  <c r="D46" i="23" l="1"/>
  <c r="F13" i="21"/>
  <c r="F56" i="21" s="1"/>
  <c r="F38" i="21"/>
  <c r="F40" i="21" s="1"/>
  <c r="E46" i="23" l="1"/>
  <c r="F46" i="23" s="1"/>
  <c r="H44" i="23"/>
  <c r="I44" i="23" s="1"/>
  <c r="F42" i="21"/>
  <c r="L43" i="31"/>
  <c r="L16" i="31" s="1"/>
  <c r="O43" i="31"/>
  <c r="O16" i="31" s="1"/>
  <c r="I43" i="31"/>
  <c r="R43" i="31"/>
  <c r="R16" i="31" s="1"/>
  <c r="T43" i="31" l="1"/>
  <c r="U43" i="31" s="1"/>
  <c r="U16" i="31" s="1"/>
  <c r="I16" i="31"/>
  <c r="F44" i="21"/>
  <c r="F49" i="21"/>
  <c r="F50" i="21" s="1"/>
  <c r="G46" i="23"/>
  <c r="F45" i="21" l="1"/>
  <c r="E10" i="8" s="1"/>
  <c r="E8" i="8"/>
  <c r="D47" i="23"/>
  <c r="T16" i="31"/>
  <c r="T44" i="31" s="1"/>
  <c r="I44" i="31"/>
  <c r="J5" i="31" s="1"/>
  <c r="J44" i="31" s="1"/>
  <c r="K5" i="31" s="1"/>
  <c r="K44" i="31" s="1"/>
  <c r="L5" i="31" s="1"/>
  <c r="L44" i="31" s="1"/>
  <c r="M5" i="31" s="1"/>
  <c r="M44" i="31" s="1"/>
  <c r="N5" i="31" s="1"/>
  <c r="N44" i="31" s="1"/>
  <c r="O5" i="31" s="1"/>
  <c r="O44" i="31" s="1"/>
  <c r="P5" i="31" s="1"/>
  <c r="P44" i="31" s="1"/>
  <c r="Q5" i="31" s="1"/>
  <c r="Q44" i="31" s="1"/>
  <c r="R5" i="31" s="1"/>
  <c r="R44" i="31" s="1"/>
  <c r="E40" i="8" s="1"/>
  <c r="E42" i="8" s="1"/>
  <c r="E22" i="8" l="1"/>
  <c r="E45" i="8" s="1"/>
  <c r="E47" i="23"/>
  <c r="F47" i="23" s="1"/>
  <c r="H45" i="23"/>
  <c r="I45" i="23" s="1"/>
  <c r="G47" i="23" l="1"/>
  <c r="D48" i="23" l="1"/>
  <c r="E48" i="23" l="1"/>
  <c r="F48" i="23" s="1"/>
  <c r="H46" i="23"/>
  <c r="I46" i="23" s="1"/>
  <c r="G48" i="23" l="1"/>
  <c r="D49" i="23" l="1"/>
  <c r="E49" i="23" l="1"/>
  <c r="F49" i="23" s="1"/>
  <c r="H47" i="23"/>
  <c r="I47" i="23" s="1"/>
  <c r="G49" i="23" l="1"/>
  <c r="D50" i="23" l="1"/>
  <c r="E50" i="23" l="1"/>
  <c r="F50" i="23" s="1"/>
  <c r="H48" i="23"/>
  <c r="I48" i="23" s="1"/>
  <c r="G50" i="23" l="1"/>
  <c r="D51" i="23" l="1"/>
  <c r="E51" i="23" l="1"/>
  <c r="F51" i="23" s="1"/>
  <c r="H49" i="23"/>
  <c r="I49" i="23" s="1"/>
  <c r="G51" i="23" l="1"/>
  <c r="D52" i="23" l="1"/>
  <c r="E52" i="23" l="1"/>
  <c r="F52" i="23" s="1"/>
  <c r="H50" i="23"/>
  <c r="I50" i="23" s="1"/>
  <c r="G52" i="23" l="1"/>
  <c r="D53" i="23" l="1"/>
  <c r="E53" i="23" l="1"/>
  <c r="F53" i="23" s="1"/>
  <c r="H51" i="23"/>
  <c r="I51" i="23" s="1"/>
  <c r="G53" i="23" l="1"/>
  <c r="D54" i="23" l="1"/>
  <c r="E54" i="23" l="1"/>
  <c r="F54" i="23" s="1"/>
  <c r="H52" i="23"/>
  <c r="I52" i="23" s="1"/>
  <c r="G54" i="23" l="1"/>
  <c r="D55" i="23" l="1"/>
  <c r="E55" i="23" l="1"/>
  <c r="F55" i="23" s="1"/>
  <c r="H53" i="23"/>
  <c r="I53" i="23" s="1"/>
  <c r="G55" i="23" l="1"/>
  <c r="D56" i="23" l="1"/>
  <c r="E56" i="23" l="1"/>
  <c r="F56" i="23" s="1"/>
  <c r="H54" i="23"/>
  <c r="I54" i="23" s="1"/>
  <c r="G56" i="23" l="1"/>
  <c r="D57" i="23" l="1"/>
  <c r="E57" i="23" l="1"/>
  <c r="F57" i="23" s="1"/>
  <c r="G57" i="23" s="1"/>
  <c r="H56" i="23"/>
  <c r="I56" i="23" s="1"/>
  <c r="H55" i="23"/>
  <c r="I55" i="23" s="1"/>
</calcChain>
</file>

<file path=xl/sharedStrings.xml><?xml version="1.0" encoding="utf-8"?>
<sst xmlns="http://schemas.openxmlformats.org/spreadsheetml/2006/main" count="517" uniqueCount="259">
  <si>
    <t>Amortiss/an</t>
  </si>
  <si>
    <t>Chiffre d'affaires</t>
  </si>
  <si>
    <t>ENTREES</t>
  </si>
  <si>
    <t>SORTIES</t>
  </si>
  <si>
    <t>Investissements</t>
  </si>
  <si>
    <t>Capital</t>
  </si>
  <si>
    <t>Remb cap/an</t>
  </si>
  <si>
    <t>Année</t>
  </si>
  <si>
    <t>Interêts/an</t>
  </si>
  <si>
    <t>Assurances</t>
  </si>
  <si>
    <t>Crédit fournisseurs</t>
  </si>
  <si>
    <t>Dettes à un an au plus</t>
  </si>
  <si>
    <t>TOTAL RESSOURCES</t>
  </si>
  <si>
    <t>Immobilisations incorporelles</t>
  </si>
  <si>
    <t>Immobilisations corporelles</t>
  </si>
  <si>
    <t>Immobilisations financières</t>
  </si>
  <si>
    <t>Stocks</t>
  </si>
  <si>
    <t>Crédit clients</t>
  </si>
  <si>
    <t>Valeurs disponibles</t>
  </si>
  <si>
    <t>TOTAL EMPLOIS</t>
  </si>
  <si>
    <t>départ</t>
  </si>
  <si>
    <t>Marchandises</t>
  </si>
  <si>
    <t>Solde TVA à payer</t>
  </si>
  <si>
    <t>Solde TVA à récupérer</t>
  </si>
  <si>
    <t>Total HTVA</t>
  </si>
  <si>
    <t>Val résid. 1</t>
  </si>
  <si>
    <t>Val resid. 2</t>
  </si>
  <si>
    <t xml:space="preserve">Créances à plus d'un an </t>
  </si>
  <si>
    <t>RESSOURCES - PASSIF</t>
  </si>
  <si>
    <t>EMPLOIS - ACTIF</t>
  </si>
  <si>
    <t>Mensualité</t>
  </si>
  <si>
    <t>FINANCEMENTS</t>
  </si>
  <si>
    <t>Frais de constitution</t>
  </si>
  <si>
    <t>TOTAL</t>
  </si>
  <si>
    <t>Ventes htva</t>
  </si>
  <si>
    <t>Achats htva</t>
  </si>
  <si>
    <t>Ventes tvac</t>
  </si>
  <si>
    <t>Achats tvac</t>
  </si>
  <si>
    <t>AN 2</t>
  </si>
  <si>
    <t>AN 1</t>
  </si>
  <si>
    <t>Part C.A.</t>
  </si>
  <si>
    <t>Sous-total corporelles</t>
  </si>
  <si>
    <t>Sous-total incorporelles</t>
  </si>
  <si>
    <t>Sous-total constitution</t>
  </si>
  <si>
    <t xml:space="preserve">Emprunts </t>
  </si>
  <si>
    <t>Total an1</t>
  </si>
  <si>
    <t>Immobilisations en leasing</t>
  </si>
  <si>
    <t>Remboursement emprunt &amp; leasing</t>
  </si>
  <si>
    <t xml:space="preserve">Subsides en capital </t>
  </si>
  <si>
    <t>mois1</t>
  </si>
  <si>
    <t>mois2</t>
  </si>
  <si>
    <t>mois3</t>
  </si>
  <si>
    <t>mois4</t>
  </si>
  <si>
    <t>mois5</t>
  </si>
  <si>
    <t>mois6</t>
  </si>
  <si>
    <t>mois7</t>
  </si>
  <si>
    <t>mois8</t>
  </si>
  <si>
    <t>mois9</t>
  </si>
  <si>
    <t>mois10</t>
  </si>
  <si>
    <t>mois11</t>
  </si>
  <si>
    <t>mois12</t>
  </si>
  <si>
    <t>Versements anticipés d'impots</t>
  </si>
  <si>
    <t>An 1</t>
  </si>
  <si>
    <t>An 2</t>
  </si>
  <si>
    <t>Bénéfice brut d'exploitation</t>
  </si>
  <si>
    <t>Bénéfice courant avt impôts</t>
  </si>
  <si>
    <t>AFFECTATIONS</t>
  </si>
  <si>
    <t>1. Frais de constitution</t>
  </si>
  <si>
    <t>1. Apports propres</t>
  </si>
  <si>
    <t>3.1 Garantie locatives</t>
  </si>
  <si>
    <t>3.2 Cautions gaz-électricité</t>
  </si>
  <si>
    <t>4.1 Achat de terrain</t>
  </si>
  <si>
    <t>4.2 Coût de construction d'immeuble</t>
  </si>
  <si>
    <t>4.3 Aménagement ou transformation d'immeuble</t>
  </si>
  <si>
    <t>4.4 Achat de matériel</t>
  </si>
  <si>
    <t>4.5 Achat de matériel roulant</t>
  </si>
  <si>
    <t>4.6 Achat de mobilier professionnel</t>
  </si>
  <si>
    <t>4.7 Achat d'un bien par leasing</t>
  </si>
  <si>
    <t>4.8 Autres investissements matériels</t>
  </si>
  <si>
    <t>SOUS-TOTAL (1+2+3+4)</t>
  </si>
  <si>
    <t>SOUS-TOTAL (1+2)</t>
  </si>
  <si>
    <t>3. Emprunts à plus d'un an</t>
  </si>
  <si>
    <t>contracté</t>
  </si>
  <si>
    <t>6. Trésorerie minimale</t>
  </si>
  <si>
    <t>4. Emprunts à un an au plus</t>
  </si>
  <si>
    <t xml:space="preserve">à contracter </t>
  </si>
  <si>
    <t>7. Frais de lancement</t>
  </si>
  <si>
    <t>SOUS-TOTAL (5+6+7)</t>
  </si>
  <si>
    <t>SOUS-TOTAL (3+4)</t>
  </si>
  <si>
    <t>TOTAL AFFECTATIONS</t>
  </si>
  <si>
    <t>TOTAL FINANCEMENTS</t>
  </si>
  <si>
    <t>3. Immobilisations financières</t>
  </si>
  <si>
    <t>charges financières de leasing</t>
  </si>
  <si>
    <t>Charges financières d'emprunt</t>
  </si>
  <si>
    <t>Bénéfice de l'exercice</t>
  </si>
  <si>
    <t>2.1 Pas de porte</t>
  </si>
  <si>
    <t>2.2. Autres</t>
  </si>
  <si>
    <t>1.2 Autres</t>
  </si>
  <si>
    <t>3.3 Autres</t>
  </si>
  <si>
    <t>Garantie locative</t>
  </si>
  <si>
    <t>Caution gaz-électricité</t>
  </si>
  <si>
    <t>Autres garanties</t>
  </si>
  <si>
    <t>3. Subsides</t>
  </si>
  <si>
    <t>Subside en capital</t>
  </si>
  <si>
    <t>Subsides en capital</t>
  </si>
  <si>
    <t>Subside d'exploitation</t>
  </si>
  <si>
    <t>Subsides d'exploitation</t>
  </si>
  <si>
    <t>Subside capital</t>
  </si>
  <si>
    <t>2. Immobilisations corporelles</t>
  </si>
  <si>
    <t>Affectation à la réserve légale</t>
  </si>
  <si>
    <t>4. Immobilisations corporelles</t>
  </si>
  <si>
    <t>Réserve légale</t>
  </si>
  <si>
    <t>Situation début de mois</t>
  </si>
  <si>
    <t>Compte de résultat</t>
  </si>
  <si>
    <t>Juillet</t>
  </si>
  <si>
    <t>Octobre</t>
  </si>
  <si>
    <t>Novembre</t>
  </si>
  <si>
    <t>Décembre</t>
  </si>
  <si>
    <t>Montant</t>
  </si>
  <si>
    <t>capital remboursé</t>
  </si>
  <si>
    <t>intérêt / an</t>
  </si>
  <si>
    <t>Taux annuel</t>
  </si>
  <si>
    <t>Taux mensuel</t>
  </si>
  <si>
    <t xml:space="preserve">Durée (années)  </t>
  </si>
  <si>
    <t xml:space="preserve">Intérêts </t>
  </si>
  <si>
    <t>Mois</t>
  </si>
  <si>
    <t>Intérêts</t>
  </si>
  <si>
    <t>Amortissement</t>
  </si>
  <si>
    <t>Capital remboursé</t>
  </si>
  <si>
    <t>Solde restant dû</t>
  </si>
  <si>
    <t>Indemnités de remboursement</t>
  </si>
  <si>
    <t>Total remboursement anticipé</t>
  </si>
  <si>
    <t>2. Apports en nature</t>
  </si>
  <si>
    <t>Autre</t>
  </si>
  <si>
    <t>7.1 publicité</t>
  </si>
  <si>
    <t>Libération capital en nature</t>
  </si>
  <si>
    <t>PU Ventes htva</t>
  </si>
  <si>
    <t>PU Achats htva</t>
  </si>
  <si>
    <t xml:space="preserve">Marchandises </t>
  </si>
  <si>
    <t>Matières premières</t>
  </si>
  <si>
    <t>5. Stock initial</t>
  </si>
  <si>
    <t>Achats marchandises</t>
  </si>
  <si>
    <t>Résultat à reporter</t>
  </si>
  <si>
    <t>Val resid. 3</t>
  </si>
  <si>
    <t>AN 3</t>
  </si>
  <si>
    <t>An 3</t>
  </si>
  <si>
    <t>1.1 Notaire, BCE, …</t>
  </si>
  <si>
    <t xml:space="preserve">Juin           </t>
  </si>
  <si>
    <t xml:space="preserve">Septembre             </t>
  </si>
  <si>
    <t>Janvier</t>
  </si>
  <si>
    <t>Février</t>
  </si>
  <si>
    <t>Mars</t>
  </si>
  <si>
    <t>TEMPS TOTAL</t>
  </si>
  <si>
    <t xml:space="preserve">Résultat reporté </t>
  </si>
  <si>
    <t>Août</t>
  </si>
  <si>
    <t xml:space="preserve">1.1 Apports en espèces </t>
  </si>
  <si>
    <t>apport en numéraire (fonds propres)</t>
  </si>
  <si>
    <t>Avril</t>
  </si>
  <si>
    <t xml:space="preserve">Mai </t>
  </si>
  <si>
    <t>Leasing (sur 4 ans)</t>
  </si>
  <si>
    <t>Libération du capital - numéraire</t>
  </si>
  <si>
    <t>Libération du capital - nature</t>
  </si>
  <si>
    <t>Emprunts à plus d'un an + leasing</t>
  </si>
  <si>
    <t>Crédit</t>
  </si>
  <si>
    <t>Achat d'un bien par leasing</t>
  </si>
  <si>
    <t>#pièces /mois</t>
  </si>
  <si>
    <t>Variations Saison</t>
  </si>
  <si>
    <t>Taux TVA Ventes</t>
  </si>
  <si>
    <t>Taux TVA Achats</t>
  </si>
  <si>
    <t>Frais de Personnel</t>
  </si>
  <si>
    <t>Loyer (+Précompte Immobilier)</t>
  </si>
  <si>
    <t>Eau-gaz-électricité</t>
  </si>
  <si>
    <t>frais de bureau et petit matériel</t>
  </si>
  <si>
    <t>Communication - publicité</t>
  </si>
  <si>
    <t>frais représentation</t>
  </si>
  <si>
    <t>Frais de déplacement (abonements, véhicules, entretiens)</t>
  </si>
  <si>
    <t>Téléphone et internet</t>
  </si>
  <si>
    <t>Taxe Véhicule</t>
  </si>
  <si>
    <t>Honoraires comptable</t>
  </si>
  <si>
    <t>Honoraires autres experts</t>
  </si>
  <si>
    <t>Imprévus</t>
  </si>
  <si>
    <t>Divers 2</t>
  </si>
  <si>
    <t>Cotisations sociales</t>
  </si>
  <si>
    <t>Amortissements</t>
  </si>
  <si>
    <t xml:space="preserve">Services et biens Divers            </t>
  </si>
  <si>
    <t>Cotisation Inasti société</t>
  </si>
  <si>
    <t>Divers  (terminal…)</t>
  </si>
  <si>
    <t>Rémunération - Administrateur(s) / Gérant(s)</t>
  </si>
  <si>
    <t>Divers 3</t>
  </si>
  <si>
    <t>Situation Fin de mois</t>
  </si>
  <si>
    <t>Totaux TVAC</t>
  </si>
  <si>
    <t>Taux TVA</t>
  </si>
  <si>
    <t>Totaux HTVA</t>
  </si>
  <si>
    <t>Tableau TVA AN 1</t>
  </si>
  <si>
    <t>Solde TVA à payer (Ventes)</t>
  </si>
  <si>
    <t>Balance Trimestrielle</t>
  </si>
  <si>
    <t>Balance par mois</t>
  </si>
  <si>
    <t>Crédit bancaire</t>
  </si>
  <si>
    <t>Taux Amort</t>
  </si>
  <si>
    <t>Base HTVA</t>
  </si>
  <si>
    <t>Total TVAC</t>
  </si>
  <si>
    <t>BASE TVAC</t>
  </si>
  <si>
    <t>Produits</t>
  </si>
  <si>
    <t>Chiffre Affaire - Ventes</t>
  </si>
  <si>
    <t>TVA</t>
  </si>
  <si>
    <t>TRESORERIE ANNEE 1 - TVAC</t>
  </si>
  <si>
    <t>PLAN DE FINANCEMENT ET D’AFFECTATION  (HTVA)</t>
  </si>
  <si>
    <t>BILAN</t>
  </si>
  <si>
    <t>Balance vérification</t>
  </si>
  <si>
    <t xml:space="preserve">Taux  - Impôts Sociétés </t>
  </si>
  <si>
    <t>Précompte</t>
  </si>
  <si>
    <t>TRESORERIE ANNEE 2 - TVAC</t>
  </si>
  <si>
    <t>Tableau TVA AN 3</t>
  </si>
  <si>
    <t>Tableau TVA AN 2</t>
  </si>
  <si>
    <t>Variation par rapport AN 1</t>
  </si>
  <si>
    <t>Variation par rapport an 2</t>
  </si>
  <si>
    <t>Compte courant TVA / à payer</t>
  </si>
  <si>
    <t>Compte courant TVA / à récupérer</t>
  </si>
  <si>
    <t>COMPTE DE RESULTAT</t>
  </si>
  <si>
    <t>Stock de départ</t>
  </si>
  <si>
    <t>VENTES</t>
  </si>
  <si>
    <t>INVESTISSEMENTS</t>
  </si>
  <si>
    <t>Impôts sur le résultat / à payer</t>
  </si>
  <si>
    <t>RECAPITULATIF CREDITS</t>
  </si>
  <si>
    <t>Année 1</t>
  </si>
  <si>
    <t>Année 2</t>
  </si>
  <si>
    <t>Année 3</t>
  </si>
  <si>
    <t>Seuil rentabilité</t>
  </si>
  <si>
    <t>Marge sur Coûts Variables</t>
  </si>
  <si>
    <t>Taux Marge sur Coûts Variables</t>
  </si>
  <si>
    <t>Seuil Rentabilité</t>
  </si>
  <si>
    <t>TRESORERIE ANNEE 3 - TVAC</t>
  </si>
  <si>
    <t>Fonds de commerce</t>
  </si>
  <si>
    <r>
      <t xml:space="preserve">Prix Unitaire Ventes </t>
    </r>
    <r>
      <rPr>
        <b/>
        <i/>
        <sz val="8"/>
        <rFont val="Arial Unicode MS"/>
      </rPr>
      <t>TVAC</t>
    </r>
  </si>
  <si>
    <r>
      <t>Prix Unitaire Achats</t>
    </r>
    <r>
      <rPr>
        <b/>
        <i/>
        <sz val="8"/>
        <rFont val="Arial Unicode MS"/>
      </rPr>
      <t xml:space="preserve"> HTVA</t>
    </r>
  </si>
  <si>
    <t>Coef</t>
  </si>
  <si>
    <t>Cap autofin  - remboursement Capital</t>
  </si>
  <si>
    <t xml:space="preserve">4.3 Aménagements </t>
  </si>
  <si>
    <t>4.4 Achat de Matériel</t>
  </si>
  <si>
    <t>4.6 Mobilier</t>
  </si>
  <si>
    <t>HTVA</t>
  </si>
  <si>
    <t>4.7 Autres</t>
  </si>
  <si>
    <t>Capacité autofinancement  (43 + 36)</t>
  </si>
  <si>
    <t>Frais de Personnel (onglet personnel)</t>
  </si>
  <si>
    <t>Mai</t>
  </si>
  <si>
    <t>Juin</t>
  </si>
  <si>
    <t>Septembre</t>
  </si>
  <si>
    <t>Total</t>
  </si>
  <si>
    <t>Notaire, RC, …</t>
  </si>
  <si>
    <t>Autres</t>
  </si>
  <si>
    <t>Pas de porte</t>
  </si>
  <si>
    <t>Achat de terrain</t>
  </si>
  <si>
    <t>Achat de matériel</t>
  </si>
  <si>
    <t>matériel roulant</t>
  </si>
  <si>
    <t>Achat de mobilier professionnel</t>
  </si>
  <si>
    <t>Achat d'un bien par leasing (4 ans)</t>
  </si>
  <si>
    <t>Autres investissements matériels</t>
  </si>
  <si>
    <t>Aménagement ou transformation</t>
  </si>
  <si>
    <t>Employé / Ouvrier ( Fonction)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</si>
</sst>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164" formatCode="_-* #,##0.00\ &quot;F&quot;_-;\-* #,##0.00\ &quot;F&quot;_-;_-* &quot;-&quot;??\ &quot;F&quot;_-;_-@_-"/>
    <numFmt numFmtId="165" formatCode="_-* #,##0.00\ _F_-;\-* #,##0.00\ _F_-;_-* &quot;-&quot;??\ _F_-;_-@_-"/>
    <numFmt numFmtId="166" formatCode="_-* #,##0\ _F_-;\-* #,##0\ _F_-;_-* &quot;-&quot;??\ _F_-;_-@_-"/>
    <numFmt numFmtId="167" formatCode="#,##0.00\ &quot;€&quot;"/>
    <numFmt numFmtId="168" formatCode="0.00000"/>
    <numFmt numFmtId="169" formatCode="#,##0\ &quot;FB&quot;"/>
    <numFmt numFmtId="170" formatCode="0.0000%"/>
    <numFmt numFmtId="171" formatCode="#,##0.00000"/>
    <numFmt numFmtId="172" formatCode="#,##0.00\ &quot;FB&quot;"/>
    <numFmt numFmtId="173" formatCode="#,##0.00_ ;\-#,##0.00\ "/>
    <numFmt numFmtId="174" formatCode="_-* #,##0.0\ [$€-80C]_-;\-* #,##0.0\ [$€-80C]_-;_-* &quot;-&quot;??\ [$€-80C]_-;_-@_-"/>
    <numFmt numFmtId="175" formatCode="_-* #,##0\ [$€-80C]_-;\-* #,##0\ [$€-80C]_-;_-* &quot;-&quot;??\ [$€-80C]_-;_-@_-"/>
  </numFmts>
  <fonts count="34">
    <font>
      <sz val="10"/>
      <name val="Arial"/>
    </font>
    <font>
      <sz val="10"/>
      <name val="Arial"/>
    </font>
    <font>
      <sz val="8"/>
      <name val="Arial Unicode MS"/>
      <family val="2"/>
    </font>
    <font>
      <b/>
      <i/>
      <sz val="9"/>
      <name val="Arial Unicode MS"/>
      <family val="2"/>
    </font>
    <font>
      <i/>
      <sz val="8"/>
      <name val="Arial Unicode MS"/>
      <family val="2"/>
    </font>
    <font>
      <i/>
      <sz val="9"/>
      <name val="Arial Unicode MS"/>
      <family val="2"/>
    </font>
    <font>
      <b/>
      <sz val="9"/>
      <name val="Arial Unicode MS"/>
      <family val="2"/>
    </font>
    <font>
      <b/>
      <sz val="8"/>
      <name val="Arial Unicode MS"/>
      <family val="2"/>
    </font>
    <font>
      <b/>
      <i/>
      <sz val="8"/>
      <name val="Arial Unicode MS"/>
      <family val="2"/>
    </font>
    <font>
      <sz val="9"/>
      <name val="Arial Unicode MS"/>
      <family val="2"/>
    </font>
    <font>
      <b/>
      <u/>
      <sz val="9"/>
      <name val="Arial Unicode MS"/>
      <family val="2"/>
    </font>
    <font>
      <b/>
      <u val="singleAccounting"/>
      <sz val="9"/>
      <name val="Arial Unicode MS"/>
      <family val="2"/>
    </font>
    <font>
      <u val="singleAccounting"/>
      <sz val="9"/>
      <name val="Arial Unicode MS"/>
      <family val="2"/>
    </font>
    <font>
      <b/>
      <sz val="9"/>
      <color indexed="9"/>
      <name val="Arial Unicode MS"/>
      <family val="2"/>
    </font>
    <font>
      <sz val="9"/>
      <color indexed="9"/>
      <name val="Arial Unicode MS"/>
      <family val="2"/>
    </font>
    <font>
      <b/>
      <sz val="11"/>
      <name val="Arial Unicode MS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 Unicode MS"/>
      <family val="2"/>
    </font>
    <font>
      <sz val="8"/>
      <color indexed="43"/>
      <name val="Arial Unicode MS"/>
      <family val="2"/>
    </font>
    <font>
      <sz val="8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2"/>
      <name val="Trebuchet MS"/>
      <family val="2"/>
    </font>
    <font>
      <i/>
      <sz val="10"/>
      <name val="Arial Unicode MS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 Unicode MS"/>
      <family val="2"/>
    </font>
    <font>
      <sz val="10"/>
      <name val="Arial"/>
      <family val="2"/>
    </font>
    <font>
      <b/>
      <i/>
      <sz val="8"/>
      <name val="Arial Unicode MS"/>
    </font>
    <font>
      <b/>
      <sz val="9"/>
      <color theme="1"/>
      <name val="Arial Unicode MS"/>
      <family val="2"/>
    </font>
    <font>
      <sz val="10"/>
      <color theme="0" tint="-4.9989318521683403E-2"/>
      <name val="Arial"/>
      <family val="2"/>
    </font>
    <font>
      <sz val="10"/>
      <color theme="0" tint="-0.14999847407452621"/>
      <name val="Arial"/>
      <family val="2"/>
    </font>
    <font>
      <sz val="9"/>
      <color theme="1"/>
      <name val="Arial Unicode MS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5">
    <xf numFmtId="0" fontId="0" fillId="0" borderId="0" xfId="0"/>
    <xf numFmtId="165" fontId="2" fillId="0" borderId="1" xfId="2" applyFont="1" applyBorder="1"/>
    <xf numFmtId="165" fontId="4" fillId="0" borderId="1" xfId="2" applyFont="1" applyBorder="1"/>
    <xf numFmtId="165" fontId="3" fillId="0" borderId="2" xfId="2" applyFont="1" applyBorder="1"/>
    <xf numFmtId="165" fontId="5" fillId="0" borderId="0" xfId="2" applyFont="1"/>
    <xf numFmtId="165" fontId="5" fillId="0" borderId="1" xfId="2" applyFont="1" applyBorder="1"/>
    <xf numFmtId="165" fontId="6" fillId="0" borderId="3" xfId="2" applyFont="1" applyBorder="1" applyAlignment="1">
      <alignment horizontal="center"/>
    </xf>
    <xf numFmtId="165" fontId="4" fillId="0" borderId="0" xfId="2" applyFont="1"/>
    <xf numFmtId="165" fontId="9" fillId="0" borderId="0" xfId="2" applyFont="1"/>
    <xf numFmtId="165" fontId="6" fillId="0" borderId="0" xfId="2" applyFont="1"/>
    <xf numFmtId="165" fontId="3" fillId="0" borderId="4" xfId="2" applyFont="1" applyBorder="1"/>
    <xf numFmtId="165" fontId="2" fillId="0" borderId="0" xfId="2" applyFont="1" applyAlignment="1">
      <alignment horizontal="center"/>
    </xf>
    <xf numFmtId="165" fontId="2" fillId="0" borderId="0" xfId="2" applyFont="1"/>
    <xf numFmtId="165" fontId="7" fillId="0" borderId="0" xfId="2" applyFont="1"/>
    <xf numFmtId="165" fontId="9" fillId="0" borderId="3" xfId="2" applyFont="1" applyBorder="1"/>
    <xf numFmtId="165" fontId="9" fillId="0" borderId="5" xfId="2" applyFont="1" applyBorder="1"/>
    <xf numFmtId="165" fontId="9" fillId="0" borderId="1" xfId="2" applyFont="1" applyBorder="1"/>
    <xf numFmtId="165" fontId="6" fillId="0" borderId="2" xfId="2" applyFont="1" applyBorder="1"/>
    <xf numFmtId="165" fontId="6" fillId="0" borderId="3" xfId="2" applyFont="1" applyBorder="1"/>
    <xf numFmtId="165" fontId="6" fillId="0" borderId="6" xfId="2" applyFont="1" applyBorder="1"/>
    <xf numFmtId="165" fontId="6" fillId="0" borderId="5" xfId="2" applyFont="1" applyBorder="1"/>
    <xf numFmtId="165" fontId="6" fillId="0" borderId="7" xfId="2" applyFont="1" applyBorder="1"/>
    <xf numFmtId="165" fontId="9" fillId="0" borderId="8" xfId="2" applyFont="1" applyBorder="1"/>
    <xf numFmtId="165" fontId="9" fillId="0" borderId="9" xfId="2" applyFont="1" applyBorder="1"/>
    <xf numFmtId="165" fontId="6" fillId="0" borderId="10" xfId="2" applyFont="1" applyBorder="1"/>
    <xf numFmtId="165" fontId="6" fillId="0" borderId="9" xfId="2" applyFont="1" applyBorder="1"/>
    <xf numFmtId="165" fontId="3" fillId="0" borderId="0" xfId="2" applyFont="1"/>
    <xf numFmtId="165" fontId="3" fillId="0" borderId="5" xfId="2" applyFont="1" applyBorder="1"/>
    <xf numFmtId="165" fontId="3" fillId="0" borderId="9" xfId="2" applyFont="1" applyBorder="1"/>
    <xf numFmtId="165" fontId="6" fillId="0" borderId="9" xfId="2" applyFont="1" applyBorder="1" applyAlignment="1">
      <alignment horizontal="center"/>
    </xf>
    <xf numFmtId="165" fontId="6" fillId="0" borderId="0" xfId="2" applyFont="1" applyAlignment="1">
      <alignment horizontal="center"/>
    </xf>
    <xf numFmtId="165" fontId="9" fillId="0" borderId="0" xfId="2" applyFont="1" applyAlignment="1">
      <alignment horizontal="center"/>
    </xf>
    <xf numFmtId="165" fontId="3" fillId="0" borderId="8" xfId="2" applyFont="1" applyBorder="1"/>
    <xf numFmtId="165" fontId="5" fillId="0" borderId="11" xfId="2" applyFont="1" applyBorder="1"/>
    <xf numFmtId="165" fontId="6" fillId="0" borderId="12" xfId="2" applyFont="1" applyBorder="1" applyAlignment="1">
      <alignment horizontal="center"/>
    </xf>
    <xf numFmtId="0" fontId="6" fillId="0" borderId="8" xfId="2" applyNumberFormat="1" applyFont="1" applyBorder="1" applyAlignment="1">
      <alignment horizontal="left" indent="1"/>
    </xf>
    <xf numFmtId="165" fontId="6" fillId="0" borderId="0" xfId="2" applyFont="1" applyAlignment="1">
      <alignment horizontal="left"/>
    </xf>
    <xf numFmtId="165" fontId="9" fillId="0" borderId="8" xfId="2" applyFont="1" applyBorder="1" applyAlignment="1">
      <alignment horizontal="right" indent="1"/>
    </xf>
    <xf numFmtId="165" fontId="9" fillId="0" borderId="1" xfId="2" applyFont="1" applyBorder="1" applyAlignment="1">
      <alignment horizontal="right" indent="1"/>
    </xf>
    <xf numFmtId="0" fontId="3" fillId="0" borderId="8" xfId="2" applyNumberFormat="1" applyFont="1" applyBorder="1" applyAlignment="1">
      <alignment horizontal="left" indent="1"/>
    </xf>
    <xf numFmtId="165" fontId="6" fillId="0" borderId="8" xfId="2" applyFont="1" applyBorder="1" applyAlignment="1">
      <alignment horizontal="right" indent="1"/>
    </xf>
    <xf numFmtId="165" fontId="6" fillId="0" borderId="1" xfId="2" applyFont="1" applyBorder="1" applyAlignment="1">
      <alignment horizontal="right" indent="1"/>
    </xf>
    <xf numFmtId="165" fontId="5" fillId="0" borderId="8" xfId="2" applyFont="1" applyBorder="1" applyAlignment="1">
      <alignment horizontal="right" indent="1"/>
    </xf>
    <xf numFmtId="165" fontId="5" fillId="0" borderId="1" xfId="2" applyFont="1" applyBorder="1" applyAlignment="1">
      <alignment horizontal="right" indent="1"/>
    </xf>
    <xf numFmtId="0" fontId="9" fillId="0" borderId="0" xfId="2" applyNumberFormat="1" applyFont="1" applyAlignment="1">
      <alignment horizontal="left" indent="1"/>
    </xf>
    <xf numFmtId="0" fontId="6" fillId="0" borderId="0" xfId="2" applyNumberFormat="1" applyFont="1" applyAlignment="1">
      <alignment horizontal="left" indent="1"/>
    </xf>
    <xf numFmtId="165" fontId="9" fillId="0" borderId="1" xfId="2" applyFont="1" applyBorder="1" applyAlignment="1">
      <alignment horizontal="left"/>
    </xf>
    <xf numFmtId="165" fontId="14" fillId="0" borderId="9" xfId="2" applyFont="1" applyBorder="1" applyAlignment="1">
      <alignment horizontal="left" indent="4"/>
    </xf>
    <xf numFmtId="165" fontId="6" fillId="0" borderId="13" xfId="2" applyFont="1" applyBorder="1"/>
    <xf numFmtId="165" fontId="6" fillId="0" borderId="14" xfId="2" applyFont="1" applyBorder="1"/>
    <xf numFmtId="165" fontId="7" fillId="0" borderId="0" xfId="2" applyFont="1" applyAlignment="1">
      <alignment horizontal="center"/>
    </xf>
    <xf numFmtId="165" fontId="7" fillId="0" borderId="1" xfId="2" applyFont="1" applyBorder="1" applyAlignment="1">
      <alignment horizontal="center"/>
    </xf>
    <xf numFmtId="165" fontId="2" fillId="0" borderId="2" xfId="2" applyFont="1" applyBorder="1"/>
    <xf numFmtId="165" fontId="2" fillId="0" borderId="0" xfId="2" applyFont="1" applyAlignment="1">
      <alignment horizontal="left" indent="1"/>
    </xf>
    <xf numFmtId="165" fontId="4" fillId="0" borderId="0" xfId="2" applyFont="1" applyAlignment="1">
      <alignment horizontal="left" indent="1"/>
    </xf>
    <xf numFmtId="165" fontId="7" fillId="0" borderId="0" xfId="2" applyFont="1" applyAlignment="1">
      <alignment horizontal="left" indent="1"/>
    </xf>
    <xf numFmtId="165" fontId="8" fillId="0" borderId="0" xfId="2" applyFont="1" applyAlignment="1">
      <alignment horizontal="left" indent="1"/>
    </xf>
    <xf numFmtId="165" fontId="2" fillId="0" borderId="9" xfId="2" applyFont="1" applyBorder="1"/>
    <xf numFmtId="167" fontId="0" fillId="0" borderId="0" xfId="0" applyNumberFormat="1"/>
    <xf numFmtId="0" fontId="16" fillId="0" borderId="0" xfId="0" applyFont="1" applyAlignment="1">
      <alignment horizontal="center"/>
    </xf>
    <xf numFmtId="170" fontId="0" fillId="0" borderId="0" xfId="4" applyNumberFormat="1" applyFont="1"/>
    <xf numFmtId="0" fontId="16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169" fontId="16" fillId="0" borderId="0" xfId="0" applyNumberFormat="1" applyFont="1"/>
    <xf numFmtId="171" fontId="0" fillId="0" borderId="0" xfId="0" applyNumberFormat="1"/>
    <xf numFmtId="169" fontId="0" fillId="0" borderId="0" xfId="0" applyNumberFormat="1"/>
    <xf numFmtId="172" fontId="0" fillId="0" borderId="0" xfId="0" applyNumberFormat="1"/>
    <xf numFmtId="0" fontId="0" fillId="0" borderId="0" xfId="0" quotePrefix="1" applyAlignment="1">
      <alignment horizontal="left"/>
    </xf>
    <xf numFmtId="0" fontId="16" fillId="0" borderId="15" xfId="0" applyFont="1" applyBorder="1" applyAlignment="1">
      <alignment horizontal="center" vertical="center"/>
    </xf>
    <xf numFmtId="172" fontId="16" fillId="0" borderId="16" xfId="0" applyNumberFormat="1" applyFont="1" applyBorder="1" applyAlignment="1">
      <alignment horizontal="center" vertical="center"/>
    </xf>
    <xf numFmtId="0" fontId="16" fillId="0" borderId="16" xfId="0" quotePrefix="1" applyFont="1" applyBorder="1" applyAlignment="1">
      <alignment horizontal="center" vertical="center"/>
    </xf>
    <xf numFmtId="0" fontId="16" fillId="0" borderId="16" xfId="0" quotePrefix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167" fontId="0" fillId="0" borderId="3" xfId="0" applyNumberFormat="1" applyBorder="1"/>
    <xf numFmtId="167" fontId="0" fillId="0" borderId="3" xfId="0" quotePrefix="1" applyNumberFormat="1" applyBorder="1" applyAlignment="1">
      <alignment horizontal="left"/>
    </xf>
    <xf numFmtId="167" fontId="0" fillId="0" borderId="19" xfId="0" applyNumberFormat="1" applyBorder="1"/>
    <xf numFmtId="14" fontId="0" fillId="0" borderId="18" xfId="0" applyNumberFormat="1" applyBorder="1" applyAlignment="1">
      <alignment horizontal="center"/>
    </xf>
    <xf numFmtId="165" fontId="10" fillId="0" borderId="0" xfId="2" applyFont="1"/>
    <xf numFmtId="165" fontId="11" fillId="0" borderId="9" xfId="2" applyFont="1" applyBorder="1"/>
    <xf numFmtId="165" fontId="12" fillId="0" borderId="9" xfId="2" applyFont="1" applyBorder="1"/>
    <xf numFmtId="167" fontId="16" fillId="0" borderId="0" xfId="0" applyNumberFormat="1" applyFont="1"/>
    <xf numFmtId="165" fontId="18" fillId="0" borderId="8" xfId="2" applyFont="1" applyBorder="1"/>
    <xf numFmtId="165" fontId="18" fillId="0" borderId="9" xfId="2" applyFont="1" applyBorder="1"/>
    <xf numFmtId="170" fontId="0" fillId="0" borderId="2" xfId="0" applyNumberFormat="1" applyBorder="1"/>
    <xf numFmtId="165" fontId="9" fillId="0" borderId="2" xfId="2" applyFont="1" applyBorder="1"/>
    <xf numFmtId="0" fontId="9" fillId="0" borderId="8" xfId="2" applyNumberFormat="1" applyFont="1" applyBorder="1" applyAlignment="1">
      <alignment horizontal="center"/>
    </xf>
    <xf numFmtId="165" fontId="3" fillId="0" borderId="11" xfId="2" applyFont="1" applyBorder="1"/>
    <xf numFmtId="169" fontId="0" fillId="0" borderId="11" xfId="0" applyNumberFormat="1" applyBorder="1" applyAlignment="1">
      <alignment horizontal="center"/>
    </xf>
    <xf numFmtId="0" fontId="0" fillId="0" borderId="4" xfId="0" applyBorder="1"/>
    <xf numFmtId="0" fontId="0" fillId="0" borderId="8" xfId="0" applyBorder="1" applyAlignment="1">
      <alignment horizontal="center"/>
    </xf>
    <xf numFmtId="167" fontId="0" fillId="0" borderId="9" xfId="0" applyNumberFormat="1" applyBorder="1"/>
    <xf numFmtId="0" fontId="0" fillId="0" borderId="20" xfId="0" applyBorder="1" applyAlignment="1">
      <alignment horizontal="center"/>
    </xf>
    <xf numFmtId="167" fontId="0" fillId="0" borderId="7" xfId="0" applyNumberFormat="1" applyBorder="1"/>
    <xf numFmtId="167" fontId="0" fillId="0" borderId="21" xfId="0" applyNumberFormat="1" applyBorder="1"/>
    <xf numFmtId="0" fontId="23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left"/>
    </xf>
    <xf numFmtId="165" fontId="9" fillId="0" borderId="10" xfId="2" applyFont="1" applyBorder="1"/>
    <xf numFmtId="165" fontId="10" fillId="0" borderId="8" xfId="2" applyFont="1" applyBorder="1"/>
    <xf numFmtId="165" fontId="9" fillId="0" borderId="8" xfId="2" applyFont="1" applyBorder="1" applyAlignment="1">
      <alignment horizontal="left" vertical="top" wrapText="1"/>
    </xf>
    <xf numFmtId="165" fontId="4" fillId="0" borderId="9" xfId="2" applyFont="1" applyBorder="1"/>
    <xf numFmtId="0" fontId="21" fillId="0" borderId="8" xfId="0" applyFont="1" applyBorder="1"/>
    <xf numFmtId="165" fontId="9" fillId="0" borderId="7" xfId="2" applyFont="1" applyBorder="1"/>
    <xf numFmtId="165" fontId="9" fillId="0" borderId="21" xfId="2" applyFont="1" applyBorder="1"/>
    <xf numFmtId="165" fontId="6" fillId="0" borderId="22" xfId="2" applyFont="1" applyBorder="1"/>
    <xf numFmtId="165" fontId="24" fillId="0" borderId="0" xfId="2" applyFont="1" applyAlignment="1">
      <alignment horizontal="left" indent="1"/>
    </xf>
    <xf numFmtId="170" fontId="1" fillId="0" borderId="0" xfId="4" applyNumberFormat="1"/>
    <xf numFmtId="0" fontId="21" fillId="0" borderId="0" xfId="0" applyFont="1" applyAlignment="1">
      <alignment horizontal="center"/>
    </xf>
    <xf numFmtId="49" fontId="2" fillId="0" borderId="0" xfId="2" applyNumberFormat="1" applyFont="1" applyAlignment="1">
      <alignment horizontal="center"/>
    </xf>
    <xf numFmtId="9" fontId="21" fillId="0" borderId="0" xfId="0" applyNumberFormat="1" applyFont="1" applyAlignment="1">
      <alignment horizontal="center"/>
    </xf>
    <xf numFmtId="9" fontId="2" fillId="0" borderId="0" xfId="2" applyNumberFormat="1" applyFont="1" applyAlignment="1">
      <alignment horizontal="center"/>
    </xf>
    <xf numFmtId="9" fontId="24" fillId="0" borderId="0" xfId="2" applyNumberFormat="1" applyFont="1" applyAlignment="1">
      <alignment horizontal="center"/>
    </xf>
    <xf numFmtId="9" fontId="4" fillId="0" borderId="0" xfId="2" applyNumberFormat="1" applyFont="1" applyAlignment="1">
      <alignment horizontal="center"/>
    </xf>
    <xf numFmtId="9" fontId="9" fillId="0" borderId="0" xfId="2" applyNumberFormat="1" applyFont="1" applyAlignment="1">
      <alignment horizontal="center"/>
    </xf>
    <xf numFmtId="165" fontId="9" fillId="0" borderId="3" xfId="2" applyFont="1" applyBorder="1" applyAlignment="1">
      <alignment horizontal="center"/>
    </xf>
    <xf numFmtId="165" fontId="6" fillId="0" borderId="23" xfId="2" applyFont="1" applyBorder="1"/>
    <xf numFmtId="165" fontId="9" fillId="0" borderId="24" xfId="2" applyFont="1" applyBorder="1"/>
    <xf numFmtId="165" fontId="6" fillId="0" borderId="16" xfId="2" applyFont="1" applyBorder="1"/>
    <xf numFmtId="165" fontId="9" fillId="0" borderId="25" xfId="2" applyFont="1" applyBorder="1" applyAlignment="1">
      <alignment horizontal="center" vertical="center"/>
    </xf>
    <xf numFmtId="165" fontId="9" fillId="0" borderId="25" xfId="2" applyFont="1" applyBorder="1" applyAlignment="1">
      <alignment vertical="center"/>
    </xf>
    <xf numFmtId="165" fontId="6" fillId="0" borderId="1" xfId="2" applyFont="1" applyBorder="1" applyAlignment="1">
      <alignment horizontal="left"/>
    </xf>
    <xf numFmtId="165" fontId="9" fillId="0" borderId="0" xfId="2" applyFont="1" applyAlignment="1">
      <alignment horizontal="left" indent="2"/>
    </xf>
    <xf numFmtId="165" fontId="2" fillId="2" borderId="0" xfId="2" applyFont="1" applyFill="1" applyAlignment="1">
      <alignment horizontal="center"/>
    </xf>
    <xf numFmtId="0" fontId="6" fillId="2" borderId="0" xfId="2" applyNumberFormat="1" applyFont="1" applyFill="1" applyAlignment="1">
      <alignment horizontal="left" indent="1"/>
    </xf>
    <xf numFmtId="9" fontId="2" fillId="2" borderId="0" xfId="2" applyNumberFormat="1" applyFont="1" applyFill="1" applyAlignment="1">
      <alignment horizontal="center"/>
    </xf>
    <xf numFmtId="165" fontId="2" fillId="2" borderId="0" xfId="2" applyFont="1" applyFill="1" applyAlignment="1">
      <alignment horizontal="left" indent="1"/>
    </xf>
    <xf numFmtId="165" fontId="9" fillId="2" borderId="0" xfId="2" applyFont="1" applyFill="1"/>
    <xf numFmtId="165" fontId="9" fillId="0" borderId="1" xfId="2" applyFont="1" applyBorder="1" applyAlignment="1">
      <alignment horizontal="left" indent="2"/>
    </xf>
    <xf numFmtId="165" fontId="9" fillId="0" borderId="8" xfId="2" applyFont="1" applyBorder="1" applyAlignment="1">
      <alignment horizontal="right"/>
    </xf>
    <xf numFmtId="165" fontId="2" fillId="3" borderId="26" xfId="2" applyFont="1" applyFill="1" applyBorder="1"/>
    <xf numFmtId="165" fontId="11" fillId="0" borderId="0" xfId="2" applyFont="1"/>
    <xf numFmtId="165" fontId="2" fillId="0" borderId="27" xfId="2" applyFont="1" applyBorder="1"/>
    <xf numFmtId="165" fontId="6" fillId="0" borderId="28" xfId="2" applyFont="1" applyBorder="1"/>
    <xf numFmtId="165" fontId="7" fillId="0" borderId="28" xfId="2" applyFont="1" applyBorder="1"/>
    <xf numFmtId="165" fontId="7" fillId="0" borderId="14" xfId="2" applyFont="1" applyBorder="1"/>
    <xf numFmtId="165" fontId="9" fillId="0" borderId="24" xfId="2" applyFont="1" applyBorder="1" applyAlignment="1">
      <alignment horizontal="center"/>
    </xf>
    <xf numFmtId="165" fontId="6" fillId="0" borderId="29" xfId="2" applyFont="1" applyBorder="1"/>
    <xf numFmtId="9" fontId="2" fillId="0" borderId="0" xfId="4" applyFont="1" applyAlignment="1">
      <alignment horizontal="center"/>
    </xf>
    <xf numFmtId="165" fontId="2" fillId="0" borderId="26" xfId="2" applyFont="1" applyBorder="1"/>
    <xf numFmtId="165" fontId="2" fillId="0" borderId="1" xfId="2" applyFont="1" applyBorder="1" applyAlignment="1">
      <alignment horizontal="left" indent="2"/>
    </xf>
    <xf numFmtId="165" fontId="9" fillId="0" borderId="30" xfId="2" applyFont="1" applyBorder="1"/>
    <xf numFmtId="165" fontId="6" fillId="4" borderId="3" xfId="2" applyFont="1" applyFill="1" applyBorder="1"/>
    <xf numFmtId="0" fontId="21" fillId="0" borderId="9" xfId="0" applyFont="1" applyBorder="1"/>
    <xf numFmtId="165" fontId="6" fillId="4" borderId="10" xfId="2" applyFont="1" applyFill="1" applyBorder="1"/>
    <xf numFmtId="165" fontId="6" fillId="4" borderId="5" xfId="2" applyFont="1" applyFill="1" applyBorder="1"/>
    <xf numFmtId="165" fontId="6" fillId="5" borderId="6" xfId="2" applyFont="1" applyFill="1" applyBorder="1"/>
    <xf numFmtId="165" fontId="6" fillId="5" borderId="10" xfId="2" applyFont="1" applyFill="1" applyBorder="1"/>
    <xf numFmtId="165" fontId="3" fillId="0" borderId="4" xfId="2" applyFont="1" applyBorder="1" applyAlignment="1">
      <alignment horizontal="right"/>
    </xf>
    <xf numFmtId="165" fontId="3" fillId="0" borderId="24" xfId="2" applyFont="1" applyBorder="1" applyAlignment="1">
      <alignment horizontal="right" indent="1"/>
    </xf>
    <xf numFmtId="165" fontId="9" fillId="2" borderId="4" xfId="2" applyFont="1" applyFill="1" applyBorder="1"/>
    <xf numFmtId="165" fontId="9" fillId="2" borderId="9" xfId="2" applyFont="1" applyFill="1" applyBorder="1"/>
    <xf numFmtId="165" fontId="6" fillId="0" borderId="21" xfId="2" applyFont="1" applyBorder="1"/>
    <xf numFmtId="165" fontId="6" fillId="2" borderId="1" xfId="2" applyFont="1" applyFill="1" applyBorder="1"/>
    <xf numFmtId="165" fontId="6" fillId="2" borderId="9" xfId="2" applyFont="1" applyFill="1" applyBorder="1" applyAlignment="1">
      <alignment horizontal="right" indent="1"/>
    </xf>
    <xf numFmtId="165" fontId="9" fillId="0" borderId="9" xfId="2" applyFont="1" applyBorder="1" applyAlignment="1">
      <alignment horizontal="right" indent="1"/>
    </xf>
    <xf numFmtId="165" fontId="9" fillId="0" borderId="30" xfId="2" applyFont="1" applyBorder="1" applyAlignment="1">
      <alignment horizontal="right" indent="1"/>
    </xf>
    <xf numFmtId="165" fontId="6" fillId="2" borderId="1" xfId="2" applyFont="1" applyFill="1" applyBorder="1" applyAlignment="1">
      <alignment horizontal="right" indent="1"/>
    </xf>
    <xf numFmtId="165" fontId="6" fillId="4" borderId="6" xfId="2" applyFont="1" applyFill="1" applyBorder="1" applyAlignment="1">
      <alignment horizontal="right" indent="1"/>
    </xf>
    <xf numFmtId="0" fontId="6" fillId="4" borderId="6" xfId="2" applyNumberFormat="1" applyFont="1" applyFill="1" applyBorder="1" applyAlignment="1">
      <alignment horizontal="left" indent="1"/>
    </xf>
    <xf numFmtId="0" fontId="13" fillId="6" borderId="6" xfId="2" applyNumberFormat="1" applyFont="1" applyFill="1" applyBorder="1" applyAlignment="1">
      <alignment horizontal="left" indent="1"/>
    </xf>
    <xf numFmtId="165" fontId="30" fillId="6" borderId="5" xfId="2" applyFont="1" applyFill="1" applyBorder="1"/>
    <xf numFmtId="165" fontId="30" fillId="6" borderId="6" xfId="2" applyFont="1" applyFill="1" applyBorder="1" applyAlignment="1">
      <alignment horizontal="right" indent="1"/>
    </xf>
    <xf numFmtId="165" fontId="30" fillId="6" borderId="3" xfId="2" applyFont="1" applyFill="1" applyBorder="1" applyAlignment="1">
      <alignment horizontal="right" indent="1"/>
    </xf>
    <xf numFmtId="165" fontId="30" fillId="6" borderId="10" xfId="2" applyFont="1" applyFill="1" applyBorder="1" applyAlignment="1">
      <alignment horizontal="right" indent="1"/>
    </xf>
    <xf numFmtId="165" fontId="9" fillId="0" borderId="24" xfId="2" applyFont="1" applyBorder="1" applyAlignment="1">
      <alignment horizontal="left" indent="2"/>
    </xf>
    <xf numFmtId="165" fontId="9" fillId="0" borderId="30" xfId="2" applyFont="1" applyBorder="1" applyAlignment="1">
      <alignment horizontal="left" indent="2"/>
    </xf>
    <xf numFmtId="9" fontId="2" fillId="0" borderId="25" xfId="4" applyFont="1" applyBorder="1" applyAlignment="1">
      <alignment horizontal="center"/>
    </xf>
    <xf numFmtId="9" fontId="2" fillId="0" borderId="31" xfId="4" applyFont="1" applyBorder="1" applyAlignment="1">
      <alignment horizontal="center"/>
    </xf>
    <xf numFmtId="9" fontId="2" fillId="0" borderId="32" xfId="4" applyFont="1" applyBorder="1" applyAlignment="1">
      <alignment horizontal="center"/>
    </xf>
    <xf numFmtId="165" fontId="9" fillId="0" borderId="8" xfId="2" applyFont="1" applyBorder="1" applyAlignment="1">
      <alignment horizontal="center" vertical="center"/>
    </xf>
    <xf numFmtId="165" fontId="27" fillId="0" borderId="0" xfId="2" applyFont="1"/>
    <xf numFmtId="165" fontId="27" fillId="0" borderId="0" xfId="2" applyFont="1" applyAlignment="1">
      <alignment horizontal="left"/>
    </xf>
    <xf numFmtId="166" fontId="9" fillId="0" borderId="3" xfId="2" applyNumberFormat="1" applyFont="1" applyBorder="1"/>
    <xf numFmtId="165" fontId="6" fillId="4" borderId="10" xfId="2" applyFont="1" applyFill="1" applyBorder="1" applyAlignment="1">
      <alignment horizontal="center"/>
    </xf>
    <xf numFmtId="165" fontId="6" fillId="4" borderId="3" xfId="2" applyFont="1" applyFill="1" applyBorder="1" applyAlignment="1">
      <alignment horizontal="center"/>
    </xf>
    <xf numFmtId="0" fontId="6" fillId="4" borderId="33" xfId="2" applyNumberFormat="1" applyFont="1" applyFill="1" applyBorder="1" applyAlignment="1">
      <alignment horizontal="left" indent="1"/>
    </xf>
    <xf numFmtId="165" fontId="15" fillId="4" borderId="22" xfId="2" applyFont="1" applyFill="1" applyBorder="1" applyAlignment="1">
      <alignment horizontal="center"/>
    </xf>
    <xf numFmtId="165" fontId="6" fillId="4" borderId="33" xfId="2" applyFont="1" applyFill="1" applyBorder="1" applyAlignment="1">
      <alignment horizontal="center"/>
    </xf>
    <xf numFmtId="165" fontId="6" fillId="4" borderId="34" xfId="2" applyFont="1" applyFill="1" applyBorder="1" applyAlignment="1">
      <alignment horizontal="center"/>
    </xf>
    <xf numFmtId="0" fontId="6" fillId="6" borderId="35" xfId="2" applyNumberFormat="1" applyFont="1" applyFill="1" applyBorder="1" applyAlignment="1">
      <alignment horizontal="left" indent="1"/>
    </xf>
    <xf numFmtId="165" fontId="6" fillId="6" borderId="36" xfId="2" applyFont="1" applyFill="1" applyBorder="1"/>
    <xf numFmtId="165" fontId="6" fillId="6" borderId="29" xfId="2" applyFont="1" applyFill="1" applyBorder="1" applyAlignment="1">
      <alignment horizontal="right" indent="1"/>
    </xf>
    <xf numFmtId="165" fontId="6" fillId="6" borderId="28" xfId="2" applyFont="1" applyFill="1" applyBorder="1" applyAlignment="1">
      <alignment horizontal="right" indent="1"/>
    </xf>
    <xf numFmtId="165" fontId="5" fillId="6" borderId="35" xfId="2" applyFont="1" applyFill="1" applyBorder="1"/>
    <xf numFmtId="165" fontId="6" fillId="6" borderId="13" xfId="2" applyFont="1" applyFill="1" applyBorder="1"/>
    <xf numFmtId="165" fontId="6" fillId="6" borderId="28" xfId="2" applyFont="1" applyFill="1" applyBorder="1" applyAlignment="1">
      <alignment horizontal="center"/>
    </xf>
    <xf numFmtId="165" fontId="6" fillId="6" borderId="37" xfId="2" applyFont="1" applyFill="1" applyBorder="1"/>
    <xf numFmtId="165" fontId="7" fillId="4" borderId="9" xfId="2" applyFont="1" applyFill="1" applyBorder="1"/>
    <xf numFmtId="165" fontId="6" fillId="4" borderId="6" xfId="2" applyFont="1" applyFill="1" applyBorder="1"/>
    <xf numFmtId="165" fontId="7" fillId="6" borderId="10" xfId="2" applyFont="1" applyFill="1" applyBorder="1"/>
    <xf numFmtId="165" fontId="7" fillId="0" borderId="5" xfId="2" applyFont="1" applyBorder="1" applyAlignment="1">
      <alignment horizontal="center"/>
    </xf>
    <xf numFmtId="165" fontId="7" fillId="0" borderId="2" xfId="2" applyFont="1" applyBorder="1"/>
    <xf numFmtId="165" fontId="6" fillId="6" borderId="3" xfId="2" applyFont="1" applyFill="1" applyBorder="1"/>
    <xf numFmtId="165" fontId="7" fillId="6" borderId="3" xfId="2" applyFont="1" applyFill="1" applyBorder="1"/>
    <xf numFmtId="165" fontId="7" fillId="6" borderId="10" xfId="2" applyFont="1" applyFill="1" applyBorder="1" applyAlignment="1">
      <alignment horizontal="center"/>
    </xf>
    <xf numFmtId="165" fontId="7" fillId="6" borderId="3" xfId="2" applyFont="1" applyFill="1" applyBorder="1" applyAlignment="1">
      <alignment horizontal="center"/>
    </xf>
    <xf numFmtId="165" fontId="3" fillId="0" borderId="1" xfId="2" applyFont="1" applyBorder="1"/>
    <xf numFmtId="165" fontId="3" fillId="4" borderId="1" xfId="2" applyFont="1" applyFill="1" applyBorder="1" applyAlignment="1">
      <alignment horizontal="right"/>
    </xf>
    <xf numFmtId="165" fontId="5" fillId="0" borderId="1" xfId="2" applyFont="1" applyBorder="1" applyAlignment="1">
      <alignment horizontal="right"/>
    </xf>
    <xf numFmtId="165" fontId="9" fillId="0" borderId="1" xfId="2" applyFont="1" applyBorder="1" applyAlignment="1">
      <alignment horizontal="left" vertical="top" wrapText="1"/>
    </xf>
    <xf numFmtId="165" fontId="3" fillId="0" borderId="1" xfId="2" applyFont="1" applyBorder="1" applyAlignment="1">
      <alignment horizontal="left"/>
    </xf>
    <xf numFmtId="165" fontId="6" fillId="0" borderId="30" xfId="2" applyFont="1" applyBorder="1"/>
    <xf numFmtId="165" fontId="7" fillId="4" borderId="1" xfId="2" applyFont="1" applyFill="1" applyBorder="1"/>
    <xf numFmtId="165" fontId="6" fillId="0" borderId="1" xfId="2" applyFont="1" applyBorder="1" applyAlignment="1">
      <alignment horizontal="center"/>
    </xf>
    <xf numFmtId="9" fontId="7" fillId="4" borderId="1" xfId="4" applyFont="1" applyFill="1" applyBorder="1" applyAlignment="1">
      <alignment horizontal="center"/>
    </xf>
    <xf numFmtId="9" fontId="7" fillId="0" borderId="1" xfId="4" applyFont="1" applyBorder="1" applyAlignment="1">
      <alignment horizontal="center"/>
    </xf>
    <xf numFmtId="165" fontId="2" fillId="4" borderId="1" xfId="2" applyFont="1" applyFill="1" applyBorder="1"/>
    <xf numFmtId="165" fontId="6" fillId="7" borderId="3" xfId="2" applyFont="1" applyFill="1" applyBorder="1"/>
    <xf numFmtId="165" fontId="15" fillId="0" borderId="0" xfId="2" applyFont="1" applyAlignment="1">
      <alignment horizontal="left" vertical="center"/>
    </xf>
    <xf numFmtId="165" fontId="27" fillId="0" borderId="0" xfId="2" applyFont="1" applyAlignment="1">
      <alignment horizontal="center"/>
    </xf>
    <xf numFmtId="165" fontId="2" fillId="8" borderId="26" xfId="2" applyFont="1" applyFill="1" applyBorder="1"/>
    <xf numFmtId="165" fontId="6" fillId="0" borderId="35" xfId="2" applyFont="1" applyBorder="1"/>
    <xf numFmtId="165" fontId="6" fillId="0" borderId="36" xfId="2" applyFont="1" applyBorder="1"/>
    <xf numFmtId="9" fontId="2" fillId="0" borderId="1" xfId="4" applyFont="1" applyBorder="1" applyAlignment="1">
      <alignment horizontal="center"/>
    </xf>
    <xf numFmtId="165" fontId="6" fillId="0" borderId="23" xfId="2" applyFont="1" applyBorder="1" applyAlignment="1">
      <alignment horizontal="center"/>
    </xf>
    <xf numFmtId="9" fontId="7" fillId="0" borderId="0" xfId="4" applyFont="1" applyAlignment="1">
      <alignment horizontal="center" wrapText="1"/>
    </xf>
    <xf numFmtId="9" fontId="2" fillId="0" borderId="38" xfId="4" applyFont="1" applyBorder="1" applyAlignment="1">
      <alignment horizontal="center"/>
    </xf>
    <xf numFmtId="9" fontId="2" fillId="0" borderId="39" xfId="4" applyFont="1" applyBorder="1" applyAlignment="1">
      <alignment horizontal="center"/>
    </xf>
    <xf numFmtId="165" fontId="2" fillId="0" borderId="12" xfId="2" applyFont="1" applyBorder="1"/>
    <xf numFmtId="9" fontId="2" fillId="0" borderId="9" xfId="4" applyFont="1" applyBorder="1" applyAlignment="1">
      <alignment horizontal="center"/>
    </xf>
    <xf numFmtId="9" fontId="2" fillId="0" borderId="40" xfId="4" applyFont="1" applyBorder="1" applyAlignment="1">
      <alignment horizontal="center"/>
    </xf>
    <xf numFmtId="0" fontId="6" fillId="6" borderId="8" xfId="2" applyNumberFormat="1" applyFont="1" applyFill="1" applyBorder="1" applyAlignment="1">
      <alignment horizontal="center"/>
    </xf>
    <xf numFmtId="165" fontId="3" fillId="6" borderId="0" xfId="2" applyFont="1" applyFill="1"/>
    <xf numFmtId="165" fontId="3" fillId="6" borderId="9" xfId="2" applyFont="1" applyFill="1" applyBorder="1"/>
    <xf numFmtId="0" fontId="6" fillId="6" borderId="20" xfId="2" applyNumberFormat="1" applyFont="1" applyFill="1" applyBorder="1" applyAlignment="1">
      <alignment horizontal="center"/>
    </xf>
    <xf numFmtId="165" fontId="3" fillId="6" borderId="7" xfId="2" applyFont="1" applyFill="1" applyBorder="1"/>
    <xf numFmtId="9" fontId="6" fillId="0" borderId="0" xfId="2" applyNumberFormat="1" applyFont="1" applyAlignment="1">
      <alignment horizontal="center"/>
    </xf>
    <xf numFmtId="165" fontId="6" fillId="4" borderId="24" xfId="2" applyFont="1" applyFill="1" applyBorder="1"/>
    <xf numFmtId="165" fontId="3" fillId="4" borderId="3" xfId="2" applyFont="1" applyFill="1" applyBorder="1"/>
    <xf numFmtId="165" fontId="3" fillId="4" borderId="0" xfId="2" applyFont="1" applyFill="1"/>
    <xf numFmtId="165" fontId="3" fillId="4" borderId="9" xfId="2" applyFont="1" applyFill="1" applyBorder="1"/>
    <xf numFmtId="165" fontId="3" fillId="4" borderId="6" xfId="2" applyFont="1" applyFill="1" applyBorder="1"/>
    <xf numFmtId="165" fontId="3" fillId="4" borderId="5" xfId="2" applyFont="1" applyFill="1" applyBorder="1"/>
    <xf numFmtId="165" fontId="3" fillId="4" borderId="10" xfId="2" applyFont="1" applyFill="1" applyBorder="1"/>
    <xf numFmtId="10" fontId="6" fillId="4" borderId="0" xfId="2" applyNumberFormat="1" applyFont="1" applyFill="1"/>
    <xf numFmtId="9" fontId="6" fillId="4" borderId="0" xfId="2" applyNumberFormat="1" applyFont="1" applyFill="1" applyAlignment="1">
      <alignment horizontal="center"/>
    </xf>
    <xf numFmtId="168" fontId="31" fillId="0" borderId="0" xfId="0" applyNumberFormat="1" applyFont="1"/>
    <xf numFmtId="168" fontId="32" fillId="0" borderId="0" xfId="0" applyNumberFormat="1" applyFont="1"/>
    <xf numFmtId="165" fontId="33" fillId="0" borderId="1" xfId="2" applyFont="1" applyBorder="1"/>
    <xf numFmtId="9" fontId="9" fillId="8" borderId="24" xfId="2" applyNumberFormat="1" applyFont="1" applyFill="1" applyBorder="1" applyProtection="1">
      <protection locked="0"/>
    </xf>
    <xf numFmtId="9" fontId="9" fillId="8" borderId="4" xfId="2" applyNumberFormat="1" applyFont="1" applyFill="1" applyBorder="1" applyProtection="1">
      <protection locked="0"/>
    </xf>
    <xf numFmtId="165" fontId="2" fillId="8" borderId="8" xfId="2" applyFont="1" applyFill="1" applyBorder="1" applyAlignment="1" applyProtection="1">
      <alignment horizontal="left"/>
      <protection locked="0"/>
    </xf>
    <xf numFmtId="167" fontId="26" fillId="8" borderId="24" xfId="0" applyNumberFormat="1" applyFont="1" applyFill="1" applyBorder="1" applyAlignment="1" applyProtection="1">
      <alignment horizontal="center"/>
      <protection locked="0"/>
    </xf>
    <xf numFmtId="9" fontId="20" fillId="8" borderId="24" xfId="0" applyNumberFormat="1" applyFont="1" applyFill="1" applyBorder="1" applyAlignment="1" applyProtection="1">
      <alignment horizontal="center"/>
      <protection locked="0"/>
    </xf>
    <xf numFmtId="9" fontId="20" fillId="8" borderId="1" xfId="0" applyNumberFormat="1" applyFont="1" applyFill="1" applyBorder="1" applyAlignment="1" applyProtection="1">
      <alignment horizontal="center"/>
      <protection locked="0"/>
    </xf>
    <xf numFmtId="165" fontId="2" fillId="8" borderId="20" xfId="2" applyFont="1" applyFill="1" applyBorder="1" applyAlignment="1" applyProtection="1">
      <alignment horizontal="left"/>
      <protection locked="0"/>
    </xf>
    <xf numFmtId="9" fontId="20" fillId="8" borderId="30" xfId="0" applyNumberFormat="1" applyFont="1" applyFill="1" applyBorder="1" applyAlignment="1" applyProtection="1">
      <alignment horizontal="center"/>
      <protection locked="0"/>
    </xf>
    <xf numFmtId="166" fontId="7" fillId="8" borderId="24" xfId="2" applyNumberFormat="1" applyFont="1" applyFill="1" applyBorder="1" applyProtection="1">
      <protection locked="0"/>
    </xf>
    <xf numFmtId="9" fontId="7" fillId="8" borderId="3" xfId="2" applyNumberFormat="1" applyFont="1" applyFill="1" applyBorder="1" applyAlignment="1" applyProtection="1">
      <alignment horizontal="center" vertical="center"/>
      <protection locked="0"/>
    </xf>
    <xf numFmtId="165" fontId="2" fillId="8" borderId="1" xfId="2" applyFont="1" applyFill="1" applyBorder="1" applyProtection="1">
      <protection locked="0"/>
    </xf>
    <xf numFmtId="9" fontId="7" fillId="8" borderId="1" xfId="4" applyFont="1" applyFill="1" applyBorder="1" applyAlignment="1" applyProtection="1">
      <alignment horizontal="center"/>
      <protection locked="0"/>
    </xf>
    <xf numFmtId="9" fontId="2" fillId="8" borderId="1" xfId="4" applyFont="1" applyFill="1" applyBorder="1" applyAlignment="1" applyProtection="1">
      <alignment horizontal="center"/>
      <protection locked="0"/>
    </xf>
    <xf numFmtId="165" fontId="2" fillId="8" borderId="41" xfId="2" applyFont="1" applyFill="1" applyBorder="1" applyProtection="1">
      <protection locked="0"/>
    </xf>
    <xf numFmtId="165" fontId="2" fillId="8" borderId="26" xfId="2" applyFont="1" applyFill="1" applyBorder="1" applyProtection="1">
      <protection locked="0"/>
    </xf>
    <xf numFmtId="165" fontId="2" fillId="8" borderId="25" xfId="2" applyFont="1" applyFill="1" applyBorder="1" applyProtection="1">
      <protection locked="0"/>
    </xf>
    <xf numFmtId="165" fontId="9" fillId="8" borderId="9" xfId="2" applyFont="1" applyFill="1" applyBorder="1" applyProtection="1">
      <protection locked="0"/>
    </xf>
    <xf numFmtId="9" fontId="2" fillId="8" borderId="25" xfId="4" applyFont="1" applyFill="1" applyBorder="1" applyAlignment="1" applyProtection="1">
      <alignment horizontal="center"/>
      <protection locked="0"/>
    </xf>
    <xf numFmtId="165" fontId="2" fillId="9" borderId="41" xfId="2" applyFont="1" applyFill="1" applyBorder="1" applyProtection="1">
      <protection locked="0"/>
    </xf>
    <xf numFmtId="165" fontId="2" fillId="9" borderId="26" xfId="2" applyFont="1" applyFill="1" applyBorder="1" applyProtection="1">
      <protection locked="0"/>
    </xf>
    <xf numFmtId="167" fontId="0" fillId="8" borderId="0" xfId="0" applyNumberFormat="1" applyFill="1" applyProtection="1">
      <protection locked="0"/>
    </xf>
    <xf numFmtId="170" fontId="28" fillId="8" borderId="0" xfId="4" applyNumberFormat="1" applyFont="1" applyFill="1" applyProtection="1">
      <protection locked="0"/>
    </xf>
    <xf numFmtId="12" fontId="0" fillId="8" borderId="0" xfId="0" applyNumberFormat="1" applyFill="1" applyAlignment="1" applyProtection="1">
      <alignment horizontal="right"/>
      <protection locked="0"/>
    </xf>
    <xf numFmtId="170" fontId="1" fillId="8" borderId="0" xfId="4" applyNumberFormat="1" applyFill="1" applyProtection="1">
      <protection locked="0"/>
    </xf>
    <xf numFmtId="165" fontId="7" fillId="0" borderId="3" xfId="2" applyFont="1" applyBorder="1"/>
    <xf numFmtId="165" fontId="8" fillId="0" borderId="0" xfId="2" applyFont="1"/>
    <xf numFmtId="165" fontId="8" fillId="0" borderId="1" xfId="2" applyFont="1" applyBorder="1"/>
    <xf numFmtId="165" fontId="18" fillId="0" borderId="7" xfId="2" applyFont="1" applyBorder="1"/>
    <xf numFmtId="165" fontId="2" fillId="0" borderId="7" xfId="2" applyFont="1" applyBorder="1"/>
    <xf numFmtId="165" fontId="8" fillId="0" borderId="7" xfId="2" applyFont="1" applyBorder="1"/>
    <xf numFmtId="165" fontId="2" fillId="0" borderId="7" xfId="2" applyFont="1" applyBorder="1" applyAlignment="1">
      <alignment horizontal="center"/>
    </xf>
    <xf numFmtId="165" fontId="4" fillId="0" borderId="3" xfId="2" applyFont="1" applyBorder="1" applyAlignment="1">
      <alignment horizontal="center" vertical="center" wrapText="1"/>
    </xf>
    <xf numFmtId="165" fontId="4" fillId="0" borderId="3" xfId="2" applyFont="1" applyBorder="1" applyAlignment="1">
      <alignment vertical="center" wrapText="1"/>
    </xf>
    <xf numFmtId="165" fontId="7" fillId="0" borderId="3" xfId="2" applyFont="1" applyBorder="1" applyAlignment="1">
      <alignment horizontal="center"/>
    </xf>
    <xf numFmtId="165" fontId="7" fillId="0" borderId="7" xfId="2" applyFont="1" applyBorder="1"/>
    <xf numFmtId="165" fontId="7" fillId="0" borderId="5" xfId="2" applyFont="1" applyBorder="1" applyAlignment="1">
      <alignment horizontal="center" wrapText="1"/>
    </xf>
    <xf numFmtId="166" fontId="4" fillId="0" borderId="1" xfId="2" applyNumberFormat="1" applyFont="1" applyBorder="1" applyAlignment="1">
      <alignment horizontal="center"/>
    </xf>
    <xf numFmtId="166" fontId="4" fillId="4" borderId="1" xfId="2" applyNumberFormat="1" applyFont="1" applyFill="1" applyBorder="1" applyAlignment="1">
      <alignment horizontal="center"/>
    </xf>
    <xf numFmtId="165" fontId="4" fillId="0" borderId="2" xfId="2" applyFont="1" applyBorder="1" applyAlignment="1">
      <alignment horizontal="center"/>
    </xf>
    <xf numFmtId="165" fontId="8" fillId="0" borderId="4" xfId="2" applyFont="1" applyBorder="1"/>
    <xf numFmtId="165" fontId="8" fillId="0" borderId="3" xfId="2" applyFont="1" applyBorder="1"/>
    <xf numFmtId="165" fontId="7" fillId="0" borderId="4" xfId="2" applyFont="1" applyBorder="1"/>
    <xf numFmtId="165" fontId="7" fillId="0" borderId="24" xfId="2" applyFont="1" applyBorder="1"/>
    <xf numFmtId="165" fontId="8" fillId="0" borderId="5" xfId="2" applyFont="1" applyBorder="1"/>
    <xf numFmtId="165" fontId="8" fillId="0" borderId="9" xfId="2" applyFont="1" applyBorder="1"/>
    <xf numFmtId="165" fontId="7" fillId="0" borderId="24" xfId="2" applyFont="1" applyBorder="1" applyAlignment="1">
      <alignment horizontal="center"/>
    </xf>
    <xf numFmtId="165" fontId="2" fillId="0" borderId="0" xfId="2" applyFont="1" applyAlignment="1">
      <alignment horizontal="right"/>
    </xf>
    <xf numFmtId="165" fontId="4" fillId="0" borderId="0" xfId="2" applyFont="1" applyAlignment="1">
      <alignment horizontal="center"/>
    </xf>
    <xf numFmtId="165" fontId="4" fillId="0" borderId="0" xfId="2" applyFont="1" applyAlignment="1">
      <alignment horizontal="right"/>
    </xf>
    <xf numFmtId="165" fontId="4" fillId="0" borderId="9" xfId="2" applyFont="1" applyBorder="1" applyAlignment="1">
      <alignment horizontal="right"/>
    </xf>
    <xf numFmtId="165" fontId="4" fillId="0" borderId="3" xfId="2" applyFont="1" applyBorder="1" applyAlignment="1">
      <alignment horizontal="right"/>
    </xf>
    <xf numFmtId="165" fontId="2" fillId="0" borderId="4" xfId="2" applyFont="1" applyBorder="1" applyAlignment="1">
      <alignment horizontal="right"/>
    </xf>
    <xf numFmtId="165" fontId="2" fillId="0" borderId="24" xfId="2" applyFont="1" applyBorder="1" applyAlignment="1">
      <alignment horizontal="center"/>
    </xf>
    <xf numFmtId="165" fontId="4" fillId="0" borderId="2" xfId="2" applyFont="1" applyBorder="1" applyAlignment="1">
      <alignment horizontal="right"/>
    </xf>
    <xf numFmtId="165" fontId="2" fillId="0" borderId="3" xfId="2" applyFont="1" applyBorder="1" applyAlignment="1">
      <alignment horizontal="right"/>
    </xf>
    <xf numFmtId="165" fontId="2" fillId="0" borderId="3" xfId="2" applyFont="1" applyBorder="1" applyAlignment="1">
      <alignment horizontal="center"/>
    </xf>
    <xf numFmtId="165" fontId="4" fillId="0" borderId="7" xfId="2" applyFont="1" applyBorder="1" applyAlignment="1">
      <alignment horizontal="right"/>
    </xf>
    <xf numFmtId="165" fontId="19" fillId="0" borderId="0" xfId="2" applyFont="1"/>
    <xf numFmtId="165" fontId="7" fillId="0" borderId="8" xfId="2" applyFont="1" applyBorder="1"/>
    <xf numFmtId="165" fontId="4" fillId="0" borderId="8" xfId="2" applyFont="1" applyBorder="1"/>
    <xf numFmtId="165" fontId="2" fillId="0" borderId="8" xfId="2" applyFont="1" applyBorder="1"/>
    <xf numFmtId="165" fontId="2" fillId="0" borderId="1" xfId="2" applyFont="1" applyBorder="1" applyAlignment="1">
      <alignment horizontal="center"/>
    </xf>
    <xf numFmtId="165" fontId="2" fillId="0" borderId="8" xfId="2" applyFont="1" applyBorder="1" applyAlignment="1">
      <alignment horizontal="left"/>
    </xf>
    <xf numFmtId="167" fontId="26" fillId="8" borderId="3" xfId="0" applyNumberFormat="1" applyFont="1" applyFill="1" applyBorder="1" applyAlignment="1" applyProtection="1">
      <alignment horizontal="center"/>
      <protection locked="0"/>
    </xf>
    <xf numFmtId="9" fontId="20" fillId="8" borderId="3" xfId="0" applyNumberFormat="1" applyFont="1" applyFill="1" applyBorder="1" applyAlignment="1" applyProtection="1">
      <alignment horizontal="center"/>
      <protection locked="0"/>
    </xf>
    <xf numFmtId="173" fontId="9" fillId="0" borderId="3" xfId="2" applyNumberFormat="1" applyFont="1" applyBorder="1"/>
    <xf numFmtId="9" fontId="2" fillId="2" borderId="1" xfId="4" applyFont="1" applyFill="1" applyBorder="1" applyAlignment="1">
      <alignment horizontal="center"/>
    </xf>
    <xf numFmtId="165" fontId="9" fillId="0" borderId="39" xfId="2" applyFont="1" applyBorder="1"/>
    <xf numFmtId="9" fontId="2" fillId="0" borderId="45" xfId="4" applyFont="1" applyBorder="1" applyAlignment="1">
      <alignment horizontal="center"/>
    </xf>
    <xf numFmtId="165" fontId="7" fillId="8" borderId="8" xfId="2" applyFont="1" applyFill="1" applyBorder="1" applyAlignment="1" applyProtection="1">
      <alignment horizontal="left"/>
      <protection locked="0"/>
    </xf>
    <xf numFmtId="0" fontId="25" fillId="0" borderId="0" xfId="0" applyFont="1"/>
    <xf numFmtId="165" fontId="9" fillId="0" borderId="23" xfId="2" applyFont="1" applyBorder="1" applyAlignment="1">
      <alignment horizontal="center"/>
    </xf>
    <xf numFmtId="165" fontId="9" fillId="0" borderId="37" xfId="2" applyFont="1" applyBorder="1" applyAlignment="1">
      <alignment horizontal="center"/>
    </xf>
    <xf numFmtId="165" fontId="6" fillId="0" borderId="13" xfId="2" applyFont="1" applyBorder="1" applyAlignment="1">
      <alignment horizontal="center"/>
    </xf>
    <xf numFmtId="165" fontId="2" fillId="0" borderId="25" xfId="2" applyFont="1" applyBorder="1"/>
    <xf numFmtId="165" fontId="9" fillId="0" borderId="9" xfId="2" applyFont="1" applyBorder="1" applyAlignment="1">
      <alignment horizontal="left" indent="2"/>
    </xf>
    <xf numFmtId="165" fontId="7" fillId="0" borderId="13" xfId="2" applyFont="1" applyBorder="1"/>
    <xf numFmtId="9" fontId="2" fillId="0" borderId="30" xfId="4" applyFont="1" applyBorder="1" applyAlignment="1">
      <alignment horizontal="center"/>
    </xf>
    <xf numFmtId="165" fontId="2" fillId="0" borderId="30" xfId="2" applyFont="1" applyBorder="1" applyAlignment="1">
      <alignment horizontal="left" indent="2"/>
    </xf>
    <xf numFmtId="165" fontId="6" fillId="0" borderId="44" xfId="2" applyFont="1" applyBorder="1"/>
    <xf numFmtId="166" fontId="4" fillId="10" borderId="0" xfId="2" applyNumberFormat="1" applyFont="1" applyFill="1" applyAlignment="1" applyProtection="1">
      <alignment horizontal="center" vertical="center"/>
      <protection locked="0"/>
    </xf>
    <xf numFmtId="165" fontId="2" fillId="8" borderId="8" xfId="2" applyFont="1" applyFill="1" applyBorder="1" applyProtection="1">
      <protection locked="0"/>
    </xf>
    <xf numFmtId="165" fontId="8" fillId="0" borderId="11" xfId="2" applyFont="1" applyBorder="1"/>
    <xf numFmtId="165" fontId="8" fillId="0" borderId="8" xfId="2" applyFont="1" applyBorder="1"/>
    <xf numFmtId="165" fontId="2" fillId="2" borderId="26" xfId="2" applyFont="1" applyFill="1" applyBorder="1"/>
    <xf numFmtId="165" fontId="7" fillId="2" borderId="0" xfId="2" applyFont="1" applyFill="1" applyAlignment="1">
      <alignment horizontal="center"/>
    </xf>
    <xf numFmtId="167" fontId="26" fillId="2" borderId="24" xfId="0" applyNumberFormat="1" applyFont="1" applyFill="1" applyBorder="1" applyAlignment="1">
      <alignment horizontal="center"/>
    </xf>
    <xf numFmtId="167" fontId="26" fillId="2" borderId="3" xfId="0" applyNumberFormat="1" applyFont="1" applyFill="1" applyBorder="1" applyAlignment="1">
      <alignment horizontal="center"/>
    </xf>
    <xf numFmtId="167" fontId="26" fillId="8" borderId="4" xfId="0" applyNumberFormat="1" applyFont="1" applyFill="1" applyBorder="1" applyAlignment="1" applyProtection="1">
      <alignment horizontal="center"/>
      <protection locked="0"/>
    </xf>
    <xf numFmtId="167" fontId="26" fillId="2" borderId="11" xfId="0" applyNumberFormat="1" applyFont="1" applyFill="1" applyBorder="1" applyAlignment="1">
      <alignment horizontal="center"/>
    </xf>
    <xf numFmtId="167" fontId="26" fillId="2" borderId="6" xfId="0" applyNumberFormat="1" applyFont="1" applyFill="1" applyBorder="1" applyAlignment="1">
      <alignment horizontal="center"/>
    </xf>
    <xf numFmtId="165" fontId="2" fillId="8" borderId="6" xfId="2" applyFont="1" applyFill="1" applyBorder="1" applyAlignment="1" applyProtection="1">
      <alignment horizontal="left"/>
      <protection locked="0"/>
    </xf>
    <xf numFmtId="167" fontId="20" fillId="8" borderId="3" xfId="0" applyNumberFormat="1" applyFont="1" applyFill="1" applyBorder="1" applyAlignment="1" applyProtection="1">
      <alignment horizontal="center"/>
      <protection locked="0"/>
    </xf>
    <xf numFmtId="165" fontId="20" fillId="0" borderId="24" xfId="2" applyFont="1" applyBorder="1" applyAlignment="1">
      <alignment horizontal="center"/>
    </xf>
    <xf numFmtId="165" fontId="9" fillId="0" borderId="1" xfId="2" applyFont="1" applyFill="1" applyBorder="1" applyAlignment="1">
      <alignment horizontal="left" indent="2"/>
    </xf>
    <xf numFmtId="165" fontId="9" fillId="0" borderId="35" xfId="2" quotePrefix="1" applyFont="1" applyBorder="1"/>
    <xf numFmtId="165" fontId="9" fillId="0" borderId="36" xfId="2" quotePrefix="1" applyFont="1" applyBorder="1"/>
    <xf numFmtId="165" fontId="9" fillId="0" borderId="46" xfId="2" applyFont="1" applyBorder="1"/>
    <xf numFmtId="165" fontId="9" fillId="0" borderId="47" xfId="2" applyFont="1" applyBorder="1"/>
    <xf numFmtId="165" fontId="9" fillId="0" borderId="48" xfId="2" applyFont="1" applyBorder="1"/>
    <xf numFmtId="165" fontId="9" fillId="0" borderId="49" xfId="2" applyFont="1" applyBorder="1"/>
    <xf numFmtId="165" fontId="11" fillId="0" borderId="48" xfId="2" applyFont="1" applyBorder="1"/>
    <xf numFmtId="165" fontId="9" fillId="0" borderId="50" xfId="2" applyFont="1" applyBorder="1"/>
    <xf numFmtId="174" fontId="6" fillId="0" borderId="51" xfId="3" applyNumberFormat="1" applyFont="1" applyBorder="1"/>
    <xf numFmtId="165" fontId="9" fillId="9" borderId="21" xfId="2" applyFont="1" applyFill="1" applyBorder="1" applyProtection="1">
      <protection locked="0"/>
    </xf>
    <xf numFmtId="174" fontId="9" fillId="9" borderId="52" xfId="3" applyNumberFormat="1" applyFont="1" applyFill="1" applyBorder="1" applyProtection="1">
      <protection locked="0"/>
    </xf>
    <xf numFmtId="165" fontId="9" fillId="9" borderId="10" xfId="2" applyFont="1" applyFill="1" applyBorder="1" applyProtection="1">
      <protection locked="0"/>
    </xf>
    <xf numFmtId="174" fontId="9" fillId="9" borderId="53" xfId="3" applyNumberFormat="1" applyFont="1" applyFill="1" applyBorder="1" applyProtection="1">
      <protection locked="0"/>
    </xf>
    <xf numFmtId="165" fontId="2" fillId="9" borderId="10" xfId="2" applyFont="1" applyFill="1" applyBorder="1" applyProtection="1">
      <protection locked="0"/>
    </xf>
    <xf numFmtId="165" fontId="9" fillId="9" borderId="43" xfId="2" applyFont="1" applyFill="1" applyBorder="1" applyProtection="1">
      <protection locked="0"/>
    </xf>
    <xf numFmtId="174" fontId="9" fillId="9" borderId="54" xfId="3" applyNumberFormat="1" applyFont="1" applyFill="1" applyBorder="1" applyProtection="1">
      <protection locked="0"/>
    </xf>
    <xf numFmtId="165" fontId="9" fillId="9" borderId="42" xfId="2" applyFont="1" applyFill="1" applyBorder="1" applyProtection="1">
      <protection locked="0"/>
    </xf>
    <xf numFmtId="166" fontId="4" fillId="10" borderId="0" xfId="2" applyNumberFormat="1" applyFont="1" applyFill="1" applyAlignment="1" applyProtection="1">
      <protection locked="0"/>
    </xf>
    <xf numFmtId="166" fontId="4" fillId="10" borderId="47" xfId="2" applyNumberFormat="1" applyFont="1" applyFill="1" applyBorder="1" applyAlignment="1" applyProtection="1">
      <protection locked="0"/>
    </xf>
    <xf numFmtId="166" fontId="4" fillId="10" borderId="0" xfId="2" applyNumberFormat="1" applyFont="1" applyFill="1" applyBorder="1" applyAlignment="1" applyProtection="1">
      <protection locked="0"/>
    </xf>
    <xf numFmtId="166" fontId="4" fillId="10" borderId="55" xfId="2" applyNumberFormat="1" applyFont="1" applyFill="1" applyBorder="1" applyAlignment="1" applyProtection="1">
      <protection locked="0"/>
    </xf>
    <xf numFmtId="166" fontId="4" fillId="10" borderId="1" xfId="2" applyNumberFormat="1" applyFont="1" applyFill="1" applyBorder="1" applyAlignment="1" applyProtection="1">
      <protection locked="0"/>
    </xf>
    <xf numFmtId="166" fontId="4" fillId="10" borderId="56" xfId="2" applyNumberFormat="1" applyFont="1" applyFill="1" applyBorder="1" applyAlignment="1" applyProtection="1">
      <protection locked="0"/>
    </xf>
    <xf numFmtId="166" fontId="4" fillId="10" borderId="9" xfId="2" applyNumberFormat="1" applyFont="1" applyFill="1" applyBorder="1" applyAlignment="1" applyProtection="1">
      <protection locked="0"/>
    </xf>
    <xf numFmtId="165" fontId="7" fillId="0" borderId="0" xfId="2" applyFont="1" applyBorder="1" applyAlignment="1">
      <alignment horizontal="center"/>
    </xf>
    <xf numFmtId="165" fontId="4" fillId="0" borderId="0" xfId="2" applyFont="1" applyBorder="1" applyAlignment="1">
      <alignment horizontal="center"/>
    </xf>
    <xf numFmtId="165" fontId="4" fillId="0" borderId="0" xfId="2" applyFont="1" applyBorder="1" applyAlignment="1">
      <alignment horizontal="right"/>
    </xf>
    <xf numFmtId="165" fontId="2" fillId="0" borderId="0" xfId="2" applyFont="1" applyBorder="1" applyAlignment="1">
      <alignment horizontal="right"/>
    </xf>
    <xf numFmtId="165" fontId="7" fillId="0" borderId="0" xfId="2" applyFont="1" applyBorder="1"/>
    <xf numFmtId="165" fontId="2" fillId="0" borderId="10" xfId="2" applyFont="1" applyBorder="1" applyAlignment="1">
      <alignment horizontal="right"/>
    </xf>
    <xf numFmtId="9" fontId="7" fillId="11" borderId="3" xfId="2" applyNumberFormat="1" applyFont="1" applyFill="1" applyBorder="1" applyAlignment="1" applyProtection="1">
      <alignment horizontal="center" vertical="center"/>
      <protection locked="0"/>
    </xf>
    <xf numFmtId="165" fontId="7" fillId="11" borderId="6" xfId="2" applyFont="1" applyFill="1" applyBorder="1"/>
    <xf numFmtId="166" fontId="4" fillId="11" borderId="0" xfId="2" applyNumberFormat="1" applyFont="1" applyFill="1" applyAlignment="1" applyProtection="1">
      <alignment horizontal="center" vertical="center"/>
      <protection locked="0"/>
    </xf>
    <xf numFmtId="165" fontId="2" fillId="0" borderId="3" xfId="2" applyFont="1" applyBorder="1" applyAlignment="1">
      <alignment horizontal="left"/>
    </xf>
    <xf numFmtId="9" fontId="2" fillId="0" borderId="3" xfId="4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center"/>
    </xf>
    <xf numFmtId="10" fontId="2" fillId="0" borderId="3" xfId="2" applyNumberFormat="1" applyFont="1" applyBorder="1" applyAlignment="1">
      <alignment horizontal="center" vertical="center"/>
    </xf>
    <xf numFmtId="166" fontId="4" fillId="0" borderId="1" xfId="2" applyNumberFormat="1" applyFont="1" applyFill="1" applyBorder="1" applyAlignment="1" applyProtection="1"/>
    <xf numFmtId="166" fontId="4" fillId="0" borderId="0" xfId="2" applyNumberFormat="1" applyFont="1" applyFill="1" applyBorder="1" applyAlignment="1" applyProtection="1"/>
    <xf numFmtId="166" fontId="4" fillId="0" borderId="9" xfId="2" applyNumberFormat="1" applyFont="1" applyFill="1" applyBorder="1" applyAlignment="1" applyProtection="1"/>
    <xf numFmtId="165" fontId="6" fillId="0" borderId="0" xfId="2" applyFont="1" applyBorder="1"/>
    <xf numFmtId="165" fontId="2" fillId="0" borderId="0" xfId="2" applyFont="1" applyBorder="1"/>
    <xf numFmtId="165" fontId="9" fillId="0" borderId="0" xfId="2" applyFont="1" applyAlignment="1" applyProtection="1">
      <alignment horizontal="center"/>
    </xf>
    <xf numFmtId="165" fontId="6" fillId="0" borderId="1" xfId="2" applyFont="1" applyBorder="1" applyAlignment="1" applyProtection="1">
      <alignment horizontal="center"/>
    </xf>
    <xf numFmtId="165" fontId="27" fillId="0" borderId="0" xfId="2" applyFont="1" applyAlignment="1" applyProtection="1">
      <alignment horizontal="center"/>
    </xf>
    <xf numFmtId="0" fontId="16" fillId="0" borderId="23" xfId="0" applyFont="1" applyBorder="1" applyAlignment="1">
      <alignment horizontal="center"/>
    </xf>
    <xf numFmtId="0" fontId="16" fillId="0" borderId="57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65" fontId="9" fillId="0" borderId="9" xfId="2" applyFont="1" applyBorder="1" applyAlignment="1" applyProtection="1">
      <alignment horizontal="center"/>
    </xf>
    <xf numFmtId="0" fontId="0" fillId="9" borderId="30" xfId="0" applyFill="1" applyBorder="1" applyAlignment="1" applyProtection="1">
      <alignment horizontal="center"/>
      <protection locked="0"/>
    </xf>
    <xf numFmtId="0" fontId="0" fillId="9" borderId="3" xfId="0" applyFill="1" applyBorder="1" applyAlignment="1" applyProtection="1">
      <alignment horizontal="center"/>
      <protection locked="0"/>
    </xf>
    <xf numFmtId="175" fontId="2" fillId="8" borderId="26" xfId="3" applyNumberFormat="1" applyFont="1" applyFill="1" applyBorder="1" applyProtection="1">
      <protection locked="0"/>
    </xf>
    <xf numFmtId="165" fontId="2" fillId="0" borderId="9" xfId="2" applyFont="1" applyBorder="1" applyProtection="1"/>
    <xf numFmtId="165" fontId="2" fillId="8" borderId="1" xfId="2" applyFont="1" applyFill="1" applyBorder="1" applyAlignment="1" applyProtection="1">
      <alignment horizontal="left" indent="2"/>
      <protection locked="0"/>
    </xf>
    <xf numFmtId="165" fontId="4" fillId="0" borderId="3" xfId="2" applyFont="1" applyBorder="1" applyAlignment="1">
      <alignment horizontal="center"/>
    </xf>
    <xf numFmtId="165" fontId="8" fillId="0" borderId="3" xfId="2" applyFont="1" applyBorder="1" applyAlignment="1">
      <alignment horizontal="center"/>
    </xf>
    <xf numFmtId="165" fontId="8" fillId="0" borderId="30" xfId="2" applyFont="1" applyBorder="1" applyAlignment="1">
      <alignment horizontal="center"/>
    </xf>
    <xf numFmtId="165" fontId="7" fillId="0" borderId="3" xfId="2" applyFont="1" applyBorder="1" applyAlignment="1">
      <alignment horizontal="center" vertical="center"/>
    </xf>
    <xf numFmtId="165" fontId="4" fillId="0" borderId="24" xfId="2" applyFont="1" applyBorder="1" applyAlignment="1">
      <alignment horizontal="center" vertical="center" wrapText="1"/>
    </xf>
    <xf numFmtId="165" fontId="4" fillId="0" borderId="30" xfId="2" applyFont="1" applyBorder="1" applyAlignment="1">
      <alignment horizontal="center" vertical="center" wrapText="1"/>
    </xf>
    <xf numFmtId="165" fontId="4" fillId="0" borderId="3" xfId="2" applyFont="1" applyBorder="1" applyAlignment="1">
      <alignment horizontal="center" vertical="center"/>
    </xf>
    <xf numFmtId="165" fontId="4" fillId="0" borderId="3" xfId="2" applyFont="1" applyBorder="1" applyAlignment="1">
      <alignment horizontal="center" vertical="center" wrapText="1"/>
    </xf>
    <xf numFmtId="165" fontId="8" fillId="0" borderId="21" xfId="2" applyFont="1" applyBorder="1" applyAlignment="1">
      <alignment horizontal="center"/>
    </xf>
    <xf numFmtId="165" fontId="2" fillId="0" borderId="0" xfId="2" applyFont="1"/>
    <xf numFmtId="165" fontId="7" fillId="0" borderId="0" xfId="2" applyFont="1" applyAlignment="1">
      <alignment horizontal="center" vertical="center"/>
    </xf>
    <xf numFmtId="165" fontId="7" fillId="0" borderId="2" xfId="2" applyFont="1" applyBorder="1" applyAlignment="1">
      <alignment horizontal="center" vertical="center"/>
    </xf>
    <xf numFmtId="165" fontId="4" fillId="0" borderId="1" xfId="2" applyFont="1" applyBorder="1" applyAlignment="1">
      <alignment horizontal="center" vertical="center" wrapText="1"/>
    </xf>
    <xf numFmtId="165" fontId="4" fillId="0" borderId="0" xfId="2" applyFont="1" applyBorder="1" applyAlignment="1">
      <alignment horizontal="center"/>
    </xf>
    <xf numFmtId="165" fontId="7" fillId="2" borderId="0" xfId="2" applyFont="1" applyFill="1" applyBorder="1" applyAlignment="1">
      <alignment horizontal="center"/>
    </xf>
    <xf numFmtId="165" fontId="4" fillId="0" borderId="10" xfId="2" applyFont="1" applyBorder="1" applyAlignment="1">
      <alignment horizontal="center"/>
    </xf>
    <xf numFmtId="165" fontId="8" fillId="0" borderId="10" xfId="2" applyFont="1" applyBorder="1" applyAlignment="1">
      <alignment horizontal="center"/>
    </xf>
    <xf numFmtId="165" fontId="9" fillId="4" borderId="35" xfId="2" applyFont="1" applyFill="1" applyBorder="1" applyAlignment="1" applyProtection="1">
      <alignment horizontal="center"/>
    </xf>
    <xf numFmtId="165" fontId="9" fillId="4" borderId="36" xfId="2" applyFont="1" applyFill="1" applyBorder="1" applyAlignment="1" applyProtection="1">
      <alignment horizontal="center"/>
    </xf>
    <xf numFmtId="165" fontId="9" fillId="4" borderId="37" xfId="2" applyFont="1" applyFill="1" applyBorder="1" applyAlignment="1" applyProtection="1">
      <alignment horizontal="center"/>
    </xf>
    <xf numFmtId="9" fontId="7" fillId="0" borderId="24" xfId="4" applyFont="1" applyBorder="1" applyAlignment="1">
      <alignment horizontal="center" wrapText="1"/>
    </xf>
    <xf numFmtId="9" fontId="7" fillId="0" borderId="30" xfId="4" applyFont="1" applyBorder="1" applyAlignment="1">
      <alignment horizontal="center" wrapText="1"/>
    </xf>
    <xf numFmtId="0" fontId="16" fillId="0" borderId="0" xfId="0" applyFont="1" applyAlignment="1">
      <alignment horizontal="left" indent="1"/>
    </xf>
    <xf numFmtId="0" fontId="16" fillId="0" borderId="0" xfId="0" quotePrefix="1" applyFont="1" applyAlignment="1">
      <alignment horizontal="left" indent="1"/>
    </xf>
  </cellXfs>
  <cellStyles count="5">
    <cellStyle name="Euro" xfId="1" xr:uid="{00000000-0005-0000-0000-000000000000}"/>
    <cellStyle name="Milliers" xfId="2" builtinId="3"/>
    <cellStyle name="Monétaire" xfId="3" builtinId="4"/>
    <cellStyle name="Normal" xfId="0" builtinId="0"/>
    <cellStyle name="Pourcentage" xfId="4" builtinId="5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indexed="9"/>
    <pageSetUpPr fitToPage="1"/>
  </sheetPr>
  <dimension ref="A1:AM65"/>
  <sheetViews>
    <sheetView zoomScaleNormal="100" workbookViewId="0">
      <selection activeCell="G28" sqref="G28"/>
    </sheetView>
  </sheetViews>
  <sheetFormatPr baseColWidth="10" defaultRowHeight="12"/>
  <cols>
    <col min="1" max="1" width="2" style="8" customWidth="1"/>
    <col min="2" max="2" width="32" style="8" customWidth="1"/>
    <col min="3" max="3" width="15.7109375" style="23" customWidth="1"/>
    <col min="4" max="4" width="30.7109375" style="8" customWidth="1"/>
    <col min="5" max="5" width="15.7109375" style="8" customWidth="1"/>
    <col min="6" max="16384" width="11.42578125" style="8"/>
  </cols>
  <sheetData>
    <row r="1" spans="1:39">
      <c r="C1" s="8"/>
    </row>
    <row r="2" spans="1:39" s="97" customFormat="1" ht="18">
      <c r="B2" s="173" t="s">
        <v>206</v>
      </c>
      <c r="C2" s="96"/>
    </row>
    <row r="3" spans="1:39" s="97" customFormat="1" ht="10.5" customHeight="1">
      <c r="B3" s="99"/>
      <c r="C3" s="96"/>
    </row>
    <row r="4" spans="1:39" s="21" customFormat="1">
      <c r="A4" s="25"/>
      <c r="B4" s="19" t="s">
        <v>66</v>
      </c>
      <c r="C4" s="100"/>
      <c r="D4" s="20" t="s">
        <v>31</v>
      </c>
      <c r="E4" s="100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39" s="9" customFormat="1" ht="14.25">
      <c r="B5" s="101" t="s">
        <v>67</v>
      </c>
      <c r="C5" s="80">
        <f>C6+C7</f>
        <v>0</v>
      </c>
      <c r="D5" s="79" t="s">
        <v>68</v>
      </c>
      <c r="E5" s="80">
        <f>E7</f>
        <v>0</v>
      </c>
    </row>
    <row r="6" spans="1:39">
      <c r="B6" s="22" t="s">
        <v>146</v>
      </c>
      <c r="C6" s="23">
        <f>Investissements!C6</f>
        <v>0</v>
      </c>
      <c r="E6" s="23"/>
    </row>
    <row r="7" spans="1:39">
      <c r="B7" s="22" t="s">
        <v>97</v>
      </c>
      <c r="C7" s="23">
        <f>Investissements!C7</f>
        <v>0</v>
      </c>
      <c r="D7" s="13" t="s">
        <v>155</v>
      </c>
      <c r="E7" s="23">
        <f>'Trésorerie AN 1'!E8</f>
        <v>0</v>
      </c>
    </row>
    <row r="8" spans="1:39">
      <c r="B8" s="22"/>
      <c r="D8" s="13"/>
      <c r="E8" s="23"/>
    </row>
    <row r="9" spans="1:39" ht="14.25">
      <c r="B9" s="101" t="s">
        <v>108</v>
      </c>
      <c r="C9" s="80">
        <f>SUM(C10:C11)</f>
        <v>0</v>
      </c>
      <c r="E9" s="23"/>
    </row>
    <row r="10" spans="1:39" ht="14.25">
      <c r="B10" s="22" t="s">
        <v>95</v>
      </c>
      <c r="C10" s="23">
        <f>Investissements!C11</f>
        <v>0</v>
      </c>
      <c r="D10" s="79" t="s">
        <v>132</v>
      </c>
      <c r="E10" s="81">
        <f>'Trésorerie AN 1'!E9</f>
        <v>0</v>
      </c>
    </row>
    <row r="11" spans="1:39">
      <c r="B11" s="22" t="s">
        <v>96</v>
      </c>
      <c r="C11" s="23">
        <f>Investissements!C12</f>
        <v>0</v>
      </c>
      <c r="E11" s="23"/>
    </row>
    <row r="12" spans="1:39">
      <c r="B12" s="22"/>
      <c r="E12" s="23"/>
    </row>
    <row r="13" spans="1:39" ht="14.25">
      <c r="B13" s="101" t="s">
        <v>91</v>
      </c>
      <c r="C13" s="80">
        <f>SUM(C14:C16)</f>
        <v>0</v>
      </c>
      <c r="E13" s="23"/>
    </row>
    <row r="14" spans="1:39" ht="14.25">
      <c r="B14" s="22" t="s">
        <v>69</v>
      </c>
      <c r="C14" s="23">
        <f>'Trésorerie AN 1'!E39</f>
        <v>0</v>
      </c>
      <c r="D14" s="79" t="s">
        <v>102</v>
      </c>
      <c r="E14" s="81">
        <f>E15+E16</f>
        <v>0</v>
      </c>
    </row>
    <row r="15" spans="1:39">
      <c r="B15" s="22" t="s">
        <v>70</v>
      </c>
      <c r="C15" s="23">
        <f>'Trésorerie AN 1'!E40</f>
        <v>0</v>
      </c>
      <c r="D15" s="8" t="s">
        <v>105</v>
      </c>
      <c r="E15" s="23">
        <f>'Trésorerie AN 1'!E10</f>
        <v>0</v>
      </c>
    </row>
    <row r="16" spans="1:39">
      <c r="B16" s="22" t="s">
        <v>98</v>
      </c>
      <c r="C16" s="23">
        <f>'Trésorerie AN 1'!E41</f>
        <v>0</v>
      </c>
      <c r="D16" s="8" t="s">
        <v>103</v>
      </c>
      <c r="E16" s="23">
        <f>'Trésorerie AN 1'!E11</f>
        <v>0</v>
      </c>
    </row>
    <row r="17" spans="1:39">
      <c r="B17" s="22"/>
      <c r="E17" s="23"/>
    </row>
    <row r="18" spans="1:39" ht="14.25">
      <c r="B18" s="101" t="s">
        <v>110</v>
      </c>
      <c r="C18" s="80">
        <f>SUM(C19:C27)</f>
        <v>0</v>
      </c>
      <c r="E18" s="23"/>
    </row>
    <row r="19" spans="1:39">
      <c r="B19" s="22" t="s">
        <v>71</v>
      </c>
      <c r="C19" s="23">
        <f>Investissements!C17</f>
        <v>0</v>
      </c>
      <c r="E19" s="23"/>
    </row>
    <row r="20" spans="1:39">
      <c r="B20" s="22" t="s">
        <v>72</v>
      </c>
      <c r="C20" s="23">
        <f>Investissements!C18</f>
        <v>0</v>
      </c>
      <c r="E20" s="23"/>
    </row>
    <row r="21" spans="1:39" ht="24">
      <c r="B21" s="102" t="s">
        <v>73</v>
      </c>
      <c r="C21" s="23">
        <f>Investissements!C19</f>
        <v>0</v>
      </c>
      <c r="E21" s="23"/>
    </row>
    <row r="22" spans="1:39">
      <c r="B22" s="22" t="s">
        <v>74</v>
      </c>
      <c r="C22" s="23">
        <f>Investissements!C20</f>
        <v>0</v>
      </c>
      <c r="E22" s="23"/>
    </row>
    <row r="23" spans="1:39">
      <c r="B23" s="22" t="s">
        <v>75</v>
      </c>
      <c r="C23" s="23">
        <f>Investissements!C21</f>
        <v>0</v>
      </c>
      <c r="E23" s="23"/>
    </row>
    <row r="24" spans="1:39">
      <c r="B24" s="22" t="s">
        <v>76</v>
      </c>
      <c r="C24" s="23">
        <f>Investissements!C22</f>
        <v>0</v>
      </c>
      <c r="E24" s="23"/>
    </row>
    <row r="25" spans="1:39">
      <c r="B25" s="22" t="s">
        <v>77</v>
      </c>
      <c r="C25" s="23">
        <f>Investissements!C23</f>
        <v>0</v>
      </c>
      <c r="E25" s="23"/>
    </row>
    <row r="26" spans="1:39">
      <c r="B26" s="22" t="s">
        <v>78</v>
      </c>
      <c r="C26" s="23">
        <f>Investissements!C24</f>
        <v>0</v>
      </c>
      <c r="E26" s="23"/>
    </row>
    <row r="27" spans="1:39">
      <c r="A27" s="23"/>
      <c r="E27" s="23"/>
    </row>
    <row r="28" spans="1:39" s="20" customFormat="1">
      <c r="A28" s="25"/>
      <c r="B28" s="147" t="s">
        <v>79</v>
      </c>
      <c r="C28" s="146">
        <f>C5+C9+C13+C18</f>
        <v>0</v>
      </c>
      <c r="D28" s="147" t="s">
        <v>80</v>
      </c>
      <c r="E28" s="146">
        <f>E14+E10+E5</f>
        <v>0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1:39">
      <c r="A29" s="23"/>
      <c r="E29" s="23"/>
    </row>
    <row r="30" spans="1:39" ht="14.25">
      <c r="B30" s="101" t="s">
        <v>140</v>
      </c>
      <c r="C30" s="80">
        <f>SUM(C31:C32)</f>
        <v>0</v>
      </c>
      <c r="D30" s="79" t="s">
        <v>81</v>
      </c>
      <c r="E30" s="80">
        <f>SUM(E31:E33)</f>
        <v>0</v>
      </c>
    </row>
    <row r="31" spans="1:39" ht="12.75">
      <c r="B31" s="83" t="s">
        <v>138</v>
      </c>
      <c r="C31" s="84">
        <f>'Ventes '!K19</f>
        <v>0</v>
      </c>
      <c r="D31" s="8" t="s">
        <v>197</v>
      </c>
      <c r="E31" s="23">
        <f>'Données emprunt'!C5</f>
        <v>0</v>
      </c>
    </row>
    <row r="32" spans="1:39" ht="15">
      <c r="B32" s="83" t="s">
        <v>139</v>
      </c>
      <c r="C32" s="103"/>
      <c r="D32" s="104"/>
      <c r="E32" s="145"/>
    </row>
    <row r="33" spans="1:39">
      <c r="B33" s="22"/>
      <c r="D33" s="8" t="s">
        <v>164</v>
      </c>
      <c r="E33" s="23">
        <f>Investissements!C23</f>
        <v>0</v>
      </c>
    </row>
    <row r="34" spans="1:39">
      <c r="B34" s="101" t="s">
        <v>83</v>
      </c>
      <c r="C34" s="25">
        <f>+E28+E39-C28-C30-C36</f>
        <v>0</v>
      </c>
      <c r="E34" s="23"/>
    </row>
    <row r="35" spans="1:39" ht="14.25">
      <c r="B35" s="22"/>
      <c r="D35" s="79" t="s">
        <v>84</v>
      </c>
      <c r="E35" s="80">
        <f>E36+E37</f>
        <v>0</v>
      </c>
    </row>
    <row r="36" spans="1:39">
      <c r="B36" s="101" t="s">
        <v>86</v>
      </c>
      <c r="C36" s="25">
        <f>C37+C38</f>
        <v>0</v>
      </c>
      <c r="D36" s="8" t="s">
        <v>85</v>
      </c>
      <c r="E36" s="23"/>
    </row>
    <row r="37" spans="1:39">
      <c r="B37" s="22" t="s">
        <v>134</v>
      </c>
      <c r="C37" s="23">
        <f>Résultat!D28</f>
        <v>0</v>
      </c>
      <c r="D37" s="8" t="s">
        <v>82</v>
      </c>
      <c r="E37" s="23"/>
    </row>
    <row r="38" spans="1:39">
      <c r="A38" s="23"/>
      <c r="E38" s="106"/>
    </row>
    <row r="39" spans="1:39" s="20" customFormat="1">
      <c r="A39" s="25"/>
      <c r="B39" s="147" t="s">
        <v>87</v>
      </c>
      <c r="C39" s="146">
        <f>C30+C34+C36</f>
        <v>0</v>
      </c>
      <c r="D39" s="147" t="s">
        <v>88</v>
      </c>
      <c r="E39" s="146">
        <f>E30+E35</f>
        <v>0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spans="1:39">
      <c r="A40" s="23"/>
      <c r="B40" s="105"/>
      <c r="C40" s="15"/>
      <c r="D40" s="105"/>
      <c r="E40" s="106"/>
    </row>
    <row r="41" spans="1:39" s="107" customFormat="1" ht="12.75" thickBot="1">
      <c r="A41" s="9"/>
      <c r="B41" s="148" t="s">
        <v>89</v>
      </c>
      <c r="C41" s="149">
        <f>C28+C39</f>
        <v>0</v>
      </c>
      <c r="D41" s="148" t="s">
        <v>90</v>
      </c>
      <c r="E41" s="149">
        <f>E28+E39</f>
        <v>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 spans="1:39">
      <c r="B42" s="86"/>
      <c r="C42" s="86"/>
      <c r="D42" s="86"/>
      <c r="E42" s="86"/>
    </row>
    <row r="43" spans="1:39">
      <c r="B43" s="7"/>
      <c r="C43" s="7"/>
    </row>
    <row r="44" spans="1:39">
      <c r="C44" s="8"/>
    </row>
    <row r="45" spans="1:39">
      <c r="C45" s="8"/>
    </row>
    <row r="46" spans="1:39">
      <c r="C46" s="8"/>
    </row>
    <row r="47" spans="1:39">
      <c r="C47" s="8"/>
    </row>
    <row r="48" spans="1:39">
      <c r="C48" s="8"/>
    </row>
    <row r="49" spans="3:3">
      <c r="C49" s="8"/>
    </row>
    <row r="50" spans="3:3">
      <c r="C50" s="8"/>
    </row>
    <row r="51" spans="3:3">
      <c r="C51" s="8"/>
    </row>
    <row r="52" spans="3:3">
      <c r="C52" s="8"/>
    </row>
    <row r="53" spans="3:3">
      <c r="C53" s="8"/>
    </row>
    <row r="54" spans="3:3">
      <c r="C54" s="8"/>
    </row>
    <row r="55" spans="3:3">
      <c r="C55" s="8"/>
    </row>
    <row r="56" spans="3:3">
      <c r="C56" s="8"/>
    </row>
    <row r="57" spans="3:3">
      <c r="C57" s="8"/>
    </row>
    <row r="58" spans="3:3">
      <c r="C58" s="8"/>
    </row>
    <row r="59" spans="3:3">
      <c r="C59" s="8"/>
    </row>
    <row r="60" spans="3:3">
      <c r="C60" s="8"/>
    </row>
    <row r="61" spans="3:3">
      <c r="C61" s="8"/>
    </row>
    <row r="62" spans="3:3">
      <c r="C62" s="8"/>
    </row>
    <row r="63" spans="3:3">
      <c r="C63" s="8"/>
    </row>
    <row r="64" spans="3:3">
      <c r="C64" s="8"/>
    </row>
    <row r="65" spans="3:3">
      <c r="C65" s="8"/>
    </row>
  </sheetData>
  <sheetProtection sheet="1" selectLockedCells="1"/>
  <phoneticPr fontId="0" type="noConversion"/>
  <pageMargins left="0.78740157499999996" right="0.78740157499999996" top="0.984251969" bottom="0.984251969" header="0.4921259845" footer="0.4921259845"/>
  <pageSetup paperSize="9" scale="92" orientation="portrait" r:id="rId1"/>
  <headerFooter alignWithMargins="0">
    <oddHeader>&amp;F</oddHeader>
    <oddFooter>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indexed="9"/>
    <pageSetUpPr fitToPage="1"/>
  </sheetPr>
  <dimension ref="A1:DI10952"/>
  <sheetViews>
    <sheetView zoomScaleNormal="100" workbookViewId="0">
      <selection activeCell="B2" sqref="B2"/>
    </sheetView>
  </sheetViews>
  <sheetFormatPr baseColWidth="10" defaultRowHeight="12"/>
  <cols>
    <col min="1" max="1" width="2.28515625" style="8" customWidth="1"/>
    <col min="2" max="2" width="39.85546875" style="23" customWidth="1"/>
    <col min="3" max="3" width="20.42578125" style="23" customWidth="1"/>
    <col min="4" max="4" width="19.85546875" style="16" customWidth="1"/>
    <col min="5" max="5" width="19" style="16" customWidth="1"/>
    <col min="6" max="16384" width="11.42578125" style="8"/>
  </cols>
  <sheetData>
    <row r="1" spans="1:113">
      <c r="B1" s="8"/>
      <c r="C1" s="8"/>
      <c r="D1" s="8"/>
      <c r="E1" s="8"/>
    </row>
    <row r="2" spans="1:113" ht="12.75">
      <c r="B2" s="174" t="s">
        <v>207</v>
      </c>
      <c r="C2" s="8"/>
      <c r="D2" s="8"/>
      <c r="E2" s="8"/>
    </row>
    <row r="3" spans="1:113" ht="9" customHeight="1">
      <c r="B3" s="105"/>
      <c r="C3" s="105"/>
      <c r="D3" s="105"/>
      <c r="E3" s="105"/>
    </row>
    <row r="4" spans="1:113" s="21" customFormat="1">
      <c r="A4" s="25"/>
      <c r="B4" s="144" t="s">
        <v>28</v>
      </c>
      <c r="C4" s="176" t="s">
        <v>39</v>
      </c>
      <c r="D4" s="177" t="s">
        <v>38</v>
      </c>
      <c r="E4" s="177" t="s">
        <v>144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</row>
    <row r="5" spans="1:113">
      <c r="B5" s="16" t="s">
        <v>160</v>
      </c>
      <c r="C5" s="23">
        <f>'Trésorerie AN 1'!T8</f>
        <v>0</v>
      </c>
      <c r="D5" s="16">
        <f>C5+'Trésorerie AN 2'!U8</f>
        <v>0</v>
      </c>
      <c r="E5" s="16">
        <f>D5+'Trésorerie AN 3'!U8</f>
        <v>0</v>
      </c>
    </row>
    <row r="6" spans="1:113">
      <c r="B6" s="16" t="s">
        <v>161</v>
      </c>
      <c r="C6" s="23">
        <f>'Trésorerie AN 1'!T9</f>
        <v>0</v>
      </c>
      <c r="D6" s="16">
        <f>C6+'Trésorerie AN 2'!U9</f>
        <v>0</v>
      </c>
      <c r="E6" s="16">
        <f>D6+'Trésorerie AN 3'!U9</f>
        <v>0</v>
      </c>
    </row>
    <row r="7" spans="1:113">
      <c r="B7" s="16"/>
    </row>
    <row r="8" spans="1:113">
      <c r="B8" s="16" t="s">
        <v>111</v>
      </c>
      <c r="C8" s="23">
        <f>Résultat!D44</f>
        <v>0</v>
      </c>
      <c r="D8" s="23">
        <f>C8+Résultat!E44</f>
        <v>0</v>
      </c>
      <c r="E8" s="23">
        <f>D8+Résultat!F44</f>
        <v>0</v>
      </c>
    </row>
    <row r="9" spans="1:113">
      <c r="B9" s="16"/>
    </row>
    <row r="10" spans="1:113">
      <c r="B10" s="46" t="s">
        <v>153</v>
      </c>
      <c r="C10" s="23">
        <f>Résultat!D45</f>
        <v>0</v>
      </c>
      <c r="D10" s="23">
        <f>C10+Résultat!E45</f>
        <v>0</v>
      </c>
      <c r="E10" s="23">
        <f>D10+Résultat!F45</f>
        <v>0</v>
      </c>
    </row>
    <row r="11" spans="1:113">
      <c r="B11" s="16"/>
    </row>
    <row r="12" spans="1:113">
      <c r="B12" s="16" t="s">
        <v>48</v>
      </c>
      <c r="C12" s="23">
        <f>'Trésorerie AN 1'!T11</f>
        <v>0</v>
      </c>
      <c r="D12" s="241">
        <f>C12+'Trésorerie AN 2'!U11</f>
        <v>0</v>
      </c>
      <c r="E12" s="241">
        <f>D12+'Trésorerie AN 3'!U11</f>
        <v>0</v>
      </c>
    </row>
    <row r="13" spans="1:113">
      <c r="B13" s="16" t="s">
        <v>162</v>
      </c>
      <c r="C13" s="23">
        <f>'Données emprunt'!C27-'Données emprunt'!D27</f>
        <v>0</v>
      </c>
      <c r="D13" s="23">
        <f>'Données emprunt'!C28-'Données emprunt'!D28</f>
        <v>0</v>
      </c>
      <c r="E13" s="23">
        <f>'Données emprunt'!C29-'Données emprunt'!D29</f>
        <v>0</v>
      </c>
    </row>
    <row r="14" spans="1:113">
      <c r="B14" s="16"/>
      <c r="C14" s="47"/>
      <c r="D14" s="47"/>
      <c r="E14" s="47"/>
    </row>
    <row r="15" spans="1:113">
      <c r="B15" s="16"/>
    </row>
    <row r="16" spans="1:113">
      <c r="B16" s="5" t="s">
        <v>11</v>
      </c>
    </row>
    <row r="17" spans="1:113">
      <c r="B17" s="16" t="s">
        <v>10</v>
      </c>
    </row>
    <row r="18" spans="1:113">
      <c r="B18" s="16" t="s">
        <v>216</v>
      </c>
      <c r="C18" s="23">
        <f>IF('Trésorerie AN 1'!Q52&gt;0,'Trésorerie AN 1'!Q52,0)</f>
        <v>0</v>
      </c>
      <c r="D18" s="16">
        <f>IF('Trésorerie AN 2'!R52&gt;0,'Trésorerie AN 2'!R52,0)</f>
        <v>0</v>
      </c>
      <c r="E18" s="16">
        <f>IF('Trésorerie AN 3'!R52&gt;0,'Trésorerie AN 3'!R52,0)</f>
        <v>0</v>
      </c>
    </row>
    <row r="19" spans="1:113">
      <c r="B19" s="16" t="s">
        <v>222</v>
      </c>
    </row>
    <row r="20" spans="1:113">
      <c r="B20" s="16"/>
    </row>
    <row r="21" spans="1:113">
      <c r="A21" s="23"/>
      <c r="B21" s="16"/>
    </row>
    <row r="22" spans="1:113" s="20" customFormat="1">
      <c r="A22" s="25"/>
      <c r="B22" s="148" t="s">
        <v>12</v>
      </c>
      <c r="C22" s="148">
        <f>SUM(C5:C21)</f>
        <v>0</v>
      </c>
      <c r="D22" s="148">
        <f>SUM(D5:D21)</f>
        <v>0</v>
      </c>
      <c r="E22" s="148">
        <f>SUM(E5:E21)</f>
        <v>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</row>
    <row r="23" spans="1:113" s="9" customFormat="1">
      <c r="B23" s="17"/>
      <c r="C23" s="17"/>
      <c r="D23" s="17"/>
      <c r="E23" s="1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</row>
    <row r="24" spans="1:113">
      <c r="B24" s="105"/>
      <c r="C24" s="105"/>
      <c r="D24" s="105"/>
      <c r="E24" s="105"/>
    </row>
    <row r="25" spans="1:113" s="20" customFormat="1">
      <c r="A25" s="25"/>
      <c r="B25" s="144" t="s">
        <v>29</v>
      </c>
      <c r="C25" s="176" t="s">
        <v>39</v>
      </c>
      <c r="D25" s="177" t="s">
        <v>38</v>
      </c>
      <c r="E25" s="177" t="s">
        <v>144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</row>
    <row r="26" spans="1:113">
      <c r="B26" s="16"/>
    </row>
    <row r="27" spans="1:113">
      <c r="B27" s="16" t="s">
        <v>32</v>
      </c>
      <c r="C27" s="23">
        <f>Investissements!I8</f>
        <v>0</v>
      </c>
      <c r="D27" s="23">
        <f>Investissements!J8</f>
        <v>0</v>
      </c>
      <c r="E27" s="23">
        <f>Investissements!K8</f>
        <v>0</v>
      </c>
    </row>
    <row r="28" spans="1:113">
      <c r="B28" s="16" t="s">
        <v>13</v>
      </c>
      <c r="C28" s="23">
        <f>Investissements!I14</f>
        <v>0</v>
      </c>
      <c r="D28" s="23">
        <f>Investissements!J14</f>
        <v>0</v>
      </c>
      <c r="E28" s="23">
        <f>Investissements!K14</f>
        <v>0</v>
      </c>
    </row>
    <row r="29" spans="1:113">
      <c r="B29" s="16" t="s">
        <v>14</v>
      </c>
      <c r="C29" s="23">
        <f>Investissements!I27-C30</f>
        <v>0</v>
      </c>
      <c r="D29" s="23">
        <f>Investissements!J27-D30</f>
        <v>0</v>
      </c>
      <c r="E29" s="23">
        <f>Investissements!K27-E30</f>
        <v>0</v>
      </c>
    </row>
    <row r="30" spans="1:113">
      <c r="B30" s="16" t="s">
        <v>46</v>
      </c>
      <c r="C30" s="23">
        <f>Investissements!I23</f>
        <v>0</v>
      </c>
      <c r="D30" s="23">
        <f>Investissements!J23</f>
        <v>0</v>
      </c>
      <c r="E30" s="23">
        <f>Investissements!K23</f>
        <v>0</v>
      </c>
    </row>
    <row r="31" spans="1:113">
      <c r="B31" s="16" t="s">
        <v>15</v>
      </c>
      <c r="C31" s="23">
        <f>'Trésorerie AN 1'!T39+'Trésorerie AN 1'!T40+'Trésorerie AN 1'!T41</f>
        <v>0</v>
      </c>
      <c r="D31" s="16">
        <f>C31</f>
        <v>0</v>
      </c>
      <c r="E31" s="16">
        <f>D31</f>
        <v>0</v>
      </c>
    </row>
    <row r="32" spans="1:113">
      <c r="B32" s="16"/>
    </row>
    <row r="33" spans="1:113">
      <c r="B33" s="16" t="s">
        <v>27</v>
      </c>
    </row>
    <row r="34" spans="1:113">
      <c r="B34" s="16"/>
    </row>
    <row r="35" spans="1:113">
      <c r="B35" s="16" t="s">
        <v>16</v>
      </c>
      <c r="C35" s="23">
        <f>'Ventes '!$K$19</f>
        <v>0</v>
      </c>
      <c r="D35" s="23">
        <f>'Ventes '!$K$19</f>
        <v>0</v>
      </c>
      <c r="E35" s="23">
        <f>'Ventes '!$K$19</f>
        <v>0</v>
      </c>
    </row>
    <row r="36" spans="1:113">
      <c r="B36" s="16"/>
    </row>
    <row r="37" spans="1:113">
      <c r="B37" s="16" t="s">
        <v>17</v>
      </c>
    </row>
    <row r="38" spans="1:113">
      <c r="B38" s="16" t="s">
        <v>217</v>
      </c>
      <c r="C38" s="23">
        <f>IF('Trésorerie AN 1'!Q52&lt;0,-'Trésorerie AN 1'!Q52,0)</f>
        <v>0</v>
      </c>
      <c r="D38" s="16">
        <f>IF('Trésorerie AN 2'!R52&lt;0,-'Trésorerie AN 2'!R52,0)</f>
        <v>0</v>
      </c>
      <c r="E38" s="16">
        <f>IF('Trésorerie AN 3'!R52&lt;0,-'Trésorerie AN 3'!R52,0)</f>
        <v>0</v>
      </c>
    </row>
    <row r="39" spans="1:113">
      <c r="B39" s="16"/>
    </row>
    <row r="40" spans="1:113">
      <c r="B40" s="16" t="s">
        <v>18</v>
      </c>
      <c r="C40" s="23">
        <f>'Trésorerie AN 1'!Q44</f>
        <v>0</v>
      </c>
      <c r="D40" s="16">
        <f>'Trésorerie AN 2'!R44</f>
        <v>0</v>
      </c>
      <c r="E40" s="16">
        <f>'Trésorerie AN 3'!R44</f>
        <v>0</v>
      </c>
    </row>
    <row r="41" spans="1:113">
      <c r="B41" s="16"/>
    </row>
    <row r="42" spans="1:113" s="20" customFormat="1">
      <c r="A42" s="9"/>
      <c r="B42" s="148" t="s">
        <v>19</v>
      </c>
      <c r="C42" s="148">
        <f>SUM(C27:C40)</f>
        <v>0</v>
      </c>
      <c r="D42" s="148">
        <f>SUM(D27:D41)</f>
        <v>0</v>
      </c>
      <c r="E42" s="148">
        <f>SUM(E27:E41)</f>
        <v>0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</row>
    <row r="43" spans="1:113">
      <c r="B43" s="8"/>
      <c r="C43" s="8"/>
      <c r="D43" s="8"/>
      <c r="E43" s="8"/>
    </row>
    <row r="44" spans="1:113">
      <c r="B44" s="8"/>
      <c r="C44" s="8"/>
      <c r="D44" s="8"/>
      <c r="E44" s="8"/>
    </row>
    <row r="45" spans="1:113">
      <c r="B45" s="14" t="s">
        <v>208</v>
      </c>
      <c r="C45" s="175">
        <f>C22-C42</f>
        <v>0</v>
      </c>
      <c r="D45" s="175">
        <f>D22-D42</f>
        <v>0</v>
      </c>
      <c r="E45" s="307">
        <f>E22-E42</f>
        <v>0</v>
      </c>
    </row>
    <row r="46" spans="1:113">
      <c r="B46" s="8"/>
      <c r="C46" s="8"/>
      <c r="D46" s="8"/>
      <c r="E46" s="8"/>
    </row>
    <row r="47" spans="1:113">
      <c r="B47" s="8"/>
      <c r="C47" s="8"/>
      <c r="D47" s="8"/>
      <c r="E47" s="8"/>
    </row>
    <row r="48" spans="1:113">
      <c r="B48" s="8"/>
      <c r="C48" s="8"/>
      <c r="D48" s="8"/>
      <c r="E48" s="8"/>
    </row>
    <row r="49" s="8" customFormat="1"/>
    <row r="50" s="8" customFormat="1"/>
    <row r="51" s="8" customFormat="1"/>
    <row r="52" s="8" customFormat="1"/>
    <row r="53" s="8" customFormat="1"/>
    <row r="54" s="8" customFormat="1"/>
    <row r="55" s="8" customFormat="1"/>
    <row r="56" s="8" customFormat="1"/>
    <row r="57" s="8" customFormat="1"/>
    <row r="58" s="8" customFormat="1"/>
    <row r="59" s="8" customFormat="1"/>
    <row r="60" s="8" customFormat="1"/>
    <row r="61" s="8" customFormat="1"/>
    <row r="62" s="8" customFormat="1"/>
    <row r="63" s="8" customFormat="1"/>
    <row r="64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  <row r="87" s="8" customFormat="1"/>
    <row r="88" s="8" customFormat="1"/>
    <row r="89" s="8" customFormat="1"/>
    <row r="90" s="8" customFormat="1"/>
    <row r="91" s="8" customFormat="1"/>
    <row r="92" s="8" customFormat="1"/>
    <row r="93" s="8" customFormat="1"/>
    <row r="94" s="8" customFormat="1"/>
    <row r="95" s="8" customFormat="1"/>
    <row r="96" s="8" customFormat="1"/>
    <row r="97" s="8" customFormat="1"/>
    <row r="98" s="8" customFormat="1"/>
    <row r="99" s="8" customFormat="1"/>
    <row r="100" s="8" customFormat="1"/>
    <row r="101" s="8" customFormat="1"/>
    <row r="102" s="8" customFormat="1"/>
    <row r="103" s="8" customFormat="1"/>
    <row r="104" s="8" customFormat="1"/>
    <row r="105" s="8" customFormat="1"/>
    <row r="106" s="8" customFormat="1"/>
    <row r="107" s="8" customFormat="1"/>
    <row r="108" s="8" customFormat="1"/>
    <row r="109" s="8" customFormat="1"/>
    <row r="110" s="8" customFormat="1"/>
    <row r="111" s="8" customFormat="1"/>
    <row r="112" s="8" customFormat="1"/>
    <row r="113" s="8" customFormat="1"/>
    <row r="114" s="8" customFormat="1"/>
    <row r="115" s="8" customFormat="1"/>
    <row r="116" s="8" customFormat="1"/>
    <row r="117" s="8" customFormat="1"/>
    <row r="118" s="8" customFormat="1"/>
    <row r="119" s="8" customFormat="1"/>
    <row r="120" s="8" customFormat="1"/>
    <row r="121" s="8" customFormat="1"/>
    <row r="122" s="8" customFormat="1"/>
    <row r="123" s="8" customFormat="1"/>
    <row r="124" s="8" customFormat="1"/>
    <row r="125" s="8" customFormat="1"/>
    <row r="126" s="8" customFormat="1"/>
    <row r="127" s="8" customFormat="1"/>
    <row r="128" s="8" customFormat="1"/>
    <row r="129" s="8" customFormat="1"/>
    <row r="130" s="8" customFormat="1"/>
    <row r="131" s="8" customFormat="1"/>
    <row r="132" s="8" customFormat="1"/>
    <row r="133" s="8" customFormat="1"/>
    <row r="134" s="8" customFormat="1"/>
    <row r="135" s="8" customFormat="1"/>
    <row r="136" s="8" customFormat="1"/>
    <row r="137" s="8" customFormat="1"/>
    <row r="138" s="8" customFormat="1"/>
    <row r="139" s="8" customFormat="1"/>
    <row r="140" s="8" customFormat="1"/>
    <row r="141" s="8" customFormat="1"/>
    <row r="142" s="8" customFormat="1"/>
    <row r="143" s="8" customFormat="1"/>
    <row r="144" s="8" customFormat="1"/>
    <row r="145" s="8" customFormat="1"/>
    <row r="146" s="8" customFormat="1"/>
    <row r="147" s="8" customFormat="1"/>
    <row r="148" s="8" customFormat="1"/>
    <row r="149" s="8" customFormat="1"/>
    <row r="150" s="8" customFormat="1"/>
    <row r="151" s="8" customFormat="1"/>
    <row r="152" s="8" customFormat="1"/>
    <row r="153" s="8" customFormat="1"/>
    <row r="154" s="8" customFormat="1"/>
    <row r="155" s="8" customFormat="1"/>
    <row r="156" s="8" customFormat="1"/>
    <row r="157" s="8" customFormat="1"/>
    <row r="158" s="8" customFormat="1"/>
    <row r="159" s="8" customFormat="1"/>
    <row r="160" s="8" customFormat="1"/>
    <row r="161" s="8" customFormat="1"/>
    <row r="162" s="8" customFormat="1"/>
    <row r="163" s="8" customFormat="1"/>
    <row r="164" s="8" customFormat="1"/>
    <row r="165" s="8" customFormat="1"/>
    <row r="166" s="8" customFormat="1"/>
    <row r="167" s="8" customFormat="1"/>
    <row r="168" s="8" customFormat="1"/>
    <row r="169" s="8" customFormat="1"/>
    <row r="170" s="8" customFormat="1"/>
    <row r="171" s="8" customFormat="1"/>
    <row r="172" s="8" customFormat="1"/>
    <row r="173" s="8" customFormat="1"/>
    <row r="174" s="8" customFormat="1"/>
    <row r="175" s="8" customFormat="1"/>
    <row r="176" s="8" customFormat="1"/>
    <row r="177" s="8" customFormat="1"/>
    <row r="178" s="8" customFormat="1"/>
    <row r="179" s="8" customFormat="1"/>
    <row r="180" s="8" customFormat="1"/>
    <row r="181" s="8" customFormat="1"/>
    <row r="182" s="8" customFormat="1"/>
    <row r="183" s="8" customFormat="1"/>
    <row r="184" s="8" customFormat="1"/>
    <row r="185" s="8" customFormat="1"/>
    <row r="186" s="8" customFormat="1"/>
    <row r="187" s="8" customFormat="1"/>
    <row r="188" s="8" customFormat="1"/>
    <row r="189" s="8" customFormat="1"/>
    <row r="190" s="8" customFormat="1"/>
    <row r="191" s="8" customFormat="1"/>
    <row r="192" s="8" customFormat="1"/>
    <row r="193" s="8" customFormat="1"/>
    <row r="194" s="8" customFormat="1"/>
    <row r="195" s="8" customFormat="1"/>
    <row r="196" s="8" customFormat="1"/>
    <row r="197" s="8" customFormat="1"/>
    <row r="198" s="8" customFormat="1"/>
    <row r="199" s="8" customFormat="1"/>
    <row r="200" s="8" customFormat="1"/>
    <row r="201" s="8" customFormat="1"/>
    <row r="202" s="8" customFormat="1"/>
    <row r="203" s="8" customFormat="1"/>
    <row r="204" s="8" customFormat="1"/>
    <row r="205" s="8" customFormat="1"/>
    <row r="206" s="8" customFormat="1"/>
    <row r="207" s="8" customFormat="1"/>
    <row r="208" s="8" customFormat="1"/>
    <row r="209" s="8" customFormat="1"/>
    <row r="210" s="8" customFormat="1"/>
    <row r="211" s="8" customFormat="1"/>
    <row r="212" s="8" customFormat="1"/>
    <row r="213" s="8" customFormat="1"/>
    <row r="214" s="8" customFormat="1"/>
    <row r="215" s="8" customFormat="1"/>
    <row r="216" s="8" customFormat="1"/>
    <row r="217" s="8" customFormat="1"/>
    <row r="218" s="8" customFormat="1"/>
    <row r="219" s="8" customFormat="1"/>
    <row r="220" s="8" customFormat="1"/>
    <row r="221" s="8" customFormat="1"/>
    <row r="222" s="8" customFormat="1"/>
    <row r="223" s="8" customFormat="1"/>
    <row r="224" s="8" customFormat="1"/>
    <row r="225" s="8" customFormat="1"/>
    <row r="226" s="8" customFormat="1"/>
    <row r="227" s="8" customFormat="1"/>
    <row r="228" s="8" customFormat="1"/>
    <row r="229" s="8" customFormat="1"/>
    <row r="230" s="8" customFormat="1"/>
    <row r="231" s="8" customFormat="1"/>
    <row r="232" s="8" customFormat="1"/>
    <row r="233" s="8" customFormat="1"/>
    <row r="234" s="8" customFormat="1"/>
    <row r="235" s="8" customFormat="1"/>
    <row r="236" s="8" customFormat="1"/>
    <row r="237" s="8" customFormat="1"/>
    <row r="238" s="8" customFormat="1"/>
    <row r="239" s="8" customFormat="1"/>
    <row r="240" s="8" customFormat="1"/>
    <row r="241" s="8" customFormat="1"/>
    <row r="242" s="8" customFormat="1"/>
    <row r="243" s="8" customFormat="1"/>
    <row r="244" s="8" customFormat="1"/>
    <row r="245" s="8" customFormat="1"/>
    <row r="246" s="8" customFormat="1"/>
    <row r="247" s="8" customFormat="1"/>
    <row r="248" s="8" customFormat="1"/>
    <row r="249" s="8" customFormat="1"/>
    <row r="250" s="8" customFormat="1"/>
    <row r="251" s="8" customFormat="1"/>
    <row r="252" s="8" customFormat="1"/>
    <row r="253" s="8" customFormat="1"/>
    <row r="254" s="8" customFormat="1"/>
    <row r="255" s="8" customFormat="1"/>
    <row r="256" s="8" customFormat="1"/>
    <row r="257" s="8" customFormat="1"/>
    <row r="258" s="8" customFormat="1"/>
    <row r="259" s="8" customFormat="1"/>
    <row r="260" s="8" customFormat="1"/>
    <row r="261" s="8" customFormat="1"/>
    <row r="262" s="8" customFormat="1"/>
    <row r="263" s="8" customFormat="1"/>
    <row r="264" s="8" customFormat="1"/>
    <row r="265" s="8" customFormat="1"/>
    <row r="266" s="8" customFormat="1"/>
    <row r="267" s="8" customFormat="1"/>
    <row r="268" s="8" customFormat="1"/>
    <row r="269" s="8" customFormat="1"/>
    <row r="270" s="8" customFormat="1"/>
    <row r="271" s="8" customFormat="1"/>
    <row r="272" s="8" customFormat="1"/>
    <row r="273" s="8" customFormat="1"/>
    <row r="274" s="8" customFormat="1"/>
    <row r="275" s="8" customFormat="1"/>
    <row r="276" s="8" customFormat="1"/>
    <row r="277" s="8" customFormat="1"/>
    <row r="278" s="8" customFormat="1"/>
    <row r="279" s="8" customFormat="1"/>
    <row r="280" s="8" customFormat="1"/>
    <row r="281" s="8" customFormat="1"/>
    <row r="282" s="8" customFormat="1"/>
    <row r="283" s="8" customFormat="1"/>
    <row r="284" s="8" customFormat="1"/>
    <row r="285" s="8" customFormat="1"/>
    <row r="286" s="8" customFormat="1"/>
    <row r="287" s="8" customFormat="1"/>
    <row r="288" s="8" customFormat="1"/>
    <row r="289" s="8" customFormat="1"/>
    <row r="290" s="8" customFormat="1"/>
    <row r="291" s="8" customFormat="1"/>
    <row r="292" s="8" customFormat="1"/>
    <row r="293" s="8" customFormat="1"/>
    <row r="294" s="8" customFormat="1"/>
    <row r="295" s="8" customFormat="1"/>
    <row r="296" s="8" customFormat="1"/>
    <row r="297" s="8" customFormat="1"/>
    <row r="298" s="8" customFormat="1"/>
    <row r="299" s="8" customFormat="1"/>
    <row r="300" s="8" customFormat="1"/>
    <row r="301" s="8" customFormat="1"/>
    <row r="302" s="8" customFormat="1"/>
    <row r="303" s="8" customFormat="1"/>
    <row r="304" s="8" customFormat="1"/>
    <row r="305" s="8" customFormat="1"/>
    <row r="306" s="8" customFormat="1"/>
    <row r="307" s="8" customFormat="1"/>
    <row r="308" s="8" customFormat="1"/>
    <row r="309" s="8" customFormat="1"/>
    <row r="310" s="8" customFormat="1"/>
    <row r="311" s="8" customFormat="1"/>
    <row r="312" s="8" customFormat="1"/>
    <row r="313" s="8" customFormat="1"/>
    <row r="314" s="8" customFormat="1"/>
    <row r="315" s="8" customFormat="1"/>
    <row r="316" s="8" customFormat="1"/>
    <row r="317" s="8" customFormat="1"/>
    <row r="318" s="8" customFormat="1"/>
    <row r="319" s="8" customFormat="1"/>
    <row r="320" s="8" customFormat="1"/>
    <row r="321" s="8" customFormat="1"/>
    <row r="322" s="8" customFormat="1"/>
    <row r="323" s="8" customFormat="1"/>
    <row r="324" s="8" customFormat="1"/>
    <row r="325" s="8" customFormat="1"/>
    <row r="326" s="8" customFormat="1"/>
    <row r="327" s="8" customFormat="1"/>
    <row r="328" s="8" customFormat="1"/>
    <row r="329" s="8" customFormat="1"/>
    <row r="330" s="8" customFormat="1"/>
    <row r="331" s="8" customFormat="1"/>
    <row r="332" s="8" customFormat="1"/>
    <row r="333" s="8" customFormat="1"/>
    <row r="334" s="8" customFormat="1"/>
    <row r="335" s="8" customFormat="1"/>
    <row r="336" s="8" customFormat="1"/>
    <row r="337" s="8" customFormat="1"/>
    <row r="338" s="8" customFormat="1"/>
    <row r="339" s="8" customFormat="1"/>
    <row r="340" s="8" customFormat="1"/>
    <row r="341" s="8" customFormat="1"/>
    <row r="342" s="8" customFormat="1"/>
    <row r="343" s="8" customFormat="1"/>
    <row r="344" s="8" customFormat="1"/>
    <row r="345" s="8" customFormat="1"/>
    <row r="346" s="8" customFormat="1"/>
    <row r="347" s="8" customFormat="1"/>
    <row r="348" s="8" customFormat="1"/>
    <row r="349" s="8" customFormat="1"/>
    <row r="350" s="8" customFormat="1"/>
    <row r="351" s="8" customFormat="1"/>
    <row r="352" s="8" customFormat="1"/>
    <row r="353" s="8" customFormat="1"/>
    <row r="354" s="8" customFormat="1"/>
    <row r="355" s="8" customFormat="1"/>
    <row r="356" s="8" customFormat="1"/>
    <row r="357" s="8" customFormat="1"/>
    <row r="358" s="8" customFormat="1"/>
    <row r="359" s="8" customFormat="1"/>
    <row r="360" s="8" customFormat="1"/>
    <row r="361" s="8" customFormat="1"/>
    <row r="362" s="8" customFormat="1"/>
    <row r="363" s="8" customFormat="1"/>
    <row r="364" s="8" customFormat="1"/>
    <row r="365" s="8" customFormat="1"/>
    <row r="366" s="8" customFormat="1"/>
    <row r="367" s="8" customFormat="1"/>
    <row r="368" s="8" customFormat="1"/>
    <row r="369" s="8" customFormat="1"/>
    <row r="370" s="8" customFormat="1"/>
    <row r="371" s="8" customFormat="1"/>
    <row r="372" s="8" customFormat="1"/>
    <row r="373" s="8" customFormat="1"/>
    <row r="374" s="8" customFormat="1"/>
    <row r="375" s="8" customFormat="1"/>
    <row r="376" s="8" customFormat="1"/>
    <row r="377" s="8" customFormat="1"/>
    <row r="378" s="8" customFormat="1"/>
    <row r="379" s="8" customFormat="1"/>
    <row r="380" s="8" customFormat="1"/>
    <row r="381" s="8" customFormat="1"/>
    <row r="382" s="8" customFormat="1"/>
    <row r="383" s="8" customFormat="1"/>
    <row r="384" s="8" customFormat="1"/>
    <row r="385" s="8" customFormat="1"/>
    <row r="386" s="8" customFormat="1"/>
    <row r="387" s="8" customFormat="1"/>
    <row r="388" s="8" customFormat="1"/>
    <row r="389" s="8" customFormat="1"/>
    <row r="390" s="8" customFormat="1"/>
    <row r="391" s="8" customFormat="1"/>
    <row r="392" s="8" customFormat="1"/>
    <row r="393" s="8" customFormat="1"/>
    <row r="394" s="8" customFormat="1"/>
    <row r="395" s="8" customFormat="1"/>
    <row r="396" s="8" customFormat="1"/>
    <row r="397" s="8" customFormat="1"/>
    <row r="398" s="8" customFormat="1"/>
    <row r="399" s="8" customFormat="1"/>
    <row r="400" s="8" customFormat="1"/>
    <row r="401" s="8" customFormat="1"/>
    <row r="402" s="8" customFormat="1"/>
    <row r="403" s="8" customFormat="1"/>
    <row r="404" s="8" customFormat="1"/>
    <row r="405" s="8" customFormat="1"/>
    <row r="406" s="8" customFormat="1"/>
    <row r="407" s="8" customFormat="1"/>
    <row r="408" s="8" customFormat="1"/>
    <row r="409" s="8" customFormat="1"/>
    <row r="410" s="8" customFormat="1"/>
    <row r="411" s="8" customFormat="1"/>
    <row r="412" s="8" customFormat="1"/>
    <row r="413" s="8" customFormat="1"/>
    <row r="414" s="8" customFormat="1"/>
    <row r="415" s="8" customFormat="1"/>
    <row r="416" s="8" customFormat="1"/>
    <row r="417" s="8" customFormat="1"/>
    <row r="418" s="8" customFormat="1"/>
    <row r="419" s="8" customFormat="1"/>
    <row r="420" s="8" customFormat="1"/>
    <row r="421" s="8" customFormat="1"/>
    <row r="422" s="8" customFormat="1"/>
    <row r="423" s="8" customFormat="1"/>
    <row r="424" s="8" customFormat="1"/>
    <row r="425" s="8" customFormat="1"/>
    <row r="426" s="8" customFormat="1"/>
    <row r="427" s="8" customFormat="1"/>
    <row r="428" s="8" customFormat="1"/>
    <row r="429" s="8" customFormat="1"/>
    <row r="430" s="8" customFormat="1"/>
    <row r="431" s="8" customFormat="1"/>
    <row r="432" s="8" customFormat="1"/>
    <row r="433" s="8" customFormat="1"/>
    <row r="434" s="8" customFormat="1"/>
    <row r="435" s="8" customFormat="1"/>
    <row r="436" s="8" customFormat="1"/>
    <row r="437" s="8" customFormat="1"/>
    <row r="438" s="8" customFormat="1"/>
    <row r="439" s="8" customFormat="1"/>
    <row r="440" s="8" customFormat="1"/>
    <row r="441" s="8" customFormat="1"/>
    <row r="442" s="8" customFormat="1"/>
    <row r="443" s="8" customFormat="1"/>
    <row r="444" s="8" customFormat="1"/>
    <row r="445" s="8" customFormat="1"/>
    <row r="446" s="8" customFormat="1"/>
    <row r="447" s="8" customFormat="1"/>
    <row r="448" s="8" customFormat="1"/>
    <row r="449" s="8" customFormat="1"/>
    <row r="450" s="8" customFormat="1"/>
    <row r="451" s="8" customFormat="1"/>
    <row r="452" s="8" customFormat="1"/>
    <row r="453" s="8" customFormat="1"/>
    <row r="454" s="8" customFormat="1"/>
    <row r="455" s="8" customFormat="1"/>
    <row r="456" s="8" customFormat="1"/>
    <row r="457" s="8" customFormat="1"/>
    <row r="458" s="8" customFormat="1"/>
    <row r="459" s="8" customFormat="1"/>
    <row r="460" s="8" customFormat="1"/>
    <row r="461" s="8" customFormat="1"/>
    <row r="462" s="8" customFormat="1"/>
    <row r="463" s="8" customFormat="1"/>
    <row r="464" s="8" customFormat="1"/>
    <row r="465" s="8" customFormat="1"/>
    <row r="466" s="8" customFormat="1"/>
    <row r="467" s="8" customFormat="1"/>
    <row r="468" s="8" customFormat="1"/>
    <row r="469" s="8" customFormat="1"/>
    <row r="470" s="8" customFormat="1"/>
    <row r="471" s="8" customFormat="1"/>
    <row r="472" s="8" customFormat="1"/>
    <row r="473" s="8" customFormat="1"/>
    <row r="474" s="8" customFormat="1"/>
    <row r="475" s="8" customFormat="1"/>
    <row r="476" s="8" customFormat="1"/>
    <row r="477" s="8" customFormat="1"/>
    <row r="478" s="8" customFormat="1"/>
    <row r="479" s="8" customFormat="1"/>
    <row r="480" s="8" customFormat="1"/>
    <row r="481" s="8" customFormat="1"/>
    <row r="482" s="8" customFormat="1"/>
    <row r="483" s="8" customFormat="1"/>
    <row r="484" s="8" customFormat="1"/>
    <row r="485" s="8" customFormat="1"/>
    <row r="486" s="8" customFormat="1"/>
    <row r="487" s="8" customFormat="1"/>
    <row r="488" s="8" customFormat="1"/>
    <row r="489" s="8" customFormat="1"/>
    <row r="490" s="8" customFormat="1"/>
    <row r="491" s="8" customFormat="1"/>
    <row r="492" s="8" customFormat="1"/>
    <row r="493" s="8" customFormat="1"/>
    <row r="494" s="8" customFormat="1"/>
    <row r="495" s="8" customFormat="1"/>
    <row r="496" s="8" customFormat="1"/>
    <row r="497" s="8" customFormat="1"/>
    <row r="498" s="8" customFormat="1"/>
    <row r="499" s="8" customFormat="1"/>
    <row r="500" s="8" customFormat="1"/>
    <row r="501" s="8" customFormat="1"/>
    <row r="502" s="8" customFormat="1"/>
    <row r="503" s="8" customFormat="1"/>
    <row r="504" s="8" customFormat="1"/>
    <row r="505" s="8" customFormat="1"/>
    <row r="506" s="8" customFormat="1"/>
    <row r="507" s="8" customFormat="1"/>
    <row r="508" s="8" customFormat="1"/>
    <row r="509" s="8" customFormat="1"/>
    <row r="510" s="8" customFormat="1"/>
    <row r="511" s="8" customFormat="1"/>
    <row r="512" s="8" customFormat="1"/>
    <row r="513" s="8" customFormat="1"/>
    <row r="514" s="8" customFormat="1"/>
    <row r="515" s="8" customFormat="1"/>
    <row r="516" s="8" customFormat="1"/>
    <row r="517" s="8" customFormat="1"/>
    <row r="518" s="8" customFormat="1"/>
    <row r="519" s="8" customFormat="1"/>
    <row r="520" s="8" customFormat="1"/>
    <row r="521" s="8" customFormat="1"/>
    <row r="522" s="8" customFormat="1"/>
    <row r="523" s="8" customFormat="1"/>
    <row r="524" s="8" customFormat="1"/>
    <row r="525" s="8" customFormat="1"/>
    <row r="526" s="8" customFormat="1"/>
    <row r="527" s="8" customFormat="1"/>
    <row r="528" s="8" customFormat="1"/>
    <row r="529" s="8" customFormat="1"/>
    <row r="530" s="8" customFormat="1"/>
    <row r="531" s="8" customFormat="1"/>
    <row r="532" s="8" customFormat="1"/>
    <row r="533" s="8" customFormat="1"/>
    <row r="534" s="8" customFormat="1"/>
    <row r="535" s="8" customFormat="1"/>
    <row r="536" s="8" customFormat="1"/>
    <row r="537" s="8" customFormat="1"/>
    <row r="538" s="8" customFormat="1"/>
    <row r="539" s="8" customFormat="1"/>
    <row r="540" s="8" customFormat="1"/>
    <row r="541" s="8" customFormat="1"/>
    <row r="542" s="8" customFormat="1"/>
    <row r="543" s="8" customFormat="1"/>
    <row r="544" s="8" customFormat="1"/>
    <row r="545" s="8" customFormat="1"/>
    <row r="546" s="8" customFormat="1"/>
    <row r="547" s="8" customFormat="1"/>
    <row r="548" s="8" customFormat="1"/>
    <row r="549" s="8" customFormat="1"/>
    <row r="550" s="8" customFormat="1"/>
    <row r="551" s="8" customFormat="1"/>
    <row r="552" s="8" customFormat="1"/>
    <row r="553" s="8" customFormat="1"/>
    <row r="554" s="8" customFormat="1"/>
    <row r="555" s="8" customFormat="1"/>
    <row r="556" s="8" customFormat="1"/>
    <row r="557" s="8" customFormat="1"/>
    <row r="558" s="8" customFormat="1"/>
    <row r="559" s="8" customFormat="1"/>
    <row r="560" s="8" customFormat="1"/>
    <row r="561" s="8" customFormat="1"/>
    <row r="562" s="8" customFormat="1"/>
    <row r="563" s="8" customFormat="1"/>
    <row r="564" s="8" customFormat="1"/>
    <row r="565" s="8" customFormat="1"/>
    <row r="566" s="8" customFormat="1"/>
    <row r="567" s="8" customFormat="1"/>
    <row r="568" s="8" customFormat="1"/>
    <row r="569" s="8" customFormat="1"/>
    <row r="570" s="8" customFormat="1"/>
    <row r="571" s="8" customFormat="1"/>
    <row r="572" s="8" customFormat="1"/>
    <row r="573" s="8" customFormat="1"/>
    <row r="574" s="8" customFormat="1"/>
    <row r="575" s="8" customFormat="1"/>
    <row r="576" s="8" customFormat="1"/>
    <row r="577" s="8" customFormat="1"/>
    <row r="578" s="8" customFormat="1"/>
    <row r="579" s="8" customFormat="1"/>
    <row r="580" s="8" customFormat="1"/>
    <row r="581" s="8" customFormat="1"/>
    <row r="582" s="8" customFormat="1"/>
    <row r="583" s="8" customFormat="1"/>
    <row r="584" s="8" customFormat="1"/>
    <row r="585" s="8" customFormat="1"/>
    <row r="586" s="8" customFormat="1"/>
    <row r="587" s="8" customFormat="1"/>
    <row r="588" s="8" customFormat="1"/>
    <row r="589" s="8" customFormat="1"/>
    <row r="590" s="8" customFormat="1"/>
    <row r="591" s="8" customFormat="1"/>
    <row r="592" s="8" customFormat="1"/>
    <row r="593" s="8" customFormat="1"/>
    <row r="594" s="8" customFormat="1"/>
    <row r="595" s="8" customFormat="1"/>
    <row r="596" s="8" customFormat="1"/>
    <row r="597" s="8" customFormat="1"/>
    <row r="598" s="8" customFormat="1"/>
    <row r="599" s="8" customFormat="1"/>
    <row r="600" s="8" customFormat="1"/>
    <row r="601" s="8" customFormat="1"/>
    <row r="602" s="8" customFormat="1"/>
    <row r="603" s="8" customFormat="1"/>
    <row r="604" s="8" customFormat="1"/>
    <row r="605" s="8" customFormat="1"/>
    <row r="606" s="8" customFormat="1"/>
    <row r="607" s="8" customFormat="1"/>
    <row r="608" s="8" customFormat="1"/>
    <row r="609" s="8" customFormat="1"/>
    <row r="610" s="8" customFormat="1"/>
    <row r="611" s="8" customFormat="1"/>
    <row r="612" s="8" customFormat="1"/>
    <row r="613" s="8" customFormat="1"/>
    <row r="614" s="8" customFormat="1"/>
    <row r="615" s="8" customFormat="1"/>
    <row r="616" s="8" customFormat="1"/>
    <row r="617" s="8" customFormat="1"/>
    <row r="618" s="8" customFormat="1"/>
    <row r="619" s="8" customFormat="1"/>
    <row r="620" s="8" customFormat="1"/>
    <row r="621" s="8" customFormat="1"/>
    <row r="622" s="8" customFormat="1"/>
    <row r="623" s="8" customFormat="1"/>
    <row r="624" s="8" customFormat="1"/>
    <row r="625" s="8" customFormat="1"/>
    <row r="626" s="8" customFormat="1"/>
    <row r="627" s="8" customFormat="1"/>
    <row r="628" s="8" customFormat="1"/>
    <row r="629" s="8" customFormat="1"/>
    <row r="630" s="8" customFormat="1"/>
    <row r="631" s="8" customFormat="1"/>
    <row r="632" s="8" customFormat="1"/>
    <row r="633" s="8" customFormat="1"/>
    <row r="634" s="8" customFormat="1"/>
    <row r="635" s="8" customFormat="1"/>
    <row r="636" s="8" customFormat="1"/>
    <row r="637" s="8" customFormat="1"/>
    <row r="638" s="8" customFormat="1"/>
    <row r="639" s="8" customFormat="1"/>
    <row r="640" s="8" customFormat="1"/>
    <row r="641" s="8" customFormat="1"/>
    <row r="642" s="8" customFormat="1"/>
    <row r="643" s="8" customFormat="1"/>
    <row r="644" s="8" customFormat="1"/>
    <row r="645" s="8" customFormat="1"/>
    <row r="646" s="8" customFormat="1"/>
    <row r="647" s="8" customFormat="1"/>
    <row r="648" s="8" customFormat="1"/>
    <row r="649" s="8" customFormat="1"/>
    <row r="650" s="8" customFormat="1"/>
    <row r="651" s="8" customFormat="1"/>
    <row r="652" s="8" customFormat="1"/>
    <row r="653" s="8" customFormat="1"/>
    <row r="654" s="8" customFormat="1"/>
    <row r="655" s="8" customFormat="1"/>
    <row r="656" s="8" customFormat="1"/>
    <row r="657" s="8" customFormat="1"/>
    <row r="658" s="8" customFormat="1"/>
    <row r="659" s="8" customFormat="1"/>
    <row r="660" s="8" customFormat="1"/>
    <row r="661" s="8" customFormat="1"/>
    <row r="662" s="8" customFormat="1"/>
    <row r="663" s="8" customFormat="1"/>
    <row r="664" s="8" customFormat="1"/>
    <row r="665" s="8" customFormat="1"/>
    <row r="666" s="8" customFormat="1"/>
    <row r="667" s="8" customFormat="1"/>
    <row r="668" s="8" customFormat="1"/>
    <row r="669" s="8" customFormat="1"/>
    <row r="670" s="8" customFormat="1"/>
    <row r="671" s="8" customFormat="1"/>
    <row r="672" s="8" customFormat="1"/>
    <row r="673" s="8" customFormat="1"/>
    <row r="674" s="8" customFormat="1"/>
    <row r="675" s="8" customFormat="1"/>
    <row r="676" s="8" customFormat="1"/>
    <row r="677" s="8" customFormat="1"/>
    <row r="678" s="8" customFormat="1"/>
    <row r="679" s="8" customFormat="1"/>
    <row r="680" s="8" customFormat="1"/>
    <row r="681" s="8" customFormat="1"/>
    <row r="682" s="8" customFormat="1"/>
    <row r="683" s="8" customFormat="1"/>
    <row r="684" s="8" customFormat="1"/>
    <row r="685" s="8" customFormat="1"/>
    <row r="686" s="8" customFormat="1"/>
    <row r="687" s="8" customFormat="1"/>
    <row r="688" s="8" customFormat="1"/>
    <row r="689" s="8" customFormat="1"/>
    <row r="690" s="8" customFormat="1"/>
    <row r="691" s="8" customFormat="1"/>
    <row r="692" s="8" customFormat="1"/>
    <row r="693" s="8" customFormat="1"/>
    <row r="694" s="8" customFormat="1"/>
    <row r="695" s="8" customFormat="1"/>
    <row r="696" s="8" customFormat="1"/>
    <row r="697" s="8" customFormat="1"/>
    <row r="698" s="8" customFormat="1"/>
    <row r="699" s="8" customFormat="1"/>
    <row r="700" s="8" customFormat="1"/>
    <row r="701" s="8" customFormat="1"/>
    <row r="702" s="8" customFormat="1"/>
    <row r="703" s="8" customFormat="1"/>
    <row r="704" s="8" customFormat="1"/>
    <row r="705" s="8" customFormat="1"/>
    <row r="706" s="8" customFormat="1"/>
    <row r="707" s="8" customFormat="1"/>
    <row r="708" s="8" customFormat="1"/>
    <row r="709" s="8" customFormat="1"/>
    <row r="710" s="8" customFormat="1"/>
    <row r="711" s="8" customFormat="1"/>
    <row r="712" s="8" customFormat="1"/>
    <row r="713" s="8" customFormat="1"/>
    <row r="714" s="8" customFormat="1"/>
    <row r="715" s="8" customFormat="1"/>
    <row r="716" s="8" customFormat="1"/>
    <row r="717" s="8" customFormat="1"/>
    <row r="718" s="8" customFormat="1"/>
    <row r="719" s="8" customFormat="1"/>
    <row r="720" s="8" customFormat="1"/>
    <row r="721" s="8" customFormat="1"/>
    <row r="722" s="8" customFormat="1"/>
    <row r="723" s="8" customFormat="1"/>
    <row r="724" s="8" customFormat="1"/>
    <row r="725" s="8" customFormat="1"/>
    <row r="726" s="8" customFormat="1"/>
    <row r="727" s="8" customFormat="1"/>
    <row r="728" s="8" customFormat="1"/>
    <row r="729" s="8" customFormat="1"/>
    <row r="730" s="8" customFormat="1"/>
    <row r="731" s="8" customFormat="1"/>
    <row r="732" s="8" customFormat="1"/>
    <row r="733" s="8" customFormat="1"/>
    <row r="734" s="8" customFormat="1"/>
    <row r="735" s="8" customFormat="1"/>
    <row r="736" s="8" customFormat="1"/>
    <row r="737" s="8" customFormat="1"/>
    <row r="738" s="8" customFormat="1"/>
    <row r="739" s="8" customFormat="1"/>
    <row r="740" s="8" customFormat="1"/>
    <row r="741" s="8" customFormat="1"/>
    <row r="742" s="8" customFormat="1"/>
    <row r="743" s="8" customFormat="1"/>
    <row r="744" s="8" customFormat="1"/>
    <row r="745" s="8" customFormat="1"/>
    <row r="746" s="8" customFormat="1"/>
    <row r="747" s="8" customFormat="1"/>
    <row r="748" s="8" customFormat="1"/>
    <row r="749" s="8" customFormat="1"/>
    <row r="750" s="8" customFormat="1"/>
    <row r="751" s="8" customFormat="1"/>
    <row r="752" s="8" customFormat="1"/>
    <row r="753" s="8" customFormat="1"/>
    <row r="754" s="8" customFormat="1"/>
    <row r="755" s="8" customFormat="1"/>
    <row r="756" s="8" customFormat="1"/>
    <row r="757" s="8" customFormat="1"/>
    <row r="758" s="8" customFormat="1"/>
    <row r="759" s="8" customFormat="1"/>
    <row r="760" s="8" customFormat="1"/>
    <row r="761" s="8" customFormat="1"/>
    <row r="762" s="8" customFormat="1"/>
    <row r="763" s="8" customFormat="1"/>
    <row r="764" s="8" customFormat="1"/>
    <row r="765" s="8" customFormat="1"/>
    <row r="766" s="8" customFormat="1"/>
    <row r="767" s="8" customFormat="1"/>
    <row r="768" s="8" customFormat="1"/>
    <row r="769" s="8" customFormat="1"/>
    <row r="770" s="8" customFormat="1"/>
    <row r="771" s="8" customFormat="1"/>
    <row r="772" s="8" customFormat="1"/>
    <row r="773" s="8" customFormat="1"/>
    <row r="774" s="8" customFormat="1"/>
    <row r="775" s="8" customFormat="1"/>
    <row r="776" s="8" customFormat="1"/>
    <row r="777" s="8" customFormat="1"/>
    <row r="778" s="8" customFormat="1"/>
    <row r="779" s="8" customFormat="1"/>
    <row r="780" s="8" customFormat="1"/>
    <row r="781" s="8" customFormat="1"/>
    <row r="782" s="8" customFormat="1"/>
    <row r="783" s="8" customFormat="1"/>
    <row r="784" s="8" customFormat="1"/>
    <row r="785" s="8" customFormat="1"/>
    <row r="786" s="8" customFormat="1"/>
    <row r="787" s="8" customFormat="1"/>
    <row r="788" s="8" customFormat="1"/>
    <row r="789" s="8" customFormat="1"/>
    <row r="790" s="8" customFormat="1"/>
    <row r="791" s="8" customFormat="1"/>
    <row r="792" s="8" customFormat="1"/>
    <row r="793" s="8" customFormat="1"/>
    <row r="794" s="8" customFormat="1"/>
    <row r="795" s="8" customFormat="1"/>
    <row r="796" s="8" customFormat="1"/>
    <row r="797" s="8" customFormat="1"/>
    <row r="798" s="8" customFormat="1"/>
    <row r="799" s="8" customFormat="1"/>
    <row r="800" s="8" customFormat="1"/>
    <row r="801" s="8" customFormat="1"/>
    <row r="802" s="8" customFormat="1"/>
    <row r="803" s="8" customFormat="1"/>
    <row r="804" s="8" customFormat="1"/>
    <row r="805" s="8" customFormat="1"/>
    <row r="806" s="8" customFormat="1"/>
    <row r="807" s="8" customFormat="1"/>
    <row r="808" s="8" customFormat="1"/>
    <row r="809" s="8" customFormat="1"/>
    <row r="810" s="8" customFormat="1"/>
    <row r="811" s="8" customFormat="1"/>
    <row r="812" s="8" customFormat="1"/>
    <row r="813" s="8" customFormat="1"/>
    <row r="814" s="8" customFormat="1"/>
    <row r="815" s="8" customFormat="1"/>
    <row r="816" s="8" customFormat="1"/>
    <row r="817" s="8" customFormat="1"/>
    <row r="818" s="8" customFormat="1"/>
    <row r="819" s="8" customFormat="1"/>
    <row r="820" s="8" customFormat="1"/>
    <row r="821" s="8" customFormat="1"/>
    <row r="822" s="8" customFormat="1"/>
    <row r="823" s="8" customFormat="1"/>
    <row r="824" s="8" customFormat="1"/>
    <row r="825" s="8" customFormat="1"/>
    <row r="826" s="8" customFormat="1"/>
    <row r="827" s="8" customFormat="1"/>
    <row r="828" s="8" customFormat="1"/>
    <row r="829" s="8" customFormat="1"/>
    <row r="830" s="8" customFormat="1"/>
    <row r="831" s="8" customFormat="1"/>
    <row r="832" s="8" customFormat="1"/>
    <row r="833" s="8" customFormat="1"/>
    <row r="834" s="8" customFormat="1"/>
    <row r="835" s="8" customFormat="1"/>
    <row r="836" s="8" customFormat="1"/>
    <row r="837" s="8" customFormat="1"/>
    <row r="838" s="8" customFormat="1"/>
    <row r="839" s="8" customFormat="1"/>
    <row r="840" s="8" customFormat="1"/>
    <row r="841" s="8" customFormat="1"/>
    <row r="842" s="8" customFormat="1"/>
    <row r="843" s="8" customFormat="1"/>
    <row r="844" s="8" customFormat="1"/>
    <row r="845" s="8" customFormat="1"/>
    <row r="846" s="8" customFormat="1"/>
    <row r="847" s="8" customFormat="1"/>
    <row r="848" s="8" customFormat="1"/>
    <row r="849" s="8" customFormat="1"/>
    <row r="850" s="8" customFormat="1"/>
    <row r="851" s="8" customFormat="1"/>
    <row r="852" s="8" customFormat="1"/>
    <row r="853" s="8" customFormat="1"/>
    <row r="854" s="8" customFormat="1"/>
    <row r="855" s="8" customFormat="1"/>
    <row r="856" s="8" customFormat="1"/>
    <row r="857" s="8" customFormat="1"/>
    <row r="858" s="8" customFormat="1"/>
    <row r="859" s="8" customFormat="1"/>
    <row r="860" s="8" customFormat="1"/>
    <row r="861" s="8" customFormat="1"/>
    <row r="862" s="8" customFormat="1"/>
    <row r="863" s="8" customFormat="1"/>
    <row r="864" s="8" customFormat="1"/>
    <row r="865" s="8" customFormat="1"/>
    <row r="866" s="8" customFormat="1"/>
    <row r="867" s="8" customFormat="1"/>
    <row r="868" s="8" customFormat="1"/>
    <row r="869" s="8" customFormat="1"/>
    <row r="870" s="8" customFormat="1"/>
    <row r="871" s="8" customFormat="1"/>
    <row r="872" s="8" customFormat="1"/>
    <row r="873" s="8" customFormat="1"/>
    <row r="874" s="8" customFormat="1"/>
    <row r="875" s="8" customFormat="1"/>
    <row r="876" s="8" customFormat="1"/>
    <row r="877" s="8" customFormat="1"/>
    <row r="878" s="8" customFormat="1"/>
    <row r="879" s="8" customFormat="1"/>
    <row r="880" s="8" customFormat="1"/>
    <row r="881" s="8" customFormat="1"/>
    <row r="882" s="8" customFormat="1"/>
    <row r="883" s="8" customFormat="1"/>
    <row r="884" s="8" customFormat="1"/>
    <row r="885" s="8" customFormat="1"/>
    <row r="886" s="8" customFormat="1"/>
    <row r="887" s="8" customFormat="1"/>
    <row r="888" s="8" customFormat="1"/>
    <row r="889" s="8" customFormat="1"/>
    <row r="890" s="8" customFormat="1"/>
    <row r="891" s="8" customFormat="1"/>
    <row r="892" s="8" customFormat="1"/>
    <row r="893" s="8" customFormat="1"/>
    <row r="894" s="8" customFormat="1"/>
    <row r="895" s="8" customFormat="1"/>
    <row r="896" s="8" customFormat="1"/>
    <row r="897" s="8" customFormat="1"/>
    <row r="898" s="8" customFormat="1"/>
    <row r="899" s="8" customFormat="1"/>
    <row r="900" s="8" customFormat="1"/>
    <row r="901" s="8" customFormat="1"/>
    <row r="902" s="8" customFormat="1"/>
    <row r="903" s="8" customFormat="1"/>
    <row r="904" s="8" customFormat="1"/>
    <row r="905" s="8" customFormat="1"/>
    <row r="906" s="8" customFormat="1"/>
    <row r="907" s="8" customFormat="1"/>
    <row r="908" s="8" customFormat="1"/>
    <row r="909" s="8" customFormat="1"/>
    <row r="910" s="8" customFormat="1"/>
    <row r="911" s="8" customFormat="1"/>
    <row r="912" s="8" customFormat="1"/>
    <row r="913" s="8" customFormat="1"/>
    <row r="914" s="8" customFormat="1"/>
    <row r="915" s="8" customFormat="1"/>
    <row r="916" s="8" customFormat="1"/>
    <row r="917" s="8" customFormat="1"/>
    <row r="918" s="8" customFormat="1"/>
    <row r="919" s="8" customFormat="1"/>
    <row r="920" s="8" customFormat="1"/>
    <row r="921" s="8" customFormat="1"/>
    <row r="922" s="8" customFormat="1"/>
    <row r="923" s="8" customFormat="1"/>
    <row r="924" s="8" customFormat="1"/>
    <row r="925" s="8" customFormat="1"/>
    <row r="926" s="8" customFormat="1"/>
    <row r="927" s="8" customFormat="1"/>
    <row r="928" s="8" customFormat="1"/>
    <row r="929" s="8" customFormat="1"/>
    <row r="930" s="8" customFormat="1"/>
    <row r="931" s="8" customFormat="1"/>
    <row r="932" s="8" customFormat="1"/>
    <row r="933" s="8" customFormat="1"/>
    <row r="934" s="8" customFormat="1"/>
    <row r="935" s="8" customFormat="1"/>
    <row r="936" s="8" customFormat="1"/>
    <row r="937" s="8" customFormat="1"/>
    <row r="938" s="8" customFormat="1"/>
    <row r="939" s="8" customFormat="1"/>
    <row r="940" s="8" customFormat="1"/>
    <row r="941" s="8" customFormat="1"/>
    <row r="942" s="8" customFormat="1"/>
    <row r="943" s="8" customFormat="1"/>
    <row r="944" s="8" customFormat="1"/>
    <row r="945" s="8" customFormat="1"/>
    <row r="946" s="8" customFormat="1"/>
    <row r="947" s="8" customFormat="1"/>
    <row r="948" s="8" customFormat="1"/>
    <row r="949" s="8" customFormat="1"/>
    <row r="950" s="8" customFormat="1"/>
    <row r="951" s="8" customFormat="1"/>
    <row r="952" s="8" customFormat="1"/>
    <row r="953" s="8" customFormat="1"/>
    <row r="954" s="8" customFormat="1"/>
    <row r="955" s="8" customFormat="1"/>
    <row r="956" s="8" customFormat="1"/>
    <row r="957" s="8" customFormat="1"/>
    <row r="958" s="8" customFormat="1"/>
    <row r="959" s="8" customFormat="1"/>
    <row r="960" s="8" customFormat="1"/>
    <row r="961" s="8" customFormat="1"/>
    <row r="962" s="8" customFormat="1"/>
    <row r="963" s="8" customFormat="1"/>
    <row r="964" s="8" customFormat="1"/>
    <row r="965" s="8" customFormat="1"/>
    <row r="966" s="8" customFormat="1"/>
    <row r="967" s="8" customFormat="1"/>
    <row r="968" s="8" customFormat="1"/>
    <row r="969" s="8" customFormat="1"/>
    <row r="970" s="8" customFormat="1"/>
    <row r="971" s="8" customFormat="1"/>
    <row r="972" s="8" customFormat="1"/>
    <row r="973" s="8" customFormat="1"/>
    <row r="974" s="8" customFormat="1"/>
    <row r="975" s="8" customFormat="1"/>
    <row r="976" s="8" customFormat="1"/>
    <row r="977" s="8" customFormat="1"/>
    <row r="978" s="8" customFormat="1"/>
    <row r="979" s="8" customFormat="1"/>
    <row r="980" s="8" customFormat="1"/>
    <row r="981" s="8" customFormat="1"/>
    <row r="982" s="8" customFormat="1"/>
    <row r="983" s="8" customFormat="1"/>
    <row r="984" s="8" customFormat="1"/>
    <row r="985" s="8" customFormat="1"/>
    <row r="986" s="8" customFormat="1"/>
    <row r="987" s="8" customFormat="1"/>
    <row r="988" s="8" customFormat="1"/>
    <row r="989" s="8" customFormat="1"/>
    <row r="990" s="8" customFormat="1"/>
    <row r="991" s="8" customFormat="1"/>
    <row r="992" s="8" customFormat="1"/>
    <row r="993" s="8" customFormat="1"/>
    <row r="994" s="8" customFormat="1"/>
    <row r="995" s="8" customFormat="1"/>
    <row r="996" s="8" customFormat="1"/>
    <row r="997" s="8" customFormat="1"/>
    <row r="998" s="8" customFormat="1"/>
    <row r="999" s="8" customFormat="1"/>
    <row r="1000" s="8" customFormat="1"/>
    <row r="1001" s="8" customFormat="1"/>
    <row r="1002" s="8" customFormat="1"/>
    <row r="1003" s="8" customFormat="1"/>
    <row r="1004" s="8" customFormat="1"/>
    <row r="1005" s="8" customFormat="1"/>
    <row r="1006" s="8" customFormat="1"/>
    <row r="1007" s="8" customFormat="1"/>
    <row r="1008" s="8" customFormat="1"/>
    <row r="1009" s="8" customFormat="1"/>
    <row r="1010" s="8" customFormat="1"/>
    <row r="1011" s="8" customFormat="1"/>
    <row r="1012" s="8" customFormat="1"/>
    <row r="1013" s="8" customFormat="1"/>
    <row r="1014" s="8" customFormat="1"/>
    <row r="1015" s="8" customFormat="1"/>
    <row r="1016" s="8" customFormat="1"/>
    <row r="1017" s="8" customFormat="1"/>
    <row r="1018" s="8" customFormat="1"/>
    <row r="1019" s="8" customFormat="1"/>
    <row r="1020" s="8" customFormat="1"/>
    <row r="1021" s="8" customFormat="1"/>
    <row r="1022" s="8" customFormat="1"/>
    <row r="1023" s="8" customFormat="1"/>
    <row r="1024" s="8" customFormat="1"/>
    <row r="1025" s="8" customFormat="1"/>
    <row r="1026" s="8" customFormat="1"/>
    <row r="1027" s="8" customFormat="1"/>
    <row r="1028" s="8" customFormat="1"/>
    <row r="1029" s="8" customFormat="1"/>
    <row r="1030" s="8" customFormat="1"/>
    <row r="1031" s="8" customFormat="1"/>
    <row r="1032" s="8" customFormat="1"/>
    <row r="1033" s="8" customFormat="1"/>
    <row r="1034" s="8" customFormat="1"/>
    <row r="1035" s="8" customFormat="1"/>
    <row r="1036" s="8" customFormat="1"/>
    <row r="1037" s="8" customFormat="1"/>
    <row r="1038" s="8" customFormat="1"/>
    <row r="1039" s="8" customFormat="1"/>
    <row r="1040" s="8" customFormat="1"/>
    <row r="1041" s="8" customFormat="1"/>
    <row r="1042" s="8" customFormat="1"/>
    <row r="1043" s="8" customFormat="1"/>
    <row r="1044" s="8" customFormat="1"/>
    <row r="1045" s="8" customFormat="1"/>
    <row r="1046" s="8" customFormat="1"/>
    <row r="1047" s="8" customFormat="1"/>
    <row r="1048" s="8" customFormat="1"/>
    <row r="1049" s="8" customFormat="1"/>
    <row r="1050" s="8" customFormat="1"/>
    <row r="1051" s="8" customFormat="1"/>
    <row r="1052" s="8" customFormat="1"/>
    <row r="1053" s="8" customFormat="1"/>
    <row r="1054" s="8" customFormat="1"/>
    <row r="1055" s="8" customFormat="1"/>
    <row r="1056" s="8" customFormat="1"/>
    <row r="1057" s="8" customFormat="1"/>
    <row r="1058" s="8" customFormat="1"/>
    <row r="1059" s="8" customFormat="1"/>
    <row r="1060" s="8" customFormat="1"/>
    <row r="1061" s="8" customFormat="1"/>
    <row r="1062" s="8" customFormat="1"/>
    <row r="1063" s="8" customFormat="1"/>
    <row r="1064" s="8" customFormat="1"/>
    <row r="1065" s="8" customFormat="1"/>
    <row r="1066" s="8" customFormat="1"/>
    <row r="1067" s="8" customFormat="1"/>
    <row r="1068" s="8" customFormat="1"/>
    <row r="1069" s="8" customFormat="1"/>
    <row r="1070" s="8" customFormat="1"/>
    <row r="1071" s="8" customFormat="1"/>
    <row r="1072" s="8" customFormat="1"/>
    <row r="1073" s="8" customFormat="1"/>
    <row r="1074" s="8" customFormat="1"/>
    <row r="1075" s="8" customFormat="1"/>
    <row r="1076" s="8" customFormat="1"/>
    <row r="1077" s="8" customFormat="1"/>
    <row r="1078" s="8" customFormat="1"/>
    <row r="1079" s="8" customFormat="1"/>
    <row r="1080" s="8" customFormat="1"/>
    <row r="1081" s="8" customFormat="1"/>
    <row r="1082" s="8" customFormat="1"/>
    <row r="1083" s="8" customFormat="1"/>
    <row r="1084" s="8" customFormat="1"/>
    <row r="1085" s="8" customFormat="1"/>
    <row r="1086" s="8" customFormat="1"/>
    <row r="1087" s="8" customFormat="1"/>
    <row r="1088" s="8" customFormat="1"/>
    <row r="1089" s="8" customFormat="1"/>
    <row r="1090" s="8" customFormat="1"/>
    <row r="1091" s="8" customFormat="1"/>
    <row r="1092" s="8" customFormat="1"/>
    <row r="1093" s="8" customFormat="1"/>
    <row r="1094" s="8" customFormat="1"/>
    <row r="1095" s="8" customFormat="1"/>
    <row r="1096" s="8" customFormat="1"/>
    <row r="1097" s="8" customFormat="1"/>
    <row r="1098" s="8" customFormat="1"/>
    <row r="1099" s="8" customFormat="1"/>
    <row r="1100" s="8" customFormat="1"/>
    <row r="1101" s="8" customFormat="1"/>
    <row r="1102" s="8" customFormat="1"/>
    <row r="1103" s="8" customFormat="1"/>
    <row r="1104" s="8" customFormat="1"/>
    <row r="1105" s="8" customFormat="1"/>
    <row r="1106" s="8" customFormat="1"/>
    <row r="1107" s="8" customFormat="1"/>
    <row r="1108" s="8" customFormat="1"/>
    <row r="1109" s="8" customFormat="1"/>
    <row r="1110" s="8" customFormat="1"/>
    <row r="1111" s="8" customFormat="1"/>
    <row r="1112" s="8" customFormat="1"/>
    <row r="1113" s="8" customFormat="1"/>
    <row r="1114" s="8" customFormat="1"/>
    <row r="1115" s="8" customFormat="1"/>
    <row r="1116" s="8" customFormat="1"/>
    <row r="1117" s="8" customFormat="1"/>
    <row r="1118" s="8" customFormat="1"/>
    <row r="1119" s="8" customFormat="1"/>
    <row r="1120" s="8" customFormat="1"/>
    <row r="1121" s="8" customFormat="1"/>
    <row r="1122" s="8" customFormat="1"/>
    <row r="1123" s="8" customFormat="1"/>
    <row r="1124" s="8" customFormat="1"/>
    <row r="1125" s="8" customFormat="1"/>
    <row r="1126" s="8" customFormat="1"/>
    <row r="1127" s="8" customFormat="1"/>
    <row r="1128" s="8" customFormat="1"/>
    <row r="1129" s="8" customFormat="1"/>
    <row r="1130" s="8" customFormat="1"/>
    <row r="1131" s="8" customFormat="1"/>
    <row r="1132" s="8" customFormat="1"/>
    <row r="1133" s="8" customFormat="1"/>
    <row r="1134" s="8" customFormat="1"/>
    <row r="1135" s="8" customFormat="1"/>
    <row r="1136" s="8" customFormat="1"/>
    <row r="1137" s="8" customFormat="1"/>
    <row r="1138" s="8" customFormat="1"/>
    <row r="1139" s="8" customFormat="1"/>
    <row r="1140" s="8" customFormat="1"/>
    <row r="1141" s="8" customFormat="1"/>
    <row r="1142" s="8" customFormat="1"/>
    <row r="1143" s="8" customFormat="1"/>
    <row r="1144" s="8" customFormat="1"/>
    <row r="1145" s="8" customFormat="1"/>
    <row r="1146" s="8" customFormat="1"/>
    <row r="1147" s="8" customFormat="1"/>
    <row r="1148" s="8" customFormat="1"/>
    <row r="1149" s="8" customFormat="1"/>
    <row r="1150" s="8" customFormat="1"/>
    <row r="1151" s="8" customFormat="1"/>
    <row r="1152" s="8" customFormat="1"/>
    <row r="1153" s="8" customFormat="1"/>
    <row r="1154" s="8" customFormat="1"/>
    <row r="1155" s="8" customFormat="1"/>
    <row r="1156" s="8" customFormat="1"/>
    <row r="1157" s="8" customFormat="1"/>
    <row r="1158" s="8" customFormat="1"/>
    <row r="1159" s="8" customFormat="1"/>
    <row r="1160" s="8" customFormat="1"/>
    <row r="1161" s="8" customFormat="1"/>
    <row r="1162" s="8" customFormat="1"/>
    <row r="1163" s="8" customFormat="1"/>
    <row r="1164" s="8" customFormat="1"/>
    <row r="1165" s="8" customFormat="1"/>
    <row r="1166" s="8" customFormat="1"/>
    <row r="1167" s="8" customFormat="1"/>
    <row r="1168" s="8" customFormat="1"/>
    <row r="1169" s="8" customFormat="1"/>
    <row r="1170" s="8" customFormat="1"/>
    <row r="1171" s="8" customFormat="1"/>
    <row r="1172" s="8" customFormat="1"/>
    <row r="1173" s="8" customFormat="1"/>
    <row r="1174" s="8" customFormat="1"/>
    <row r="1175" s="8" customFormat="1"/>
    <row r="1176" s="8" customFormat="1"/>
    <row r="1177" s="8" customFormat="1"/>
    <row r="1178" s="8" customFormat="1"/>
    <row r="1179" s="8" customFormat="1"/>
    <row r="1180" s="8" customFormat="1"/>
    <row r="1181" s="8" customFormat="1"/>
    <row r="1182" s="8" customFormat="1"/>
    <row r="1183" s="8" customFormat="1"/>
    <row r="1184" s="8" customFormat="1"/>
    <row r="1185" s="8" customFormat="1"/>
    <row r="1186" s="8" customFormat="1"/>
    <row r="1187" s="8" customFormat="1"/>
    <row r="1188" s="8" customFormat="1"/>
    <row r="1189" s="8" customFormat="1"/>
    <row r="1190" s="8" customFormat="1"/>
    <row r="1191" s="8" customFormat="1"/>
    <row r="1192" s="8" customFormat="1"/>
    <row r="1193" s="8" customFormat="1"/>
    <row r="1194" s="8" customFormat="1"/>
    <row r="1195" s="8" customFormat="1"/>
    <row r="1196" s="8" customFormat="1"/>
    <row r="1197" s="8" customFormat="1"/>
    <row r="1198" s="8" customFormat="1"/>
    <row r="1199" s="8" customFormat="1"/>
    <row r="1200" s="8" customFormat="1"/>
    <row r="1201" s="8" customFormat="1"/>
    <row r="1202" s="8" customFormat="1"/>
    <row r="1203" s="8" customFormat="1"/>
    <row r="1204" s="8" customFormat="1"/>
    <row r="1205" s="8" customFormat="1"/>
    <row r="1206" s="8" customFormat="1"/>
    <row r="1207" s="8" customFormat="1"/>
    <row r="1208" s="8" customFormat="1"/>
    <row r="1209" s="8" customFormat="1"/>
    <row r="1210" s="8" customFormat="1"/>
    <row r="1211" s="8" customFormat="1"/>
    <row r="1212" s="8" customFormat="1"/>
    <row r="1213" s="8" customFormat="1"/>
    <row r="1214" s="8" customFormat="1"/>
    <row r="1215" s="8" customFormat="1"/>
    <row r="1216" s="8" customFormat="1"/>
    <row r="1217" s="8" customFormat="1"/>
    <row r="1218" s="8" customFormat="1"/>
    <row r="1219" s="8" customFormat="1"/>
    <row r="1220" s="8" customFormat="1"/>
    <row r="1221" s="8" customFormat="1"/>
    <row r="1222" s="8" customFormat="1"/>
    <row r="1223" s="8" customFormat="1"/>
    <row r="1224" s="8" customFormat="1"/>
    <row r="1225" s="8" customFormat="1"/>
    <row r="1226" s="8" customFormat="1"/>
    <row r="1227" s="8" customFormat="1"/>
    <row r="1228" s="8" customFormat="1"/>
    <row r="1229" s="8" customFormat="1"/>
    <row r="1230" s="8" customFormat="1"/>
    <row r="1231" s="8" customFormat="1"/>
    <row r="1232" s="8" customFormat="1"/>
    <row r="1233" s="8" customFormat="1"/>
    <row r="1234" s="8" customFormat="1"/>
    <row r="1235" s="8" customFormat="1"/>
    <row r="1236" s="8" customFormat="1"/>
    <row r="1237" s="8" customFormat="1"/>
    <row r="1238" s="8" customFormat="1"/>
    <row r="1239" s="8" customFormat="1"/>
    <row r="1240" s="8" customFormat="1"/>
    <row r="1241" s="8" customFormat="1"/>
    <row r="1242" s="8" customFormat="1"/>
    <row r="1243" s="8" customFormat="1"/>
    <row r="1244" s="8" customFormat="1"/>
    <row r="1245" s="8" customFormat="1"/>
    <row r="1246" s="8" customFormat="1"/>
    <row r="1247" s="8" customFormat="1"/>
    <row r="1248" s="8" customFormat="1"/>
    <row r="1249" s="8" customFormat="1"/>
    <row r="1250" s="8" customFormat="1"/>
    <row r="1251" s="8" customFormat="1"/>
    <row r="1252" s="8" customFormat="1"/>
    <row r="1253" s="8" customFormat="1"/>
    <row r="1254" s="8" customFormat="1"/>
    <row r="1255" s="8" customFormat="1"/>
    <row r="1256" s="8" customFormat="1"/>
    <row r="1257" s="8" customFormat="1"/>
    <row r="1258" s="8" customFormat="1"/>
    <row r="1259" s="8" customFormat="1"/>
    <row r="1260" s="8" customFormat="1"/>
    <row r="1261" s="8" customFormat="1"/>
    <row r="1262" s="8" customFormat="1"/>
    <row r="1263" s="8" customFormat="1"/>
    <row r="1264" s="8" customFormat="1"/>
    <row r="1265" s="8" customFormat="1"/>
    <row r="1266" s="8" customFormat="1"/>
    <row r="1267" s="8" customFormat="1"/>
    <row r="1268" s="8" customFormat="1"/>
    <row r="1269" s="8" customFormat="1"/>
    <row r="1270" s="8" customFormat="1"/>
    <row r="1271" s="8" customFormat="1"/>
    <row r="1272" s="8" customFormat="1"/>
    <row r="1273" s="8" customFormat="1"/>
    <row r="1274" s="8" customFormat="1"/>
    <row r="1275" s="8" customFormat="1"/>
    <row r="1276" s="8" customFormat="1"/>
    <row r="1277" s="8" customFormat="1"/>
    <row r="1278" s="8" customFormat="1"/>
    <row r="1279" s="8" customFormat="1"/>
    <row r="1280" s="8" customFormat="1"/>
    <row r="1281" s="8" customFormat="1"/>
    <row r="1282" s="8" customFormat="1"/>
    <row r="1283" s="8" customFormat="1"/>
    <row r="1284" s="8" customFormat="1"/>
    <row r="1285" s="8" customFormat="1"/>
    <row r="1286" s="8" customFormat="1"/>
    <row r="1287" s="8" customFormat="1"/>
    <row r="1288" s="8" customFormat="1"/>
    <row r="1289" s="8" customFormat="1"/>
    <row r="1290" s="8" customFormat="1"/>
    <row r="1291" s="8" customFormat="1"/>
    <row r="1292" s="8" customFormat="1"/>
    <row r="1293" s="8" customFormat="1"/>
    <row r="1294" s="8" customFormat="1"/>
    <row r="1295" s="8" customFormat="1"/>
    <row r="1296" s="8" customFormat="1"/>
    <row r="1297" s="8" customFormat="1"/>
    <row r="1298" s="8" customFormat="1"/>
    <row r="1299" s="8" customFormat="1"/>
    <row r="1300" s="8" customFormat="1"/>
    <row r="1301" s="8" customFormat="1"/>
    <row r="1302" s="8" customFormat="1"/>
    <row r="1303" s="8" customFormat="1"/>
    <row r="1304" s="8" customFormat="1"/>
    <row r="1305" s="8" customFormat="1"/>
    <row r="1306" s="8" customFormat="1"/>
    <row r="1307" s="8" customFormat="1"/>
    <row r="1308" s="8" customFormat="1"/>
    <row r="1309" s="8" customFormat="1"/>
    <row r="1310" s="8" customFormat="1"/>
    <row r="1311" s="8" customFormat="1"/>
    <row r="1312" s="8" customFormat="1"/>
    <row r="1313" s="8" customFormat="1"/>
    <row r="1314" s="8" customFormat="1"/>
    <row r="1315" s="8" customFormat="1"/>
    <row r="1316" s="8" customFormat="1"/>
    <row r="1317" s="8" customFormat="1"/>
    <row r="1318" s="8" customFormat="1"/>
    <row r="1319" s="8" customFormat="1"/>
    <row r="1320" s="8" customFormat="1"/>
    <row r="1321" s="8" customFormat="1"/>
    <row r="1322" s="8" customFormat="1"/>
    <row r="1323" s="8" customFormat="1"/>
    <row r="1324" s="8" customFormat="1"/>
    <row r="1325" s="8" customFormat="1"/>
    <row r="1326" s="8" customFormat="1"/>
    <row r="1327" s="8" customFormat="1"/>
    <row r="1328" s="8" customFormat="1"/>
    <row r="1329" s="8" customFormat="1"/>
    <row r="1330" s="8" customFormat="1"/>
    <row r="1331" s="8" customFormat="1"/>
    <row r="1332" s="8" customFormat="1"/>
    <row r="1333" s="8" customFormat="1"/>
    <row r="1334" s="8" customFormat="1"/>
    <row r="1335" s="8" customFormat="1"/>
    <row r="1336" s="8" customFormat="1"/>
    <row r="1337" s="8" customFormat="1"/>
    <row r="1338" s="8" customFormat="1"/>
    <row r="1339" s="8" customFormat="1"/>
    <row r="1340" s="8" customFormat="1"/>
    <row r="1341" s="8" customFormat="1"/>
    <row r="1342" s="8" customFormat="1"/>
    <row r="1343" s="8" customFormat="1"/>
    <row r="1344" s="8" customFormat="1"/>
    <row r="1345" s="8" customFormat="1"/>
    <row r="1346" s="8" customFormat="1"/>
    <row r="1347" s="8" customFormat="1"/>
    <row r="1348" s="8" customFormat="1"/>
    <row r="1349" s="8" customFormat="1"/>
    <row r="1350" s="8" customFormat="1"/>
    <row r="1351" s="8" customFormat="1"/>
    <row r="1352" s="8" customFormat="1"/>
    <row r="1353" s="8" customFormat="1"/>
    <row r="1354" s="8" customFormat="1"/>
    <row r="1355" s="8" customFormat="1"/>
    <row r="1356" s="8" customFormat="1"/>
    <row r="1357" s="8" customFormat="1"/>
    <row r="1358" s="8" customFormat="1"/>
    <row r="1359" s="8" customFormat="1"/>
    <row r="1360" s="8" customFormat="1"/>
    <row r="1361" s="8" customFormat="1"/>
    <row r="1362" s="8" customFormat="1"/>
    <row r="1363" s="8" customFormat="1"/>
    <row r="1364" s="8" customFormat="1"/>
    <row r="1365" s="8" customFormat="1"/>
    <row r="1366" s="8" customFormat="1"/>
    <row r="1367" s="8" customFormat="1"/>
    <row r="1368" s="8" customFormat="1"/>
    <row r="1369" s="8" customFormat="1"/>
    <row r="1370" s="8" customFormat="1"/>
    <row r="1371" s="8" customFormat="1"/>
    <row r="1372" s="8" customFormat="1"/>
    <row r="1373" s="8" customFormat="1"/>
    <row r="1374" s="8" customFormat="1"/>
    <row r="1375" s="8" customFormat="1"/>
    <row r="1376" s="8" customFormat="1"/>
    <row r="1377" s="8" customFormat="1"/>
    <row r="1378" s="8" customFormat="1"/>
    <row r="1379" s="8" customFormat="1"/>
    <row r="1380" s="8" customFormat="1"/>
    <row r="1381" s="8" customFormat="1"/>
    <row r="1382" s="8" customFormat="1"/>
    <row r="1383" s="8" customFormat="1"/>
    <row r="1384" s="8" customFormat="1"/>
    <row r="1385" s="8" customFormat="1"/>
    <row r="1386" s="8" customFormat="1"/>
    <row r="1387" s="8" customFormat="1"/>
    <row r="1388" s="8" customFormat="1"/>
    <row r="1389" s="8" customFormat="1"/>
    <row r="1390" s="8" customFormat="1"/>
    <row r="1391" s="8" customFormat="1"/>
    <row r="1392" s="8" customFormat="1"/>
    <row r="1393" s="8" customFormat="1"/>
    <row r="1394" s="8" customFormat="1"/>
    <row r="1395" s="8" customFormat="1"/>
    <row r="1396" s="8" customFormat="1"/>
    <row r="1397" s="8" customFormat="1"/>
    <row r="1398" s="8" customFormat="1"/>
    <row r="1399" s="8" customFormat="1"/>
    <row r="1400" s="8" customFormat="1"/>
    <row r="1401" s="8" customFormat="1"/>
    <row r="1402" s="8" customFormat="1"/>
    <row r="1403" s="8" customFormat="1"/>
    <row r="1404" s="8" customFormat="1"/>
    <row r="1405" s="8" customFormat="1"/>
    <row r="1406" s="8" customFormat="1"/>
    <row r="1407" s="8" customFormat="1"/>
    <row r="1408" s="8" customFormat="1"/>
    <row r="1409" s="8" customFormat="1"/>
    <row r="1410" s="8" customFormat="1"/>
    <row r="1411" s="8" customFormat="1"/>
    <row r="1412" s="8" customFormat="1"/>
    <row r="1413" s="8" customFormat="1"/>
    <row r="1414" s="8" customFormat="1"/>
    <row r="1415" s="8" customFormat="1"/>
    <row r="1416" s="8" customFormat="1"/>
    <row r="1417" s="8" customFormat="1"/>
    <row r="1418" s="8" customFormat="1"/>
    <row r="1419" s="8" customFormat="1"/>
    <row r="1420" s="8" customFormat="1"/>
    <row r="1421" s="8" customFormat="1"/>
    <row r="1422" s="8" customFormat="1"/>
    <row r="1423" s="8" customFormat="1"/>
    <row r="1424" s="8" customFormat="1"/>
    <row r="1425" s="8" customFormat="1"/>
    <row r="1426" s="8" customFormat="1"/>
    <row r="1427" s="8" customFormat="1"/>
    <row r="1428" s="8" customFormat="1"/>
    <row r="1429" s="8" customFormat="1"/>
    <row r="1430" s="8" customFormat="1"/>
    <row r="1431" s="8" customFormat="1"/>
    <row r="1432" s="8" customFormat="1"/>
    <row r="1433" s="8" customFormat="1"/>
    <row r="1434" s="8" customFormat="1"/>
    <row r="1435" s="8" customFormat="1"/>
    <row r="1436" s="8" customFormat="1"/>
    <row r="1437" s="8" customFormat="1"/>
    <row r="1438" s="8" customFormat="1"/>
    <row r="1439" s="8" customFormat="1"/>
    <row r="1440" s="8" customFormat="1"/>
    <row r="1441" s="8" customFormat="1"/>
    <row r="1442" s="8" customFormat="1"/>
    <row r="1443" s="8" customFormat="1"/>
    <row r="1444" s="8" customFormat="1"/>
    <row r="1445" s="8" customFormat="1"/>
    <row r="1446" s="8" customFormat="1"/>
    <row r="1447" s="8" customFormat="1"/>
    <row r="1448" s="8" customFormat="1"/>
    <row r="1449" s="8" customFormat="1"/>
    <row r="1450" s="8" customFormat="1"/>
    <row r="1451" s="8" customFormat="1"/>
    <row r="1452" s="8" customFormat="1"/>
    <row r="1453" s="8" customFormat="1"/>
    <row r="1454" s="8" customFormat="1"/>
    <row r="1455" s="8" customFormat="1"/>
    <row r="1456" s="8" customFormat="1"/>
    <row r="1457" s="8" customFormat="1"/>
    <row r="1458" s="8" customFormat="1"/>
    <row r="1459" s="8" customFormat="1"/>
    <row r="1460" s="8" customFormat="1"/>
    <row r="1461" s="8" customFormat="1"/>
    <row r="1462" s="8" customFormat="1"/>
    <row r="1463" s="8" customFormat="1"/>
    <row r="1464" s="8" customFormat="1"/>
    <row r="1465" s="8" customFormat="1"/>
    <row r="1466" s="8" customFormat="1"/>
    <row r="1467" s="8" customFormat="1"/>
    <row r="1468" s="8" customFormat="1"/>
    <row r="1469" s="8" customFormat="1"/>
    <row r="1470" s="8" customFormat="1"/>
    <row r="1471" s="8" customFormat="1"/>
    <row r="1472" s="8" customFormat="1"/>
    <row r="1473" s="8" customFormat="1"/>
    <row r="1474" s="8" customFormat="1"/>
    <row r="1475" s="8" customFormat="1"/>
    <row r="1476" s="8" customFormat="1"/>
    <row r="1477" s="8" customFormat="1"/>
    <row r="1478" s="8" customFormat="1"/>
    <row r="1479" s="8" customFormat="1"/>
    <row r="1480" s="8" customFormat="1"/>
    <row r="1481" s="8" customFormat="1"/>
    <row r="1482" s="8" customFormat="1"/>
    <row r="1483" s="8" customFormat="1"/>
    <row r="1484" s="8" customFormat="1"/>
    <row r="1485" s="8" customFormat="1"/>
    <row r="1486" s="8" customFormat="1"/>
    <row r="1487" s="8" customFormat="1"/>
    <row r="1488" s="8" customFormat="1"/>
    <row r="1489" s="8" customFormat="1"/>
    <row r="1490" s="8" customFormat="1"/>
    <row r="1491" s="8" customFormat="1"/>
    <row r="1492" s="8" customFormat="1"/>
    <row r="1493" s="8" customFormat="1"/>
    <row r="1494" s="8" customFormat="1"/>
    <row r="1495" s="8" customFormat="1"/>
    <row r="1496" s="8" customFormat="1"/>
    <row r="1497" s="8" customFormat="1"/>
    <row r="1498" s="8" customFormat="1"/>
    <row r="1499" s="8" customFormat="1"/>
    <row r="1500" s="8" customFormat="1"/>
    <row r="1501" s="8" customFormat="1"/>
    <row r="1502" s="8" customFormat="1"/>
    <row r="1503" s="8" customFormat="1"/>
    <row r="1504" s="8" customFormat="1"/>
    <row r="1505" s="8" customFormat="1"/>
    <row r="1506" s="8" customFormat="1"/>
    <row r="1507" s="8" customFormat="1"/>
    <row r="1508" s="8" customFormat="1"/>
    <row r="1509" s="8" customFormat="1"/>
    <row r="1510" s="8" customFormat="1"/>
    <row r="1511" s="8" customFormat="1"/>
    <row r="1512" s="8" customFormat="1"/>
    <row r="1513" s="8" customFormat="1"/>
    <row r="1514" s="8" customFormat="1"/>
    <row r="1515" s="8" customFormat="1"/>
    <row r="1516" s="8" customFormat="1"/>
    <row r="1517" s="8" customFormat="1"/>
    <row r="1518" s="8" customFormat="1"/>
    <row r="1519" s="8" customFormat="1"/>
    <row r="1520" s="8" customFormat="1"/>
    <row r="1521" s="8" customFormat="1"/>
    <row r="1522" s="8" customFormat="1"/>
    <row r="1523" s="8" customFormat="1"/>
    <row r="1524" s="8" customFormat="1"/>
    <row r="1525" s="8" customFormat="1"/>
    <row r="1526" s="8" customFormat="1"/>
    <row r="1527" s="8" customFormat="1"/>
    <row r="1528" s="8" customFormat="1"/>
    <row r="1529" s="8" customFormat="1"/>
    <row r="1530" s="8" customFormat="1"/>
    <row r="1531" s="8" customFormat="1"/>
    <row r="1532" s="8" customFormat="1"/>
    <row r="1533" s="8" customFormat="1"/>
    <row r="1534" s="8" customFormat="1"/>
    <row r="1535" s="8" customFormat="1"/>
    <row r="1536" s="8" customFormat="1"/>
    <row r="1537" s="8" customFormat="1"/>
    <row r="1538" s="8" customFormat="1"/>
    <row r="1539" s="8" customFormat="1"/>
    <row r="1540" s="8" customFormat="1"/>
    <row r="1541" s="8" customFormat="1"/>
    <row r="1542" s="8" customFormat="1"/>
    <row r="1543" s="8" customFormat="1"/>
    <row r="1544" s="8" customFormat="1"/>
    <row r="1545" s="8" customFormat="1"/>
    <row r="1546" s="8" customFormat="1"/>
    <row r="1547" s="8" customFormat="1"/>
    <row r="1548" s="8" customFormat="1"/>
    <row r="1549" s="8" customFormat="1"/>
    <row r="1550" s="8" customFormat="1"/>
    <row r="1551" s="8" customFormat="1"/>
    <row r="1552" s="8" customFormat="1"/>
    <row r="1553" s="8" customFormat="1"/>
    <row r="1554" s="8" customFormat="1"/>
    <row r="1555" s="8" customFormat="1"/>
    <row r="1556" s="8" customFormat="1"/>
    <row r="1557" s="8" customFormat="1"/>
    <row r="1558" s="8" customFormat="1"/>
    <row r="1559" s="8" customFormat="1"/>
    <row r="1560" s="8" customFormat="1"/>
    <row r="1561" s="8" customFormat="1"/>
    <row r="1562" s="8" customFormat="1"/>
    <row r="1563" s="8" customFormat="1"/>
    <row r="1564" s="8" customFormat="1"/>
    <row r="1565" s="8" customFormat="1"/>
    <row r="1566" s="8" customFormat="1"/>
    <row r="1567" s="8" customFormat="1"/>
    <row r="1568" s="8" customFormat="1"/>
    <row r="1569" s="8" customFormat="1"/>
    <row r="1570" s="8" customFormat="1"/>
    <row r="1571" s="8" customFormat="1"/>
    <row r="1572" s="8" customFormat="1"/>
    <row r="1573" s="8" customFormat="1"/>
    <row r="1574" s="8" customFormat="1"/>
    <row r="1575" s="8" customFormat="1"/>
    <row r="1576" s="8" customFormat="1"/>
    <row r="1577" s="8" customFormat="1"/>
    <row r="1578" s="8" customFormat="1"/>
    <row r="1579" s="8" customFormat="1"/>
    <row r="1580" s="8" customFormat="1"/>
    <row r="1581" s="8" customFormat="1"/>
    <row r="1582" s="8" customFormat="1"/>
    <row r="1583" s="8" customFormat="1"/>
    <row r="1584" s="8" customFormat="1"/>
    <row r="1585" s="8" customFormat="1"/>
    <row r="1586" s="8" customFormat="1"/>
    <row r="1587" s="8" customFormat="1"/>
    <row r="1588" s="8" customFormat="1"/>
    <row r="1589" s="8" customFormat="1"/>
    <row r="1590" s="8" customFormat="1"/>
    <row r="1591" s="8" customFormat="1"/>
    <row r="1592" s="8" customFormat="1"/>
    <row r="1593" s="8" customFormat="1"/>
    <row r="1594" s="8" customFormat="1"/>
    <row r="1595" s="8" customFormat="1"/>
    <row r="1596" s="8" customFormat="1"/>
    <row r="1597" s="8" customFormat="1"/>
    <row r="1598" s="8" customFormat="1"/>
    <row r="1599" s="8" customFormat="1"/>
    <row r="1600" s="8" customFormat="1"/>
    <row r="1601" s="8" customFormat="1"/>
    <row r="1602" s="8" customFormat="1"/>
    <row r="1603" s="8" customFormat="1"/>
    <row r="1604" s="8" customFormat="1"/>
    <row r="1605" s="8" customFormat="1"/>
    <row r="1606" s="8" customFormat="1"/>
    <row r="1607" s="8" customFormat="1"/>
    <row r="1608" s="8" customFormat="1"/>
    <row r="1609" s="8" customFormat="1"/>
    <row r="1610" s="8" customFormat="1"/>
    <row r="1611" s="8" customFormat="1"/>
    <row r="1612" s="8" customFormat="1"/>
    <row r="1613" s="8" customFormat="1"/>
    <row r="1614" s="8" customFormat="1"/>
    <row r="1615" s="8" customFormat="1"/>
    <row r="1616" s="8" customFormat="1"/>
    <row r="1617" s="8" customFormat="1"/>
    <row r="1618" s="8" customFormat="1"/>
    <row r="1619" s="8" customFormat="1"/>
    <row r="1620" s="8" customFormat="1"/>
    <row r="1621" s="8" customFormat="1"/>
    <row r="1622" s="8" customFormat="1"/>
    <row r="1623" s="8" customFormat="1"/>
    <row r="1624" s="8" customFormat="1"/>
    <row r="1625" s="8" customFormat="1"/>
    <row r="1626" s="8" customFormat="1"/>
    <row r="1627" s="8" customFormat="1"/>
    <row r="1628" s="8" customFormat="1"/>
    <row r="1629" s="8" customFormat="1"/>
    <row r="1630" s="8" customFormat="1"/>
    <row r="1631" s="8" customFormat="1"/>
    <row r="1632" s="8" customFormat="1"/>
    <row r="1633" s="8" customFormat="1"/>
    <row r="1634" s="8" customFormat="1"/>
    <row r="1635" s="8" customFormat="1"/>
    <row r="1636" s="8" customFormat="1"/>
    <row r="1637" s="8" customFormat="1"/>
    <row r="1638" s="8" customFormat="1"/>
    <row r="1639" s="8" customFormat="1"/>
    <row r="1640" s="8" customFormat="1"/>
    <row r="1641" s="8" customFormat="1"/>
    <row r="1642" s="8" customFormat="1"/>
    <row r="1643" s="8" customFormat="1"/>
    <row r="1644" s="8" customFormat="1"/>
    <row r="1645" s="8" customFormat="1"/>
    <row r="1646" s="8" customFormat="1"/>
    <row r="1647" s="8" customFormat="1"/>
    <row r="1648" s="8" customFormat="1"/>
    <row r="1649" s="8" customFormat="1"/>
    <row r="1650" s="8" customFormat="1"/>
    <row r="1651" s="8" customFormat="1"/>
    <row r="1652" s="8" customFormat="1"/>
    <row r="1653" s="8" customFormat="1"/>
    <row r="1654" s="8" customFormat="1"/>
    <row r="1655" s="8" customFormat="1"/>
    <row r="1656" s="8" customFormat="1"/>
    <row r="1657" s="8" customFormat="1"/>
    <row r="1658" s="8" customFormat="1"/>
    <row r="1659" s="8" customFormat="1"/>
    <row r="1660" s="8" customFormat="1"/>
    <row r="1661" s="8" customFormat="1"/>
    <row r="1662" s="8" customFormat="1"/>
    <row r="1663" s="8" customFormat="1"/>
    <row r="1664" s="8" customFormat="1"/>
    <row r="1665" s="8" customFormat="1"/>
    <row r="1666" s="8" customFormat="1"/>
    <row r="1667" s="8" customFormat="1"/>
    <row r="1668" s="8" customFormat="1"/>
    <row r="1669" s="8" customFormat="1"/>
    <row r="1670" s="8" customFormat="1"/>
    <row r="1671" s="8" customFormat="1"/>
    <row r="1672" s="8" customFormat="1"/>
    <row r="1673" s="8" customFormat="1"/>
    <row r="1674" s="8" customFormat="1"/>
    <row r="1675" s="8" customFormat="1"/>
    <row r="1676" s="8" customFormat="1"/>
    <row r="1677" s="8" customFormat="1"/>
    <row r="1678" s="8" customFormat="1"/>
    <row r="1679" s="8" customFormat="1"/>
    <row r="1680" s="8" customFormat="1"/>
    <row r="1681" s="8" customFormat="1"/>
    <row r="1682" s="8" customFormat="1"/>
    <row r="1683" s="8" customFormat="1"/>
    <row r="1684" s="8" customFormat="1"/>
    <row r="1685" s="8" customFormat="1"/>
    <row r="1686" s="8" customFormat="1"/>
    <row r="1687" s="8" customFormat="1"/>
    <row r="1688" s="8" customFormat="1"/>
    <row r="1689" s="8" customFormat="1"/>
    <row r="1690" s="8" customFormat="1"/>
    <row r="1691" s="8" customFormat="1"/>
    <row r="1692" s="8" customFormat="1"/>
    <row r="1693" s="8" customFormat="1"/>
    <row r="1694" s="8" customFormat="1"/>
    <row r="1695" s="8" customFormat="1"/>
    <row r="1696" s="8" customFormat="1"/>
    <row r="1697" s="8" customFormat="1"/>
    <row r="1698" s="8" customFormat="1"/>
    <row r="1699" s="8" customFormat="1"/>
    <row r="1700" s="8" customFormat="1"/>
    <row r="1701" s="8" customFormat="1"/>
    <row r="1702" s="8" customFormat="1"/>
    <row r="1703" s="8" customFormat="1"/>
    <row r="1704" s="8" customFormat="1"/>
    <row r="1705" s="8" customFormat="1"/>
    <row r="1706" s="8" customFormat="1"/>
    <row r="1707" s="8" customFormat="1"/>
    <row r="1708" s="8" customFormat="1"/>
    <row r="1709" s="8" customFormat="1"/>
    <row r="1710" s="8" customFormat="1"/>
    <row r="1711" s="8" customFormat="1"/>
    <row r="1712" s="8" customFormat="1"/>
    <row r="1713" s="8" customFormat="1"/>
    <row r="1714" s="8" customFormat="1"/>
    <row r="1715" s="8" customFormat="1"/>
    <row r="1716" s="8" customFormat="1"/>
    <row r="1717" s="8" customFormat="1"/>
    <row r="1718" s="8" customFormat="1"/>
    <row r="1719" s="8" customFormat="1"/>
    <row r="1720" s="8" customFormat="1"/>
    <row r="1721" s="8" customFormat="1"/>
    <row r="1722" s="8" customFormat="1"/>
    <row r="1723" s="8" customFormat="1"/>
    <row r="1724" s="8" customFormat="1"/>
    <row r="1725" s="8" customFormat="1"/>
    <row r="1726" s="8" customFormat="1"/>
    <row r="1727" s="8" customFormat="1"/>
    <row r="1728" s="8" customFormat="1"/>
    <row r="1729" s="8" customFormat="1"/>
    <row r="1730" s="8" customFormat="1"/>
    <row r="1731" s="8" customFormat="1"/>
    <row r="1732" s="8" customFormat="1"/>
    <row r="1733" s="8" customFormat="1"/>
    <row r="1734" s="8" customFormat="1"/>
    <row r="1735" s="8" customFormat="1"/>
    <row r="1736" s="8" customFormat="1"/>
    <row r="1737" s="8" customFormat="1"/>
    <row r="1738" s="8" customFormat="1"/>
    <row r="1739" s="8" customFormat="1"/>
    <row r="1740" s="8" customFormat="1"/>
    <row r="1741" s="8" customFormat="1"/>
    <row r="1742" s="8" customFormat="1"/>
    <row r="1743" s="8" customFormat="1"/>
    <row r="1744" s="8" customFormat="1"/>
    <row r="1745" s="8" customFormat="1"/>
    <row r="1746" s="8" customFormat="1"/>
    <row r="1747" s="8" customFormat="1"/>
    <row r="1748" s="8" customFormat="1"/>
    <row r="1749" s="8" customFormat="1"/>
    <row r="1750" s="8" customFormat="1"/>
    <row r="1751" s="8" customFormat="1"/>
    <row r="1752" s="8" customFormat="1"/>
    <row r="1753" s="8" customFormat="1"/>
    <row r="1754" s="8" customFormat="1"/>
    <row r="1755" s="8" customFormat="1"/>
    <row r="1756" s="8" customFormat="1"/>
    <row r="1757" s="8" customFormat="1"/>
    <row r="1758" s="8" customFormat="1"/>
    <row r="1759" s="8" customFormat="1"/>
    <row r="1760" s="8" customFormat="1"/>
    <row r="1761" s="8" customFormat="1"/>
    <row r="1762" s="8" customFormat="1"/>
    <row r="1763" s="8" customFormat="1"/>
    <row r="1764" s="8" customFormat="1"/>
    <row r="1765" s="8" customFormat="1"/>
    <row r="1766" s="8" customFormat="1"/>
    <row r="1767" s="8" customFormat="1"/>
    <row r="1768" s="8" customFormat="1"/>
    <row r="1769" s="8" customFormat="1"/>
    <row r="1770" s="8" customFormat="1"/>
    <row r="1771" s="8" customFormat="1"/>
    <row r="1772" s="8" customFormat="1"/>
    <row r="1773" s="8" customFormat="1"/>
    <row r="1774" s="8" customFormat="1"/>
    <row r="1775" s="8" customFormat="1"/>
    <row r="1776" s="8" customFormat="1"/>
    <row r="1777" s="8" customFormat="1"/>
    <row r="1778" s="8" customFormat="1"/>
    <row r="1779" s="8" customFormat="1"/>
    <row r="1780" s="8" customFormat="1"/>
    <row r="1781" s="8" customFormat="1"/>
    <row r="1782" s="8" customFormat="1"/>
    <row r="1783" s="8" customFormat="1"/>
    <row r="1784" s="8" customFormat="1"/>
    <row r="1785" s="8" customFormat="1"/>
    <row r="1786" s="8" customFormat="1"/>
    <row r="1787" s="8" customFormat="1"/>
    <row r="1788" s="8" customFormat="1"/>
    <row r="1789" s="8" customFormat="1"/>
    <row r="1790" s="8" customFormat="1"/>
    <row r="1791" s="8" customFormat="1"/>
    <row r="1792" s="8" customFormat="1"/>
    <row r="1793" s="8" customFormat="1"/>
    <row r="1794" s="8" customFormat="1"/>
    <row r="1795" s="8" customFormat="1"/>
    <row r="1796" s="8" customFormat="1"/>
    <row r="1797" s="8" customFormat="1"/>
    <row r="1798" s="8" customFormat="1"/>
    <row r="1799" s="8" customFormat="1"/>
    <row r="1800" s="8" customFormat="1"/>
    <row r="1801" s="8" customFormat="1"/>
    <row r="1802" s="8" customFormat="1"/>
    <row r="1803" s="8" customFormat="1"/>
    <row r="1804" s="8" customFormat="1"/>
    <row r="1805" s="8" customFormat="1"/>
    <row r="1806" s="8" customFormat="1"/>
    <row r="1807" s="8" customFormat="1"/>
    <row r="1808" s="8" customFormat="1"/>
    <row r="1809" s="8" customFormat="1"/>
    <row r="1810" s="8" customFormat="1"/>
    <row r="1811" s="8" customFormat="1"/>
    <row r="1812" s="8" customFormat="1"/>
    <row r="1813" s="8" customFormat="1"/>
    <row r="1814" s="8" customFormat="1"/>
    <row r="1815" s="8" customFormat="1"/>
    <row r="1816" s="8" customFormat="1"/>
    <row r="1817" s="8" customFormat="1"/>
    <row r="1818" s="8" customFormat="1"/>
    <row r="1819" s="8" customFormat="1"/>
    <row r="1820" s="8" customFormat="1"/>
    <row r="1821" s="8" customFormat="1"/>
    <row r="1822" s="8" customFormat="1"/>
    <row r="1823" s="8" customFormat="1"/>
    <row r="1824" s="8" customFormat="1"/>
    <row r="1825" s="8" customFormat="1"/>
    <row r="1826" s="8" customFormat="1"/>
    <row r="1827" s="8" customFormat="1"/>
    <row r="1828" s="8" customFormat="1"/>
    <row r="1829" s="8" customFormat="1"/>
    <row r="1830" s="8" customFormat="1"/>
    <row r="1831" s="8" customFormat="1"/>
    <row r="1832" s="8" customFormat="1"/>
    <row r="1833" s="8" customFormat="1"/>
    <row r="1834" s="8" customFormat="1"/>
    <row r="1835" s="8" customFormat="1"/>
    <row r="1836" s="8" customFormat="1"/>
    <row r="1837" s="8" customFormat="1"/>
    <row r="1838" s="8" customFormat="1"/>
    <row r="1839" s="8" customFormat="1"/>
    <row r="1840" s="8" customFormat="1"/>
    <row r="1841" s="8" customFormat="1"/>
    <row r="1842" s="8" customFormat="1"/>
    <row r="1843" s="8" customFormat="1"/>
    <row r="1844" s="8" customFormat="1"/>
    <row r="1845" s="8" customFormat="1"/>
    <row r="1846" s="8" customFormat="1"/>
    <row r="1847" s="8" customFormat="1"/>
    <row r="1848" s="8" customFormat="1"/>
    <row r="1849" s="8" customFormat="1"/>
    <row r="1850" s="8" customFormat="1"/>
    <row r="1851" s="8" customFormat="1"/>
    <row r="1852" s="8" customFormat="1"/>
    <row r="1853" s="8" customFormat="1"/>
    <row r="1854" s="8" customFormat="1"/>
    <row r="1855" s="8" customFormat="1"/>
    <row r="1856" s="8" customFormat="1"/>
    <row r="1857" s="8" customFormat="1"/>
    <row r="1858" s="8" customFormat="1"/>
    <row r="1859" s="8" customFormat="1"/>
    <row r="1860" s="8" customFormat="1"/>
    <row r="1861" s="8" customFormat="1"/>
    <row r="1862" s="8" customFormat="1"/>
    <row r="1863" s="8" customFormat="1"/>
    <row r="1864" s="8" customFormat="1"/>
    <row r="1865" s="8" customFormat="1"/>
    <row r="1866" s="8" customFormat="1"/>
    <row r="1867" s="8" customFormat="1"/>
    <row r="1868" s="8" customFormat="1"/>
    <row r="1869" s="8" customFormat="1"/>
    <row r="1870" s="8" customFormat="1"/>
    <row r="1871" s="8" customFormat="1"/>
    <row r="1872" s="8" customFormat="1"/>
    <row r="1873" s="8" customFormat="1"/>
    <row r="1874" s="8" customFormat="1"/>
    <row r="1875" s="8" customFormat="1"/>
    <row r="1876" s="8" customFormat="1"/>
    <row r="1877" s="8" customFormat="1"/>
    <row r="1878" s="8" customFormat="1"/>
    <row r="1879" s="8" customFormat="1"/>
    <row r="1880" s="8" customFormat="1"/>
    <row r="1881" s="8" customFormat="1"/>
    <row r="1882" s="8" customFormat="1"/>
    <row r="1883" s="8" customFormat="1"/>
    <row r="1884" s="8" customFormat="1"/>
    <row r="1885" s="8" customFormat="1"/>
    <row r="1886" s="8" customFormat="1"/>
    <row r="1887" s="8" customFormat="1"/>
    <row r="1888" s="8" customFormat="1"/>
    <row r="1889" s="8" customFormat="1"/>
    <row r="1890" s="8" customFormat="1"/>
    <row r="1891" s="8" customFormat="1"/>
    <row r="1892" s="8" customFormat="1"/>
    <row r="1893" s="8" customFormat="1"/>
    <row r="1894" s="8" customFormat="1"/>
    <row r="1895" s="8" customFormat="1"/>
    <row r="1896" s="8" customFormat="1"/>
    <row r="1897" s="8" customFormat="1"/>
    <row r="1898" s="8" customFormat="1"/>
    <row r="1899" s="8" customFormat="1"/>
    <row r="1900" s="8" customFormat="1"/>
    <row r="1901" s="8" customFormat="1"/>
    <row r="1902" s="8" customFormat="1"/>
    <row r="1903" s="8" customFormat="1"/>
    <row r="1904" s="8" customFormat="1"/>
    <row r="1905" s="8" customFormat="1"/>
    <row r="1906" s="8" customFormat="1"/>
    <row r="1907" s="8" customFormat="1"/>
    <row r="1908" s="8" customFormat="1"/>
    <row r="1909" s="8" customFormat="1"/>
    <row r="1910" s="8" customFormat="1"/>
    <row r="1911" s="8" customFormat="1"/>
    <row r="1912" s="8" customFormat="1"/>
    <row r="1913" s="8" customFormat="1"/>
    <row r="1914" s="8" customFormat="1"/>
    <row r="1915" s="8" customFormat="1"/>
    <row r="1916" s="8" customFormat="1"/>
    <row r="1917" s="8" customFormat="1"/>
    <row r="1918" s="8" customFormat="1"/>
    <row r="1919" s="8" customFormat="1"/>
    <row r="1920" s="8" customFormat="1"/>
    <row r="1921" s="8" customFormat="1"/>
    <row r="1922" s="8" customFormat="1"/>
    <row r="1923" s="8" customFormat="1"/>
    <row r="1924" s="8" customFormat="1"/>
    <row r="1925" s="8" customFormat="1"/>
    <row r="1926" s="8" customFormat="1"/>
    <row r="1927" s="8" customFormat="1"/>
    <row r="1928" s="8" customFormat="1"/>
    <row r="1929" s="8" customFormat="1"/>
    <row r="1930" s="8" customFormat="1"/>
    <row r="1931" s="8" customFormat="1"/>
    <row r="1932" s="8" customFormat="1"/>
    <row r="1933" s="8" customFormat="1"/>
    <row r="1934" s="8" customFormat="1"/>
    <row r="1935" s="8" customFormat="1"/>
    <row r="1936" s="8" customFormat="1"/>
    <row r="1937" s="8" customFormat="1"/>
    <row r="1938" s="8" customFormat="1"/>
    <row r="1939" s="8" customFormat="1"/>
    <row r="1940" s="8" customFormat="1"/>
    <row r="1941" s="8" customFormat="1"/>
    <row r="1942" s="8" customFormat="1"/>
    <row r="1943" s="8" customFormat="1"/>
    <row r="1944" s="8" customFormat="1"/>
    <row r="1945" s="8" customFormat="1"/>
    <row r="1946" s="8" customFormat="1"/>
    <row r="1947" s="8" customFormat="1"/>
    <row r="1948" s="8" customFormat="1"/>
    <row r="1949" s="8" customFormat="1"/>
    <row r="1950" s="8" customFormat="1"/>
    <row r="1951" s="8" customFormat="1"/>
    <row r="1952" s="8" customFormat="1"/>
    <row r="1953" s="8" customFormat="1"/>
    <row r="1954" s="8" customFormat="1"/>
    <row r="1955" s="8" customFormat="1"/>
    <row r="1956" s="8" customFormat="1"/>
    <row r="1957" s="8" customFormat="1"/>
    <row r="1958" s="8" customFormat="1"/>
    <row r="1959" s="8" customFormat="1"/>
    <row r="1960" s="8" customFormat="1"/>
    <row r="1961" s="8" customFormat="1"/>
    <row r="1962" s="8" customFormat="1"/>
    <row r="1963" s="8" customFormat="1"/>
    <row r="1964" s="8" customFormat="1"/>
    <row r="1965" s="8" customFormat="1"/>
    <row r="1966" s="8" customFormat="1"/>
    <row r="1967" s="8" customFormat="1"/>
    <row r="1968" s="8" customFormat="1"/>
    <row r="1969" s="8" customFormat="1"/>
    <row r="1970" s="8" customFormat="1"/>
    <row r="1971" s="8" customFormat="1"/>
    <row r="1972" s="8" customFormat="1"/>
    <row r="1973" s="8" customFormat="1"/>
    <row r="1974" s="8" customFormat="1"/>
    <row r="1975" s="8" customFormat="1"/>
    <row r="1976" s="8" customFormat="1"/>
    <row r="1977" s="8" customFormat="1"/>
    <row r="1978" s="8" customFormat="1"/>
    <row r="1979" s="8" customFormat="1"/>
    <row r="1980" s="8" customFormat="1"/>
    <row r="1981" s="8" customFormat="1"/>
    <row r="1982" s="8" customFormat="1"/>
    <row r="1983" s="8" customFormat="1"/>
    <row r="1984" s="8" customFormat="1"/>
    <row r="1985" s="8" customFormat="1"/>
    <row r="1986" s="8" customFormat="1"/>
    <row r="1987" s="8" customFormat="1"/>
    <row r="1988" s="8" customFormat="1"/>
    <row r="1989" s="8" customFormat="1"/>
    <row r="1990" s="8" customFormat="1"/>
    <row r="1991" s="8" customFormat="1"/>
    <row r="1992" s="8" customFormat="1"/>
    <row r="1993" s="8" customFormat="1"/>
    <row r="1994" s="8" customFormat="1"/>
    <row r="1995" s="8" customFormat="1"/>
    <row r="1996" s="8" customFormat="1"/>
    <row r="1997" s="8" customFormat="1"/>
    <row r="1998" s="8" customFormat="1"/>
    <row r="1999" s="8" customFormat="1"/>
    <row r="2000" s="8" customFormat="1"/>
    <row r="2001" s="8" customFormat="1"/>
    <row r="2002" s="8" customFormat="1"/>
    <row r="2003" s="8" customFormat="1"/>
    <row r="2004" s="8" customFormat="1"/>
    <row r="2005" s="8" customFormat="1"/>
    <row r="2006" s="8" customFormat="1"/>
    <row r="2007" s="8" customFormat="1"/>
    <row r="2008" s="8" customFormat="1"/>
    <row r="2009" s="8" customFormat="1"/>
    <row r="2010" s="8" customFormat="1"/>
    <row r="2011" s="8" customFormat="1"/>
    <row r="2012" s="8" customFormat="1"/>
    <row r="2013" s="8" customFormat="1"/>
    <row r="2014" s="8" customFormat="1"/>
    <row r="2015" s="8" customFormat="1"/>
    <row r="2016" s="8" customFormat="1"/>
    <row r="2017" s="8" customFormat="1"/>
    <row r="2018" s="8" customFormat="1"/>
    <row r="2019" s="8" customFormat="1"/>
    <row r="2020" s="8" customFormat="1"/>
    <row r="2021" s="8" customFormat="1"/>
    <row r="2022" s="8" customFormat="1"/>
    <row r="2023" s="8" customFormat="1"/>
    <row r="2024" s="8" customFormat="1"/>
    <row r="2025" s="8" customFormat="1"/>
    <row r="2026" s="8" customFormat="1"/>
    <row r="2027" s="8" customFormat="1"/>
    <row r="2028" s="8" customFormat="1"/>
    <row r="2029" s="8" customFormat="1"/>
    <row r="2030" s="8" customFormat="1"/>
    <row r="2031" s="8" customFormat="1"/>
    <row r="2032" s="8" customFormat="1"/>
    <row r="2033" s="8" customFormat="1"/>
    <row r="2034" s="8" customFormat="1"/>
    <row r="2035" s="8" customFormat="1"/>
    <row r="2036" s="8" customFormat="1"/>
    <row r="2037" s="8" customFormat="1"/>
    <row r="2038" s="8" customFormat="1"/>
    <row r="2039" s="8" customFormat="1"/>
    <row r="2040" s="8" customFormat="1"/>
    <row r="2041" s="8" customFormat="1"/>
    <row r="2042" s="8" customFormat="1"/>
    <row r="2043" s="8" customFormat="1"/>
    <row r="2044" s="8" customFormat="1"/>
    <row r="2045" s="8" customFormat="1"/>
    <row r="2046" s="8" customFormat="1"/>
    <row r="2047" s="8" customFormat="1"/>
    <row r="2048" s="8" customFormat="1"/>
    <row r="2049" s="8" customFormat="1"/>
    <row r="2050" s="8" customFormat="1"/>
    <row r="2051" s="8" customFormat="1"/>
    <row r="2052" s="8" customFormat="1"/>
    <row r="2053" s="8" customFormat="1"/>
    <row r="2054" s="8" customFormat="1"/>
    <row r="2055" s="8" customFormat="1"/>
    <row r="2056" s="8" customFormat="1"/>
    <row r="2057" s="8" customFormat="1"/>
    <row r="2058" s="8" customFormat="1"/>
    <row r="2059" s="8" customFormat="1"/>
    <row r="2060" s="8" customFormat="1"/>
    <row r="2061" s="8" customFormat="1"/>
    <row r="2062" s="8" customFormat="1"/>
    <row r="2063" s="8" customFormat="1"/>
    <row r="2064" s="8" customFormat="1"/>
    <row r="2065" s="8" customFormat="1"/>
    <row r="2066" s="8" customFormat="1"/>
    <row r="2067" s="8" customFormat="1"/>
    <row r="2068" s="8" customFormat="1"/>
    <row r="2069" s="8" customFormat="1"/>
    <row r="2070" s="8" customFormat="1"/>
    <row r="2071" s="8" customFormat="1"/>
    <row r="2072" s="8" customFormat="1"/>
    <row r="2073" s="8" customFormat="1"/>
    <row r="2074" s="8" customFormat="1"/>
    <row r="2075" s="8" customFormat="1"/>
    <row r="2076" s="8" customFormat="1"/>
    <row r="2077" s="8" customFormat="1"/>
    <row r="2078" s="8" customFormat="1"/>
    <row r="2079" s="8" customFormat="1"/>
    <row r="2080" s="8" customFormat="1"/>
    <row r="2081" s="8" customFormat="1"/>
    <row r="2082" s="8" customFormat="1"/>
    <row r="2083" s="8" customFormat="1"/>
    <row r="2084" s="8" customFormat="1"/>
    <row r="2085" s="8" customFormat="1"/>
    <row r="2086" s="8" customFormat="1"/>
    <row r="2087" s="8" customFormat="1"/>
    <row r="2088" s="8" customFormat="1"/>
    <row r="2089" s="8" customFormat="1"/>
    <row r="2090" s="8" customFormat="1"/>
    <row r="2091" s="8" customFormat="1"/>
    <row r="2092" s="8" customFormat="1"/>
    <row r="2093" s="8" customFormat="1"/>
    <row r="2094" s="8" customFormat="1"/>
    <row r="2095" s="8" customFormat="1"/>
    <row r="2096" s="8" customFormat="1"/>
    <row r="2097" s="8" customFormat="1"/>
    <row r="2098" s="8" customFormat="1"/>
    <row r="2099" s="8" customFormat="1"/>
    <row r="2100" s="8" customFormat="1"/>
    <row r="2101" s="8" customFormat="1"/>
    <row r="2102" s="8" customFormat="1"/>
    <row r="2103" s="8" customFormat="1"/>
    <row r="2104" s="8" customFormat="1"/>
    <row r="2105" s="8" customFormat="1"/>
    <row r="2106" s="8" customFormat="1"/>
    <row r="2107" s="8" customFormat="1"/>
    <row r="2108" s="8" customFormat="1"/>
    <row r="2109" s="8" customFormat="1"/>
    <row r="2110" s="8" customFormat="1"/>
    <row r="2111" s="8" customFormat="1"/>
    <row r="2112" s="8" customFormat="1"/>
    <row r="2113" s="8" customFormat="1"/>
    <row r="2114" s="8" customFormat="1"/>
    <row r="2115" s="8" customFormat="1"/>
    <row r="2116" s="8" customFormat="1"/>
    <row r="2117" s="8" customFormat="1"/>
    <row r="2118" s="8" customFormat="1"/>
    <row r="2119" s="8" customFormat="1"/>
    <row r="2120" s="8" customFormat="1"/>
    <row r="2121" s="8" customFormat="1"/>
    <row r="2122" s="8" customFormat="1"/>
    <row r="2123" s="8" customFormat="1"/>
    <row r="2124" s="8" customFormat="1"/>
    <row r="2125" s="8" customFormat="1"/>
    <row r="2126" s="8" customFormat="1"/>
    <row r="2127" s="8" customFormat="1"/>
    <row r="2128" s="8" customFormat="1"/>
    <row r="2129" s="8" customFormat="1"/>
    <row r="2130" s="8" customFormat="1"/>
    <row r="2131" s="8" customFormat="1"/>
    <row r="2132" s="8" customFormat="1"/>
    <row r="2133" s="8" customFormat="1"/>
    <row r="2134" s="8" customFormat="1"/>
    <row r="2135" s="8" customFormat="1"/>
    <row r="2136" s="8" customFormat="1"/>
    <row r="2137" s="8" customFormat="1"/>
    <row r="2138" s="8" customFormat="1"/>
    <row r="2139" s="8" customFormat="1"/>
    <row r="2140" s="8" customFormat="1"/>
    <row r="2141" s="8" customFormat="1"/>
    <row r="2142" s="8" customFormat="1"/>
    <row r="2143" s="8" customFormat="1"/>
    <row r="2144" s="8" customFormat="1"/>
    <row r="2145" s="8" customFormat="1"/>
    <row r="2146" s="8" customFormat="1"/>
    <row r="2147" s="8" customFormat="1"/>
    <row r="2148" s="8" customFormat="1"/>
    <row r="2149" s="8" customFormat="1"/>
    <row r="2150" s="8" customFormat="1"/>
    <row r="2151" s="8" customFormat="1"/>
    <row r="2152" s="8" customFormat="1"/>
    <row r="2153" s="8" customFormat="1"/>
    <row r="2154" s="8" customFormat="1"/>
    <row r="2155" s="8" customFormat="1"/>
    <row r="2156" s="8" customFormat="1"/>
    <row r="2157" s="8" customFormat="1"/>
    <row r="2158" s="8" customFormat="1"/>
    <row r="2159" s="8" customFormat="1"/>
    <row r="2160" s="8" customFormat="1"/>
    <row r="2161" s="8" customFormat="1"/>
    <row r="2162" s="8" customFormat="1"/>
    <row r="2163" s="8" customFormat="1"/>
    <row r="2164" s="8" customFormat="1"/>
    <row r="2165" s="8" customFormat="1"/>
    <row r="2166" s="8" customFormat="1"/>
    <row r="2167" s="8" customFormat="1"/>
    <row r="2168" s="8" customFormat="1"/>
    <row r="2169" s="8" customFormat="1"/>
    <row r="2170" s="8" customFormat="1"/>
    <row r="2171" s="8" customFormat="1"/>
    <row r="2172" s="8" customFormat="1"/>
    <row r="2173" s="8" customFormat="1"/>
    <row r="2174" s="8" customFormat="1"/>
    <row r="2175" s="8" customFormat="1"/>
    <row r="2176" s="8" customFormat="1"/>
    <row r="2177" s="8" customFormat="1"/>
    <row r="2178" s="8" customFormat="1"/>
    <row r="2179" s="8" customFormat="1"/>
    <row r="2180" s="8" customFormat="1"/>
    <row r="2181" s="8" customFormat="1"/>
    <row r="2182" s="8" customFormat="1"/>
    <row r="2183" s="8" customFormat="1"/>
    <row r="2184" s="8" customFormat="1"/>
    <row r="2185" s="8" customFormat="1"/>
    <row r="2186" s="8" customFormat="1"/>
    <row r="2187" s="8" customFormat="1"/>
    <row r="2188" s="8" customFormat="1"/>
    <row r="2189" s="8" customFormat="1"/>
    <row r="2190" s="8" customFormat="1"/>
    <row r="2191" s="8" customFormat="1"/>
    <row r="2192" s="8" customFormat="1"/>
    <row r="2193" s="8" customFormat="1"/>
    <row r="2194" s="8" customFormat="1"/>
    <row r="2195" s="8" customFormat="1"/>
    <row r="2196" s="8" customFormat="1"/>
    <row r="2197" s="8" customFormat="1"/>
    <row r="2198" s="8" customFormat="1"/>
    <row r="2199" s="8" customFormat="1"/>
    <row r="2200" s="8" customFormat="1"/>
    <row r="2201" s="8" customFormat="1"/>
    <row r="2202" s="8" customFormat="1"/>
    <row r="2203" s="8" customFormat="1"/>
    <row r="2204" s="8" customFormat="1"/>
    <row r="2205" s="8" customFormat="1"/>
    <row r="2206" s="8" customFormat="1"/>
    <row r="2207" s="8" customFormat="1"/>
    <row r="2208" s="8" customFormat="1"/>
    <row r="2209" s="8" customFormat="1"/>
    <row r="2210" s="8" customFormat="1"/>
    <row r="2211" s="8" customFormat="1"/>
    <row r="2212" s="8" customFormat="1"/>
    <row r="2213" s="8" customFormat="1"/>
    <row r="2214" s="8" customFormat="1"/>
    <row r="2215" s="8" customFormat="1"/>
    <row r="2216" s="8" customFormat="1"/>
    <row r="2217" s="8" customFormat="1"/>
    <row r="2218" s="8" customFormat="1"/>
    <row r="2219" s="8" customFormat="1"/>
    <row r="2220" s="8" customFormat="1"/>
    <row r="2221" s="8" customFormat="1"/>
    <row r="2222" s="8" customFormat="1"/>
    <row r="2223" s="8" customFormat="1"/>
    <row r="2224" s="8" customFormat="1"/>
    <row r="2225" s="8" customFormat="1"/>
    <row r="2226" s="8" customFormat="1"/>
    <row r="2227" s="8" customFormat="1"/>
    <row r="2228" s="8" customFormat="1"/>
    <row r="2229" s="8" customFormat="1"/>
    <row r="2230" s="8" customFormat="1"/>
    <row r="2231" s="8" customFormat="1"/>
    <row r="2232" s="8" customFormat="1"/>
    <row r="2233" s="8" customFormat="1"/>
    <row r="2234" s="8" customFormat="1"/>
    <row r="2235" s="8" customFormat="1"/>
    <row r="2236" s="8" customFormat="1"/>
    <row r="2237" s="8" customFormat="1"/>
    <row r="2238" s="8" customFormat="1"/>
    <row r="2239" s="8" customFormat="1"/>
    <row r="2240" s="8" customFormat="1"/>
    <row r="2241" s="8" customFormat="1"/>
    <row r="2242" s="8" customFormat="1"/>
    <row r="2243" s="8" customFormat="1"/>
    <row r="2244" s="8" customFormat="1"/>
    <row r="2245" s="8" customFormat="1"/>
    <row r="2246" s="8" customFormat="1"/>
    <row r="2247" s="8" customFormat="1"/>
    <row r="2248" s="8" customFormat="1"/>
    <row r="2249" s="8" customFormat="1"/>
    <row r="2250" s="8" customFormat="1"/>
    <row r="2251" s="8" customFormat="1"/>
    <row r="2252" s="8" customFormat="1"/>
    <row r="2253" s="8" customFormat="1"/>
    <row r="2254" s="8" customFormat="1"/>
    <row r="2255" s="8" customFormat="1"/>
    <row r="2256" s="8" customFormat="1"/>
    <row r="2257" s="8" customFormat="1"/>
    <row r="2258" s="8" customFormat="1"/>
    <row r="2259" s="8" customFormat="1"/>
    <row r="2260" s="8" customFormat="1"/>
    <row r="2261" s="8" customFormat="1"/>
    <row r="2262" s="8" customFormat="1"/>
    <row r="2263" s="8" customFormat="1"/>
    <row r="2264" s="8" customFormat="1"/>
    <row r="2265" s="8" customFormat="1"/>
    <row r="2266" s="8" customFormat="1"/>
    <row r="2267" s="8" customFormat="1"/>
    <row r="2268" s="8" customFormat="1"/>
    <row r="2269" s="8" customFormat="1"/>
    <row r="2270" s="8" customFormat="1"/>
    <row r="2271" s="8" customFormat="1"/>
    <row r="2272" s="8" customFormat="1"/>
    <row r="2273" s="8" customFormat="1"/>
    <row r="2274" s="8" customFormat="1"/>
    <row r="2275" s="8" customFormat="1"/>
    <row r="2276" s="8" customFormat="1"/>
    <row r="2277" s="8" customFormat="1"/>
    <row r="2278" s="8" customFormat="1"/>
    <row r="2279" s="8" customFormat="1"/>
    <row r="2280" s="8" customFormat="1"/>
    <row r="2281" s="8" customFormat="1"/>
    <row r="2282" s="8" customFormat="1"/>
    <row r="2283" s="8" customFormat="1"/>
    <row r="2284" s="8" customFormat="1"/>
    <row r="2285" s="8" customFormat="1"/>
    <row r="2286" s="8" customFormat="1"/>
    <row r="2287" s="8" customFormat="1"/>
    <row r="2288" s="8" customFormat="1"/>
    <row r="2289" s="8" customFormat="1"/>
    <row r="2290" s="8" customFormat="1"/>
    <row r="2291" s="8" customFormat="1"/>
    <row r="2292" s="8" customFormat="1"/>
    <row r="2293" s="8" customFormat="1"/>
    <row r="2294" s="8" customFormat="1"/>
    <row r="2295" s="8" customFormat="1"/>
    <row r="2296" s="8" customFormat="1"/>
    <row r="2297" s="8" customFormat="1"/>
    <row r="2298" s="8" customFormat="1"/>
    <row r="2299" s="8" customFormat="1"/>
    <row r="2300" s="8" customFormat="1"/>
    <row r="2301" s="8" customFormat="1"/>
    <row r="2302" s="8" customFormat="1"/>
    <row r="2303" s="8" customFormat="1"/>
    <row r="2304" s="8" customFormat="1"/>
    <row r="2305" s="8" customFormat="1"/>
    <row r="2306" s="8" customFormat="1"/>
    <row r="2307" s="8" customFormat="1"/>
    <row r="2308" s="8" customFormat="1"/>
    <row r="2309" s="8" customFormat="1"/>
    <row r="2310" s="8" customFormat="1"/>
    <row r="2311" s="8" customFormat="1"/>
    <row r="2312" s="8" customFormat="1"/>
    <row r="2313" s="8" customFormat="1"/>
    <row r="2314" s="8" customFormat="1"/>
    <row r="2315" s="8" customFormat="1"/>
    <row r="2316" s="8" customFormat="1"/>
    <row r="2317" s="8" customFormat="1"/>
    <row r="2318" s="8" customFormat="1"/>
    <row r="2319" s="8" customFormat="1"/>
    <row r="2320" s="8" customFormat="1"/>
    <row r="2321" s="8" customFormat="1"/>
    <row r="2322" s="8" customFormat="1"/>
    <row r="2323" s="8" customFormat="1"/>
    <row r="2324" s="8" customFormat="1"/>
    <row r="2325" s="8" customFormat="1"/>
    <row r="2326" s="8" customFormat="1"/>
    <row r="2327" s="8" customFormat="1"/>
    <row r="2328" s="8" customFormat="1"/>
    <row r="2329" s="8" customFormat="1"/>
    <row r="2330" s="8" customFormat="1"/>
    <row r="2331" s="8" customFormat="1"/>
    <row r="2332" s="8" customFormat="1"/>
    <row r="2333" s="8" customFormat="1"/>
    <row r="2334" s="8" customFormat="1"/>
    <row r="2335" s="8" customFormat="1"/>
    <row r="2336" s="8" customFormat="1"/>
    <row r="2337" s="8" customFormat="1"/>
    <row r="2338" s="8" customFormat="1"/>
    <row r="2339" s="8" customFormat="1"/>
    <row r="2340" s="8" customFormat="1"/>
    <row r="2341" s="8" customFormat="1"/>
    <row r="2342" s="8" customFormat="1"/>
    <row r="2343" s="8" customFormat="1"/>
    <row r="2344" s="8" customFormat="1"/>
    <row r="2345" s="8" customFormat="1"/>
    <row r="2346" s="8" customFormat="1"/>
    <row r="2347" s="8" customFormat="1"/>
    <row r="2348" s="8" customFormat="1"/>
    <row r="2349" s="8" customFormat="1"/>
    <row r="2350" s="8" customFormat="1"/>
    <row r="2351" s="8" customFormat="1"/>
    <row r="2352" s="8" customFormat="1"/>
    <row r="2353" s="8" customFormat="1"/>
    <row r="2354" s="8" customFormat="1"/>
    <row r="2355" s="8" customFormat="1"/>
    <row r="2356" s="8" customFormat="1"/>
    <row r="2357" s="8" customFormat="1"/>
    <row r="2358" s="8" customFormat="1"/>
    <row r="2359" s="8" customFormat="1"/>
    <row r="2360" s="8" customFormat="1"/>
    <row r="2361" s="8" customFormat="1"/>
    <row r="2362" s="8" customFormat="1"/>
    <row r="2363" s="8" customFormat="1"/>
    <row r="2364" s="8" customFormat="1"/>
    <row r="2365" s="8" customFormat="1"/>
    <row r="2366" s="8" customFormat="1"/>
    <row r="2367" s="8" customFormat="1"/>
    <row r="2368" s="8" customFormat="1"/>
    <row r="2369" s="8" customFormat="1"/>
    <row r="2370" s="8" customFormat="1"/>
    <row r="2371" s="8" customFormat="1"/>
    <row r="2372" s="8" customFormat="1"/>
    <row r="2373" s="8" customFormat="1"/>
    <row r="2374" s="8" customFormat="1"/>
    <row r="2375" s="8" customFormat="1"/>
    <row r="2376" s="8" customFormat="1"/>
    <row r="2377" s="8" customFormat="1"/>
    <row r="2378" s="8" customFormat="1"/>
    <row r="2379" s="8" customFormat="1"/>
    <row r="2380" s="8" customFormat="1"/>
    <row r="2381" s="8" customFormat="1"/>
    <row r="2382" s="8" customFormat="1"/>
    <row r="2383" s="8" customFormat="1"/>
    <row r="2384" s="8" customFormat="1"/>
    <row r="2385" s="8" customFormat="1"/>
    <row r="2386" s="8" customFormat="1"/>
    <row r="2387" s="8" customFormat="1"/>
    <row r="2388" s="8" customFormat="1"/>
    <row r="2389" s="8" customFormat="1"/>
    <row r="2390" s="8" customFormat="1"/>
    <row r="2391" s="8" customFormat="1"/>
    <row r="2392" s="8" customFormat="1"/>
    <row r="2393" s="8" customFormat="1"/>
    <row r="2394" s="8" customFormat="1"/>
    <row r="2395" s="8" customFormat="1"/>
    <row r="2396" s="8" customFormat="1"/>
    <row r="2397" s="8" customFormat="1"/>
    <row r="2398" s="8" customFormat="1"/>
    <row r="2399" s="8" customFormat="1"/>
    <row r="2400" s="8" customFormat="1"/>
    <row r="2401" s="8" customFormat="1"/>
    <row r="2402" s="8" customFormat="1"/>
    <row r="2403" s="8" customFormat="1"/>
    <row r="2404" s="8" customFormat="1"/>
    <row r="2405" s="8" customFormat="1"/>
    <row r="2406" s="8" customFormat="1"/>
    <row r="2407" s="8" customFormat="1"/>
    <row r="2408" s="8" customFormat="1"/>
    <row r="2409" s="8" customFormat="1"/>
    <row r="2410" s="8" customFormat="1"/>
    <row r="2411" s="8" customFormat="1"/>
    <row r="2412" s="8" customFormat="1"/>
    <row r="2413" s="8" customFormat="1"/>
    <row r="2414" s="8" customFormat="1"/>
    <row r="2415" s="8" customFormat="1"/>
    <row r="2416" s="8" customFormat="1"/>
    <row r="2417" s="8" customFormat="1"/>
    <row r="2418" s="8" customFormat="1"/>
    <row r="2419" s="8" customFormat="1"/>
    <row r="2420" s="8" customFormat="1"/>
    <row r="2421" s="8" customFormat="1"/>
    <row r="2422" s="8" customFormat="1"/>
    <row r="2423" s="8" customFormat="1"/>
    <row r="2424" s="8" customFormat="1"/>
    <row r="2425" s="8" customFormat="1"/>
    <row r="2426" s="8" customFormat="1"/>
    <row r="2427" s="8" customFormat="1"/>
    <row r="2428" s="8" customFormat="1"/>
    <row r="2429" s="8" customFormat="1"/>
    <row r="2430" s="8" customFormat="1"/>
    <row r="2431" s="8" customFormat="1"/>
    <row r="2432" s="8" customFormat="1"/>
    <row r="2433" s="8" customFormat="1"/>
    <row r="2434" s="8" customFormat="1"/>
    <row r="2435" s="8" customFormat="1"/>
    <row r="2436" s="8" customFormat="1"/>
    <row r="2437" s="8" customFormat="1"/>
    <row r="2438" s="8" customFormat="1"/>
    <row r="2439" s="8" customFormat="1"/>
    <row r="2440" s="8" customFormat="1"/>
    <row r="2441" s="8" customFormat="1"/>
    <row r="2442" s="8" customFormat="1"/>
    <row r="2443" s="8" customFormat="1"/>
    <row r="2444" s="8" customFormat="1"/>
    <row r="2445" s="8" customFormat="1"/>
    <row r="2446" s="8" customFormat="1"/>
    <row r="2447" s="8" customFormat="1"/>
    <row r="2448" s="8" customFormat="1"/>
    <row r="2449" s="8" customFormat="1"/>
    <row r="2450" s="8" customFormat="1"/>
    <row r="2451" s="8" customFormat="1"/>
    <row r="2452" s="8" customFormat="1"/>
    <row r="2453" s="8" customFormat="1"/>
    <row r="2454" s="8" customFormat="1"/>
    <row r="2455" s="8" customFormat="1"/>
    <row r="2456" s="8" customFormat="1"/>
    <row r="2457" s="8" customFormat="1"/>
    <row r="2458" s="8" customFormat="1"/>
    <row r="2459" s="8" customFormat="1"/>
    <row r="2460" s="8" customFormat="1"/>
    <row r="2461" s="8" customFormat="1"/>
    <row r="2462" s="8" customFormat="1"/>
    <row r="2463" s="8" customFormat="1"/>
    <row r="2464" s="8" customFormat="1"/>
    <row r="2465" s="8" customFormat="1"/>
    <row r="2466" s="8" customFormat="1"/>
    <row r="2467" s="8" customFormat="1"/>
    <row r="2468" s="8" customFormat="1"/>
    <row r="2469" s="8" customFormat="1"/>
    <row r="2470" s="8" customFormat="1"/>
    <row r="2471" s="8" customFormat="1"/>
    <row r="2472" s="8" customFormat="1"/>
    <row r="2473" s="8" customFormat="1"/>
    <row r="2474" s="8" customFormat="1"/>
    <row r="2475" s="8" customFormat="1"/>
    <row r="2476" s="8" customFormat="1"/>
    <row r="2477" s="8" customFormat="1"/>
    <row r="2478" s="8" customFormat="1"/>
    <row r="2479" s="8" customFormat="1"/>
    <row r="2480" s="8" customFormat="1"/>
    <row r="2481" s="8" customFormat="1"/>
    <row r="2482" s="8" customFormat="1"/>
    <row r="2483" s="8" customFormat="1"/>
    <row r="2484" s="8" customFormat="1"/>
    <row r="2485" s="8" customFormat="1"/>
    <row r="2486" s="8" customFormat="1"/>
    <row r="2487" s="8" customFormat="1"/>
    <row r="2488" s="8" customFormat="1"/>
    <row r="2489" s="8" customFormat="1"/>
    <row r="2490" s="8" customFormat="1"/>
    <row r="2491" s="8" customFormat="1"/>
    <row r="2492" s="8" customFormat="1"/>
    <row r="2493" s="8" customFormat="1"/>
    <row r="2494" s="8" customFormat="1"/>
    <row r="2495" s="8" customFormat="1"/>
    <row r="2496" s="8" customFormat="1"/>
    <row r="2497" s="8" customFormat="1"/>
    <row r="2498" s="8" customFormat="1"/>
    <row r="2499" s="8" customFormat="1"/>
    <row r="2500" s="8" customFormat="1"/>
    <row r="2501" s="8" customFormat="1"/>
    <row r="2502" s="8" customFormat="1"/>
    <row r="2503" s="8" customFormat="1"/>
    <row r="2504" s="8" customFormat="1"/>
    <row r="2505" s="8" customFormat="1"/>
    <row r="2506" s="8" customFormat="1"/>
    <row r="2507" s="8" customFormat="1"/>
    <row r="2508" s="8" customFormat="1"/>
    <row r="2509" s="8" customFormat="1"/>
    <row r="2510" s="8" customFormat="1"/>
    <row r="2511" s="8" customFormat="1"/>
    <row r="2512" s="8" customFormat="1"/>
    <row r="2513" s="8" customFormat="1"/>
    <row r="2514" s="8" customFormat="1"/>
    <row r="2515" s="8" customFormat="1"/>
    <row r="2516" s="8" customFormat="1"/>
    <row r="2517" s="8" customFormat="1"/>
    <row r="2518" s="8" customFormat="1"/>
    <row r="2519" s="8" customFormat="1"/>
    <row r="2520" s="8" customFormat="1"/>
    <row r="2521" s="8" customFormat="1"/>
    <row r="2522" s="8" customFormat="1"/>
    <row r="2523" s="8" customFormat="1"/>
    <row r="2524" s="8" customFormat="1"/>
    <row r="2525" s="8" customFormat="1"/>
    <row r="2526" s="8" customFormat="1"/>
    <row r="2527" s="8" customFormat="1"/>
    <row r="2528" s="8" customFormat="1"/>
    <row r="2529" s="8" customFormat="1"/>
    <row r="2530" s="8" customFormat="1"/>
    <row r="2531" s="8" customFormat="1"/>
    <row r="2532" s="8" customFormat="1"/>
    <row r="2533" s="8" customFormat="1"/>
    <row r="2534" s="8" customFormat="1"/>
    <row r="2535" s="8" customFormat="1"/>
    <row r="2536" s="8" customFormat="1"/>
    <row r="2537" s="8" customFormat="1"/>
    <row r="2538" s="8" customFormat="1"/>
    <row r="2539" s="8" customFormat="1"/>
    <row r="2540" s="8" customFormat="1"/>
    <row r="2541" s="8" customFormat="1"/>
    <row r="2542" s="8" customFormat="1"/>
    <row r="2543" s="8" customFormat="1"/>
    <row r="2544" s="8" customFormat="1"/>
    <row r="2545" s="8" customFormat="1"/>
    <row r="2546" s="8" customFormat="1"/>
    <row r="2547" s="8" customFormat="1"/>
    <row r="2548" s="8" customFormat="1"/>
    <row r="2549" s="8" customFormat="1"/>
    <row r="2550" s="8" customFormat="1"/>
    <row r="2551" s="8" customFormat="1"/>
    <row r="2552" s="8" customFormat="1"/>
    <row r="2553" s="8" customFormat="1"/>
    <row r="2554" s="8" customFormat="1"/>
    <row r="2555" s="8" customFormat="1"/>
    <row r="2556" s="8" customFormat="1"/>
    <row r="2557" s="8" customFormat="1"/>
    <row r="2558" s="8" customFormat="1"/>
    <row r="2559" s="8" customFormat="1"/>
    <row r="2560" s="8" customFormat="1"/>
    <row r="2561" s="8" customFormat="1"/>
    <row r="2562" s="8" customFormat="1"/>
    <row r="2563" s="8" customFormat="1"/>
    <row r="2564" s="8" customFormat="1"/>
    <row r="2565" s="8" customFormat="1"/>
    <row r="2566" s="8" customFormat="1"/>
    <row r="2567" s="8" customFormat="1"/>
    <row r="2568" s="8" customFormat="1"/>
    <row r="2569" s="8" customFormat="1"/>
    <row r="2570" s="8" customFormat="1"/>
    <row r="2571" s="8" customFormat="1"/>
    <row r="2572" s="8" customFormat="1"/>
    <row r="2573" s="8" customFormat="1"/>
    <row r="2574" s="8" customFormat="1"/>
    <row r="2575" s="8" customFormat="1"/>
    <row r="2576" s="8" customFormat="1"/>
    <row r="2577" s="8" customFormat="1"/>
    <row r="2578" s="8" customFormat="1"/>
    <row r="2579" s="8" customFormat="1"/>
    <row r="2580" s="8" customFormat="1"/>
    <row r="2581" s="8" customFormat="1"/>
    <row r="2582" s="8" customFormat="1"/>
    <row r="2583" s="8" customFormat="1"/>
    <row r="2584" s="8" customFormat="1"/>
    <row r="2585" s="8" customFormat="1"/>
    <row r="2586" s="8" customFormat="1"/>
    <row r="2587" s="8" customFormat="1"/>
    <row r="2588" s="8" customFormat="1"/>
    <row r="2589" s="8" customFormat="1"/>
    <row r="2590" s="8" customFormat="1"/>
    <row r="2591" s="8" customFormat="1"/>
    <row r="2592" s="8" customFormat="1"/>
    <row r="2593" s="8" customFormat="1"/>
    <row r="2594" s="8" customFormat="1"/>
    <row r="2595" s="8" customFormat="1"/>
    <row r="2596" s="8" customFormat="1"/>
    <row r="2597" s="8" customFormat="1"/>
    <row r="2598" s="8" customFormat="1"/>
    <row r="2599" s="8" customFormat="1"/>
    <row r="2600" s="8" customFormat="1"/>
    <row r="2601" s="8" customFormat="1"/>
    <row r="2602" s="8" customFormat="1"/>
    <row r="2603" s="8" customFormat="1"/>
    <row r="2604" s="8" customFormat="1"/>
    <row r="2605" s="8" customFormat="1"/>
    <row r="2606" s="8" customFormat="1"/>
    <row r="2607" s="8" customFormat="1"/>
    <row r="2608" s="8" customFormat="1"/>
    <row r="2609" s="8" customFormat="1"/>
    <row r="2610" s="8" customFormat="1"/>
    <row r="2611" s="8" customFormat="1"/>
    <row r="2612" s="8" customFormat="1"/>
    <row r="2613" s="8" customFormat="1"/>
    <row r="2614" s="8" customFormat="1"/>
    <row r="2615" s="8" customFormat="1"/>
    <row r="2616" s="8" customFormat="1"/>
    <row r="2617" s="8" customFormat="1"/>
    <row r="2618" s="8" customFormat="1"/>
    <row r="2619" s="8" customFormat="1"/>
    <row r="2620" s="8" customFormat="1"/>
    <row r="2621" s="8" customFormat="1"/>
    <row r="2622" s="8" customFormat="1"/>
    <row r="2623" s="8" customFormat="1"/>
    <row r="2624" s="8" customFormat="1"/>
    <row r="2625" s="8" customFormat="1"/>
    <row r="2626" s="8" customFormat="1"/>
    <row r="2627" s="8" customFormat="1"/>
    <row r="2628" s="8" customFormat="1"/>
    <row r="2629" s="8" customFormat="1"/>
    <row r="2630" s="8" customFormat="1"/>
    <row r="2631" s="8" customFormat="1"/>
    <row r="2632" s="8" customFormat="1"/>
    <row r="2633" s="8" customFormat="1"/>
    <row r="2634" s="8" customFormat="1"/>
    <row r="2635" s="8" customFormat="1"/>
    <row r="2636" s="8" customFormat="1"/>
    <row r="2637" s="8" customFormat="1"/>
    <row r="2638" s="8" customFormat="1"/>
    <row r="2639" s="8" customFormat="1"/>
    <row r="2640" s="8" customFormat="1"/>
    <row r="2641" s="8" customFormat="1"/>
    <row r="2642" s="8" customFormat="1"/>
    <row r="2643" s="8" customFormat="1"/>
    <row r="2644" s="8" customFormat="1"/>
    <row r="2645" s="8" customFormat="1"/>
    <row r="2646" s="8" customFormat="1"/>
    <row r="2647" s="8" customFormat="1"/>
    <row r="2648" s="8" customFormat="1"/>
    <row r="2649" s="8" customFormat="1"/>
    <row r="2650" s="8" customFormat="1"/>
    <row r="2651" s="8" customFormat="1"/>
    <row r="2652" s="8" customFormat="1"/>
    <row r="2653" s="8" customFormat="1"/>
    <row r="2654" s="8" customFormat="1"/>
    <row r="2655" s="8" customFormat="1"/>
    <row r="2656" s="8" customFormat="1"/>
    <row r="2657" s="8" customFormat="1"/>
    <row r="2658" s="8" customFormat="1"/>
    <row r="2659" s="8" customFormat="1"/>
    <row r="2660" s="8" customFormat="1"/>
    <row r="2661" s="8" customFormat="1"/>
    <row r="2662" s="8" customFormat="1"/>
    <row r="2663" s="8" customFormat="1"/>
    <row r="2664" s="8" customFormat="1"/>
    <row r="2665" s="8" customFormat="1"/>
    <row r="2666" s="8" customFormat="1"/>
    <row r="2667" s="8" customFormat="1"/>
    <row r="2668" s="8" customFormat="1"/>
    <row r="2669" s="8" customFormat="1"/>
    <row r="2670" s="8" customFormat="1"/>
    <row r="2671" s="8" customFormat="1"/>
    <row r="2672" s="8" customFormat="1"/>
    <row r="2673" s="8" customFormat="1"/>
    <row r="2674" s="8" customFormat="1"/>
    <row r="2675" s="8" customFormat="1"/>
    <row r="2676" s="8" customFormat="1"/>
    <row r="2677" s="8" customFormat="1"/>
    <row r="2678" s="8" customFormat="1"/>
    <row r="2679" s="8" customFormat="1"/>
    <row r="2680" s="8" customFormat="1"/>
    <row r="2681" s="8" customFormat="1"/>
    <row r="2682" s="8" customFormat="1"/>
    <row r="2683" s="8" customFormat="1"/>
    <row r="2684" s="8" customFormat="1"/>
    <row r="2685" s="8" customFormat="1"/>
    <row r="2686" s="8" customFormat="1"/>
    <row r="2687" s="8" customFormat="1"/>
    <row r="2688" s="8" customFormat="1"/>
    <row r="2689" s="8" customFormat="1"/>
    <row r="2690" s="8" customFormat="1"/>
    <row r="2691" s="8" customFormat="1"/>
    <row r="2692" s="8" customFormat="1"/>
    <row r="2693" s="8" customFormat="1"/>
    <row r="2694" s="8" customFormat="1"/>
    <row r="2695" s="8" customFormat="1"/>
    <row r="2696" s="8" customFormat="1"/>
    <row r="2697" s="8" customFormat="1"/>
    <row r="2698" s="8" customFormat="1"/>
    <row r="2699" s="8" customFormat="1"/>
    <row r="2700" s="8" customFormat="1"/>
    <row r="2701" s="8" customFormat="1"/>
    <row r="2702" s="8" customFormat="1"/>
    <row r="2703" s="8" customFormat="1"/>
    <row r="2704" s="8" customFormat="1"/>
    <row r="2705" s="8" customFormat="1"/>
    <row r="2706" s="8" customFormat="1"/>
    <row r="2707" s="8" customFormat="1"/>
    <row r="2708" s="8" customFormat="1"/>
    <row r="2709" s="8" customFormat="1"/>
    <row r="2710" s="8" customFormat="1"/>
    <row r="2711" s="8" customFormat="1"/>
    <row r="2712" s="8" customFormat="1"/>
    <row r="2713" s="8" customFormat="1"/>
    <row r="2714" s="8" customFormat="1"/>
    <row r="2715" s="8" customFormat="1"/>
    <row r="2716" s="8" customFormat="1"/>
    <row r="2717" s="8" customFormat="1"/>
    <row r="2718" s="8" customFormat="1"/>
    <row r="2719" s="8" customFormat="1"/>
    <row r="2720" s="8" customFormat="1"/>
    <row r="2721" s="8" customFormat="1"/>
    <row r="2722" s="8" customFormat="1"/>
    <row r="2723" s="8" customFormat="1"/>
    <row r="2724" s="8" customFormat="1"/>
    <row r="2725" s="8" customFormat="1"/>
    <row r="2726" s="8" customFormat="1"/>
    <row r="2727" s="8" customFormat="1"/>
    <row r="2728" s="8" customFormat="1"/>
    <row r="2729" s="8" customFormat="1"/>
    <row r="2730" s="8" customFormat="1"/>
    <row r="2731" s="8" customFormat="1"/>
    <row r="2732" s="8" customFormat="1"/>
    <row r="2733" s="8" customFormat="1"/>
    <row r="2734" s="8" customFormat="1"/>
    <row r="2735" s="8" customFormat="1"/>
    <row r="2736" s="8" customFormat="1"/>
    <row r="2737" s="8" customFormat="1"/>
    <row r="2738" s="8" customFormat="1"/>
    <row r="2739" s="8" customFormat="1"/>
    <row r="2740" s="8" customFormat="1"/>
    <row r="2741" s="8" customFormat="1"/>
    <row r="2742" s="8" customFormat="1"/>
    <row r="2743" s="8" customFormat="1"/>
    <row r="2744" s="8" customFormat="1"/>
    <row r="2745" s="8" customFormat="1"/>
    <row r="2746" s="8" customFormat="1"/>
    <row r="2747" s="8" customFormat="1"/>
    <row r="2748" s="8" customFormat="1"/>
    <row r="2749" s="8" customFormat="1"/>
    <row r="2750" s="8" customFormat="1"/>
    <row r="2751" s="8" customFormat="1"/>
    <row r="2752" s="8" customFormat="1"/>
    <row r="2753" s="8" customFormat="1"/>
    <row r="2754" s="8" customFormat="1"/>
    <row r="2755" s="8" customFormat="1"/>
    <row r="2756" s="8" customFormat="1"/>
    <row r="2757" s="8" customFormat="1"/>
    <row r="2758" s="8" customFormat="1"/>
    <row r="2759" s="8" customFormat="1"/>
    <row r="2760" s="8" customFormat="1"/>
    <row r="2761" s="8" customFormat="1"/>
    <row r="2762" s="8" customFormat="1"/>
    <row r="2763" s="8" customFormat="1"/>
    <row r="2764" s="8" customFormat="1"/>
    <row r="2765" s="8" customFormat="1"/>
    <row r="2766" s="8" customFormat="1"/>
    <row r="2767" s="8" customFormat="1"/>
    <row r="2768" s="8" customFormat="1"/>
    <row r="2769" s="8" customFormat="1"/>
    <row r="2770" s="8" customFormat="1"/>
    <row r="2771" s="8" customFormat="1"/>
    <row r="2772" s="8" customFormat="1"/>
    <row r="2773" s="8" customFormat="1"/>
    <row r="2774" s="8" customFormat="1"/>
    <row r="2775" s="8" customFormat="1"/>
    <row r="2776" s="8" customFormat="1"/>
    <row r="2777" s="8" customFormat="1"/>
    <row r="2778" s="8" customFormat="1"/>
    <row r="2779" s="8" customFormat="1"/>
    <row r="2780" s="8" customFormat="1"/>
    <row r="2781" s="8" customFormat="1"/>
    <row r="2782" s="8" customFormat="1"/>
    <row r="2783" s="8" customFormat="1"/>
    <row r="2784" s="8" customFormat="1"/>
    <row r="2785" s="8" customFormat="1"/>
    <row r="2786" s="8" customFormat="1"/>
    <row r="2787" s="8" customFormat="1"/>
    <row r="2788" s="8" customFormat="1"/>
    <row r="2789" s="8" customFormat="1"/>
    <row r="2790" s="8" customFormat="1"/>
    <row r="2791" s="8" customFormat="1"/>
    <row r="2792" s="8" customFormat="1"/>
    <row r="2793" s="8" customFormat="1"/>
    <row r="2794" s="8" customFormat="1"/>
    <row r="2795" s="8" customFormat="1"/>
    <row r="2796" s="8" customFormat="1"/>
    <row r="2797" s="8" customFormat="1"/>
    <row r="2798" s="8" customFormat="1"/>
    <row r="2799" s="8" customFormat="1"/>
    <row r="2800" s="8" customFormat="1"/>
    <row r="2801" s="8" customFormat="1"/>
    <row r="2802" s="8" customFormat="1"/>
    <row r="2803" s="8" customFormat="1"/>
    <row r="2804" s="8" customFormat="1"/>
    <row r="2805" s="8" customFormat="1"/>
    <row r="2806" s="8" customFormat="1"/>
    <row r="2807" s="8" customFormat="1"/>
    <row r="2808" s="8" customFormat="1"/>
    <row r="2809" s="8" customFormat="1"/>
    <row r="2810" s="8" customFormat="1"/>
    <row r="2811" s="8" customFormat="1"/>
    <row r="2812" s="8" customFormat="1"/>
    <row r="2813" s="8" customFormat="1"/>
    <row r="2814" s="8" customFormat="1"/>
    <row r="2815" s="8" customFormat="1"/>
    <row r="2816" s="8" customFormat="1"/>
    <row r="2817" s="8" customFormat="1"/>
    <row r="2818" s="8" customFormat="1"/>
    <row r="2819" s="8" customFormat="1"/>
    <row r="2820" s="8" customFormat="1"/>
    <row r="2821" s="8" customFormat="1"/>
    <row r="2822" s="8" customFormat="1"/>
    <row r="2823" s="8" customFormat="1"/>
    <row r="2824" s="8" customFormat="1"/>
    <row r="2825" s="8" customFormat="1"/>
    <row r="2826" s="8" customFormat="1"/>
    <row r="2827" s="8" customFormat="1"/>
    <row r="2828" s="8" customFormat="1"/>
    <row r="2829" s="8" customFormat="1"/>
    <row r="2830" s="8" customFormat="1"/>
    <row r="2831" s="8" customFormat="1"/>
    <row r="2832" s="8" customFormat="1"/>
    <row r="2833" s="8" customFormat="1"/>
    <row r="2834" s="8" customFormat="1"/>
    <row r="2835" s="8" customFormat="1"/>
    <row r="2836" s="8" customFormat="1"/>
    <row r="2837" s="8" customFormat="1"/>
    <row r="2838" s="8" customFormat="1"/>
    <row r="2839" s="8" customFormat="1"/>
    <row r="2840" s="8" customFormat="1"/>
    <row r="2841" s="8" customFormat="1"/>
    <row r="2842" s="8" customFormat="1"/>
    <row r="2843" s="8" customFormat="1"/>
    <row r="2844" s="8" customFormat="1"/>
    <row r="2845" s="8" customFormat="1"/>
    <row r="2846" s="8" customFormat="1"/>
    <row r="2847" s="8" customFormat="1"/>
    <row r="2848" s="8" customFormat="1"/>
    <row r="2849" s="8" customFormat="1"/>
    <row r="2850" s="8" customFormat="1"/>
    <row r="2851" s="8" customFormat="1"/>
    <row r="2852" s="8" customFormat="1"/>
    <row r="2853" s="8" customFormat="1"/>
    <row r="2854" s="8" customFormat="1"/>
    <row r="2855" s="8" customFormat="1"/>
    <row r="2856" s="8" customFormat="1"/>
    <row r="2857" s="8" customFormat="1"/>
    <row r="2858" s="8" customFormat="1"/>
    <row r="2859" s="8" customFormat="1"/>
    <row r="2860" s="8" customFormat="1"/>
    <row r="2861" s="8" customFormat="1"/>
    <row r="2862" s="8" customFormat="1"/>
    <row r="2863" s="8" customFormat="1"/>
    <row r="2864" s="8" customFormat="1"/>
    <row r="2865" s="8" customFormat="1"/>
    <row r="2866" s="8" customFormat="1"/>
    <row r="2867" s="8" customFormat="1"/>
    <row r="2868" s="8" customFormat="1"/>
    <row r="2869" s="8" customFormat="1"/>
    <row r="2870" s="8" customFormat="1"/>
    <row r="2871" s="8" customFormat="1"/>
    <row r="2872" s="8" customFormat="1"/>
    <row r="2873" s="8" customFormat="1"/>
    <row r="2874" s="8" customFormat="1"/>
    <row r="2875" s="8" customFormat="1"/>
    <row r="2876" s="8" customFormat="1"/>
    <row r="2877" s="8" customFormat="1"/>
    <row r="2878" s="8" customFormat="1"/>
    <row r="2879" s="8" customFormat="1"/>
    <row r="2880" s="8" customFormat="1"/>
    <row r="2881" s="8" customFormat="1"/>
    <row r="2882" s="8" customFormat="1"/>
    <row r="2883" s="8" customFormat="1"/>
    <row r="2884" s="8" customFormat="1"/>
    <row r="2885" s="8" customFormat="1"/>
    <row r="2886" s="8" customFormat="1"/>
    <row r="2887" s="8" customFormat="1"/>
    <row r="2888" s="8" customFormat="1"/>
    <row r="2889" s="8" customFormat="1"/>
    <row r="2890" s="8" customFormat="1"/>
    <row r="2891" s="8" customFormat="1"/>
    <row r="2892" s="8" customFormat="1"/>
    <row r="2893" s="8" customFormat="1"/>
    <row r="2894" s="8" customFormat="1"/>
    <row r="2895" s="8" customFormat="1"/>
    <row r="2896" s="8" customFormat="1"/>
    <row r="2897" s="8" customFormat="1"/>
    <row r="2898" s="8" customFormat="1"/>
    <row r="2899" s="8" customFormat="1"/>
    <row r="2900" s="8" customFormat="1"/>
    <row r="2901" s="8" customFormat="1"/>
    <row r="2902" s="8" customFormat="1"/>
    <row r="2903" s="8" customFormat="1"/>
    <row r="2904" s="8" customFormat="1"/>
    <row r="2905" s="8" customFormat="1"/>
    <row r="2906" s="8" customFormat="1"/>
    <row r="2907" s="8" customFormat="1"/>
    <row r="2908" s="8" customFormat="1"/>
    <row r="2909" s="8" customFormat="1"/>
    <row r="2910" s="8" customFormat="1"/>
    <row r="2911" s="8" customFormat="1"/>
    <row r="2912" s="8" customFormat="1"/>
    <row r="2913" s="8" customFormat="1"/>
    <row r="2914" s="8" customFormat="1"/>
    <row r="2915" s="8" customFormat="1"/>
    <row r="2916" s="8" customFormat="1"/>
    <row r="2917" s="8" customFormat="1"/>
    <row r="2918" s="8" customFormat="1"/>
    <row r="2919" s="8" customFormat="1"/>
    <row r="2920" s="8" customFormat="1"/>
    <row r="2921" s="8" customFormat="1"/>
    <row r="2922" s="8" customFormat="1"/>
    <row r="2923" s="8" customFormat="1"/>
    <row r="2924" s="8" customFormat="1"/>
    <row r="2925" s="8" customFormat="1"/>
    <row r="2926" s="8" customFormat="1"/>
    <row r="2927" s="8" customFormat="1"/>
    <row r="2928" s="8" customFormat="1"/>
    <row r="2929" s="8" customFormat="1"/>
    <row r="2930" s="8" customFormat="1"/>
    <row r="2931" s="8" customFormat="1"/>
    <row r="2932" s="8" customFormat="1"/>
    <row r="2933" s="8" customFormat="1"/>
    <row r="2934" s="8" customFormat="1"/>
    <row r="2935" s="8" customFormat="1"/>
    <row r="2936" s="8" customFormat="1"/>
    <row r="2937" s="8" customFormat="1"/>
    <row r="2938" s="8" customFormat="1"/>
    <row r="2939" s="8" customFormat="1"/>
    <row r="2940" s="8" customFormat="1"/>
    <row r="2941" s="8" customFormat="1"/>
    <row r="2942" s="8" customFormat="1"/>
    <row r="2943" s="8" customFormat="1"/>
    <row r="2944" s="8" customFormat="1"/>
    <row r="2945" s="8" customFormat="1"/>
    <row r="2946" s="8" customFormat="1"/>
    <row r="2947" s="8" customFormat="1"/>
    <row r="2948" s="8" customFormat="1"/>
    <row r="2949" s="8" customFormat="1"/>
    <row r="2950" s="8" customFormat="1"/>
    <row r="2951" s="8" customFormat="1"/>
    <row r="2952" s="8" customFormat="1"/>
    <row r="2953" s="8" customFormat="1"/>
    <row r="2954" s="8" customFormat="1"/>
    <row r="2955" s="8" customFormat="1"/>
    <row r="2956" s="8" customFormat="1"/>
    <row r="2957" s="8" customFormat="1"/>
    <row r="2958" s="8" customFormat="1"/>
    <row r="2959" s="8" customFormat="1"/>
    <row r="2960" s="8" customFormat="1"/>
    <row r="2961" s="8" customFormat="1"/>
    <row r="2962" s="8" customFormat="1"/>
    <row r="2963" s="8" customFormat="1"/>
    <row r="2964" s="8" customFormat="1"/>
    <row r="2965" s="8" customFormat="1"/>
    <row r="2966" s="8" customFormat="1"/>
    <row r="2967" s="8" customFormat="1"/>
    <row r="2968" s="8" customFormat="1"/>
    <row r="2969" s="8" customFormat="1"/>
    <row r="2970" s="8" customFormat="1"/>
    <row r="2971" s="8" customFormat="1"/>
    <row r="2972" s="8" customFormat="1"/>
    <row r="2973" s="8" customFormat="1"/>
    <row r="2974" s="8" customFormat="1"/>
    <row r="2975" s="8" customFormat="1"/>
    <row r="2976" s="8" customFormat="1"/>
    <row r="2977" s="8" customFormat="1"/>
    <row r="2978" s="8" customFormat="1"/>
    <row r="2979" s="8" customFormat="1"/>
    <row r="2980" s="8" customFormat="1"/>
    <row r="2981" s="8" customFormat="1"/>
    <row r="2982" s="8" customFormat="1"/>
    <row r="2983" s="8" customFormat="1"/>
    <row r="2984" s="8" customFormat="1"/>
    <row r="2985" s="8" customFormat="1"/>
    <row r="2986" s="8" customFormat="1"/>
    <row r="2987" s="8" customFormat="1"/>
    <row r="2988" s="8" customFormat="1"/>
    <row r="2989" s="8" customFormat="1"/>
    <row r="2990" s="8" customFormat="1"/>
    <row r="2991" s="8" customFormat="1"/>
    <row r="2992" s="8" customFormat="1"/>
    <row r="2993" s="8" customFormat="1"/>
    <row r="2994" s="8" customFormat="1"/>
    <row r="2995" s="8" customFormat="1"/>
    <row r="2996" s="8" customFormat="1"/>
    <row r="2997" s="8" customFormat="1"/>
    <row r="2998" s="8" customFormat="1"/>
    <row r="2999" s="8" customFormat="1"/>
    <row r="3000" s="8" customFormat="1"/>
    <row r="3001" s="8" customFormat="1"/>
    <row r="3002" s="8" customFormat="1"/>
    <row r="3003" s="8" customFormat="1"/>
    <row r="3004" s="8" customFormat="1"/>
    <row r="3005" s="8" customFormat="1"/>
    <row r="3006" s="8" customFormat="1"/>
    <row r="3007" s="8" customFormat="1"/>
    <row r="3008" s="8" customFormat="1"/>
    <row r="3009" s="8" customFormat="1"/>
    <row r="3010" s="8" customFormat="1"/>
    <row r="3011" s="8" customFormat="1"/>
    <row r="3012" s="8" customFormat="1"/>
    <row r="3013" s="8" customFormat="1"/>
    <row r="3014" s="8" customFormat="1"/>
    <row r="3015" s="8" customFormat="1"/>
    <row r="3016" s="8" customFormat="1"/>
    <row r="3017" s="8" customFormat="1"/>
    <row r="3018" s="8" customFormat="1"/>
    <row r="3019" s="8" customFormat="1"/>
    <row r="3020" s="8" customFormat="1"/>
    <row r="3021" s="8" customFormat="1"/>
    <row r="3022" s="8" customFormat="1"/>
    <row r="3023" s="8" customFormat="1"/>
    <row r="3024" s="8" customFormat="1"/>
    <row r="3025" s="8" customFormat="1"/>
    <row r="3026" s="8" customFormat="1"/>
    <row r="3027" s="8" customFormat="1"/>
    <row r="3028" s="8" customFormat="1"/>
    <row r="3029" s="8" customFormat="1"/>
    <row r="3030" s="8" customFormat="1"/>
    <row r="3031" s="8" customFormat="1"/>
    <row r="3032" s="8" customFormat="1"/>
    <row r="3033" s="8" customFormat="1"/>
    <row r="3034" s="8" customFormat="1"/>
    <row r="3035" s="8" customFormat="1"/>
    <row r="3036" s="8" customFormat="1"/>
    <row r="3037" s="8" customFormat="1"/>
    <row r="3038" s="8" customFormat="1"/>
    <row r="3039" s="8" customFormat="1"/>
    <row r="3040" s="8" customFormat="1"/>
    <row r="3041" s="8" customFormat="1"/>
    <row r="3042" s="8" customFormat="1"/>
    <row r="3043" s="8" customFormat="1"/>
    <row r="3044" s="8" customFormat="1"/>
    <row r="3045" s="8" customFormat="1"/>
    <row r="3046" s="8" customFormat="1"/>
    <row r="3047" s="8" customFormat="1"/>
    <row r="3048" s="8" customFormat="1"/>
    <row r="3049" s="8" customFormat="1"/>
    <row r="3050" s="8" customFormat="1"/>
    <row r="3051" s="8" customFormat="1"/>
    <row r="3052" s="8" customFormat="1"/>
    <row r="3053" s="8" customFormat="1"/>
    <row r="3054" s="8" customFormat="1"/>
    <row r="3055" s="8" customFormat="1"/>
    <row r="3056" s="8" customFormat="1"/>
    <row r="3057" s="8" customFormat="1"/>
    <row r="3058" s="8" customFormat="1"/>
    <row r="3059" s="8" customFormat="1"/>
    <row r="3060" s="8" customFormat="1"/>
    <row r="3061" s="8" customFormat="1"/>
    <row r="3062" s="8" customFormat="1"/>
    <row r="3063" s="8" customFormat="1"/>
    <row r="3064" s="8" customFormat="1"/>
    <row r="3065" s="8" customFormat="1"/>
    <row r="3066" s="8" customFormat="1"/>
    <row r="3067" s="8" customFormat="1"/>
    <row r="3068" s="8" customFormat="1"/>
    <row r="3069" s="8" customFormat="1"/>
    <row r="3070" s="8" customFormat="1"/>
    <row r="3071" s="8" customFormat="1"/>
    <row r="3072" s="8" customFormat="1"/>
    <row r="3073" s="8" customFormat="1"/>
    <row r="3074" s="8" customFormat="1"/>
    <row r="3075" s="8" customFormat="1"/>
    <row r="3076" s="8" customFormat="1"/>
    <row r="3077" s="8" customFormat="1"/>
    <row r="3078" s="8" customFormat="1"/>
    <row r="3079" s="8" customFormat="1"/>
    <row r="3080" s="8" customFormat="1"/>
    <row r="3081" s="8" customFormat="1"/>
    <row r="3082" s="8" customFormat="1"/>
    <row r="3083" s="8" customFormat="1"/>
    <row r="3084" s="8" customFormat="1"/>
    <row r="3085" s="8" customFormat="1"/>
    <row r="3086" s="8" customFormat="1"/>
    <row r="3087" s="8" customFormat="1"/>
    <row r="3088" s="8" customFormat="1"/>
    <row r="3089" s="8" customFormat="1"/>
    <row r="3090" s="8" customFormat="1"/>
    <row r="3091" s="8" customFormat="1"/>
    <row r="3092" s="8" customFormat="1"/>
    <row r="3093" s="8" customFormat="1"/>
    <row r="3094" s="8" customFormat="1"/>
    <row r="3095" s="8" customFormat="1"/>
    <row r="3096" s="8" customFormat="1"/>
    <row r="3097" s="8" customFormat="1"/>
    <row r="3098" s="8" customFormat="1"/>
    <row r="3099" s="8" customFormat="1"/>
    <row r="3100" s="8" customFormat="1"/>
    <row r="3101" s="8" customFormat="1"/>
    <row r="3102" s="8" customFormat="1"/>
    <row r="3103" s="8" customFormat="1"/>
    <row r="3104" s="8" customFormat="1"/>
    <row r="3105" s="8" customFormat="1"/>
    <row r="3106" s="8" customFormat="1"/>
    <row r="3107" s="8" customFormat="1"/>
    <row r="3108" s="8" customFormat="1"/>
    <row r="3109" s="8" customFormat="1"/>
    <row r="3110" s="8" customFormat="1"/>
    <row r="3111" s="8" customFormat="1"/>
    <row r="3112" s="8" customFormat="1"/>
    <row r="3113" s="8" customFormat="1"/>
    <row r="3114" s="8" customFormat="1"/>
    <row r="3115" s="8" customFormat="1"/>
    <row r="3116" s="8" customFormat="1"/>
    <row r="3117" s="8" customFormat="1"/>
    <row r="3118" s="8" customFormat="1"/>
    <row r="3119" s="8" customFormat="1"/>
    <row r="3120" s="8" customFormat="1"/>
    <row r="3121" s="8" customFormat="1"/>
    <row r="3122" s="8" customFormat="1"/>
    <row r="3123" s="8" customFormat="1"/>
    <row r="3124" s="8" customFormat="1"/>
    <row r="3125" s="8" customFormat="1"/>
    <row r="3126" s="8" customFormat="1"/>
    <row r="3127" s="8" customFormat="1"/>
    <row r="3128" s="8" customFormat="1"/>
    <row r="3129" s="8" customFormat="1"/>
    <row r="3130" s="8" customFormat="1"/>
    <row r="3131" s="8" customFormat="1"/>
    <row r="3132" s="8" customFormat="1"/>
    <row r="3133" s="8" customFormat="1"/>
    <row r="3134" s="8" customFormat="1"/>
    <row r="3135" s="8" customFormat="1"/>
    <row r="3136" s="8" customFormat="1"/>
    <row r="3137" s="8" customFormat="1"/>
    <row r="3138" s="8" customFormat="1"/>
    <row r="3139" s="8" customFormat="1"/>
    <row r="3140" s="8" customFormat="1"/>
    <row r="3141" s="8" customFormat="1"/>
    <row r="3142" s="8" customFormat="1"/>
    <row r="3143" s="8" customFormat="1"/>
    <row r="3144" s="8" customFormat="1"/>
    <row r="3145" s="8" customFormat="1"/>
    <row r="3146" s="8" customFormat="1"/>
    <row r="3147" s="8" customFormat="1"/>
    <row r="3148" s="8" customFormat="1"/>
    <row r="3149" s="8" customFormat="1"/>
    <row r="3150" s="8" customFormat="1"/>
    <row r="3151" s="8" customFormat="1"/>
    <row r="3152" s="8" customFormat="1"/>
    <row r="3153" s="8" customFormat="1"/>
    <row r="3154" s="8" customFormat="1"/>
    <row r="3155" s="8" customFormat="1"/>
    <row r="3156" s="8" customFormat="1"/>
    <row r="3157" s="8" customFormat="1"/>
    <row r="3158" s="8" customFormat="1"/>
    <row r="3159" s="8" customFormat="1"/>
    <row r="3160" s="8" customFormat="1"/>
    <row r="3161" s="8" customFormat="1"/>
    <row r="3162" s="8" customFormat="1"/>
    <row r="3163" s="8" customFormat="1"/>
    <row r="3164" s="8" customFormat="1"/>
    <row r="3165" s="8" customFormat="1"/>
    <row r="3166" s="8" customFormat="1"/>
    <row r="3167" s="8" customFormat="1"/>
    <row r="3168" s="8" customFormat="1"/>
    <row r="3169" s="8" customFormat="1"/>
    <row r="3170" s="8" customFormat="1"/>
    <row r="3171" s="8" customFormat="1"/>
    <row r="3172" s="8" customFormat="1"/>
    <row r="3173" s="8" customFormat="1"/>
    <row r="3174" s="8" customFormat="1"/>
    <row r="3175" s="8" customFormat="1"/>
    <row r="3176" s="8" customFormat="1"/>
    <row r="3177" s="8" customFormat="1"/>
    <row r="3178" s="8" customFormat="1"/>
    <row r="3179" s="8" customFormat="1"/>
    <row r="3180" s="8" customFormat="1"/>
    <row r="3181" s="8" customFormat="1"/>
    <row r="3182" s="8" customFormat="1"/>
    <row r="3183" s="8" customFormat="1"/>
    <row r="3184" s="8" customFormat="1"/>
    <row r="3185" s="8" customFormat="1"/>
    <row r="3186" s="8" customFormat="1"/>
    <row r="3187" s="8" customFormat="1"/>
    <row r="3188" s="8" customFormat="1"/>
    <row r="3189" s="8" customFormat="1"/>
    <row r="3190" s="8" customFormat="1"/>
    <row r="3191" s="8" customFormat="1"/>
    <row r="3192" s="8" customFormat="1"/>
    <row r="3193" s="8" customFormat="1"/>
    <row r="3194" s="8" customFormat="1"/>
    <row r="3195" s="8" customFormat="1"/>
    <row r="3196" s="8" customFormat="1"/>
    <row r="3197" s="8" customFormat="1"/>
    <row r="3198" s="8" customFormat="1"/>
    <row r="3199" s="8" customFormat="1"/>
    <row r="3200" s="8" customFormat="1"/>
    <row r="3201" s="8" customFormat="1"/>
    <row r="3202" s="8" customFormat="1"/>
    <row r="3203" s="8" customFormat="1"/>
    <row r="3204" s="8" customFormat="1"/>
    <row r="3205" s="8" customFormat="1"/>
    <row r="3206" s="8" customFormat="1"/>
    <row r="3207" s="8" customFormat="1"/>
    <row r="3208" s="8" customFormat="1"/>
    <row r="3209" s="8" customFormat="1"/>
    <row r="3210" s="8" customFormat="1"/>
    <row r="3211" s="8" customFormat="1"/>
    <row r="3212" s="8" customFormat="1"/>
    <row r="3213" s="8" customFormat="1"/>
    <row r="3214" s="8" customFormat="1"/>
    <row r="3215" s="8" customFormat="1"/>
    <row r="3216" s="8" customFormat="1"/>
    <row r="3217" s="8" customFormat="1"/>
    <row r="3218" s="8" customFormat="1"/>
    <row r="3219" s="8" customFormat="1"/>
    <row r="3220" s="8" customFormat="1"/>
    <row r="3221" s="8" customFormat="1"/>
    <row r="3222" s="8" customFormat="1"/>
    <row r="3223" s="8" customFormat="1"/>
    <row r="3224" s="8" customFormat="1"/>
    <row r="3225" s="8" customFormat="1"/>
    <row r="3226" s="8" customFormat="1"/>
    <row r="3227" s="8" customFormat="1"/>
    <row r="3228" s="8" customFormat="1"/>
    <row r="3229" s="8" customFormat="1"/>
    <row r="3230" s="8" customFormat="1"/>
    <row r="3231" s="8" customFormat="1"/>
    <row r="3232" s="8" customFormat="1"/>
    <row r="3233" s="8" customFormat="1"/>
    <row r="3234" s="8" customFormat="1"/>
    <row r="3235" s="8" customFormat="1"/>
    <row r="3236" s="8" customFormat="1"/>
    <row r="3237" s="8" customFormat="1"/>
    <row r="3238" s="8" customFormat="1"/>
    <row r="3239" s="8" customFormat="1"/>
    <row r="3240" s="8" customFormat="1"/>
    <row r="3241" s="8" customFormat="1"/>
    <row r="3242" s="8" customFormat="1"/>
    <row r="3243" s="8" customFormat="1"/>
    <row r="3244" s="8" customFormat="1"/>
    <row r="3245" s="8" customFormat="1"/>
    <row r="3246" s="8" customFormat="1"/>
    <row r="3247" s="8" customFormat="1"/>
    <row r="3248" s="8" customFormat="1"/>
    <row r="3249" s="8" customFormat="1"/>
    <row r="3250" s="8" customFormat="1"/>
    <row r="3251" s="8" customFormat="1"/>
    <row r="3252" s="8" customFormat="1"/>
    <row r="3253" s="8" customFormat="1"/>
    <row r="3254" s="8" customFormat="1"/>
    <row r="3255" s="8" customFormat="1"/>
    <row r="3256" s="8" customFormat="1"/>
    <row r="3257" s="8" customFormat="1"/>
    <row r="3258" s="8" customFormat="1"/>
    <row r="3259" s="8" customFormat="1"/>
    <row r="3260" s="8" customFormat="1"/>
    <row r="3261" s="8" customFormat="1"/>
    <row r="3262" s="8" customFormat="1"/>
    <row r="3263" s="8" customFormat="1"/>
    <row r="3264" s="8" customFormat="1"/>
    <row r="3265" s="8" customFormat="1"/>
    <row r="3266" s="8" customFormat="1"/>
    <row r="3267" s="8" customFormat="1"/>
    <row r="3268" s="8" customFormat="1"/>
    <row r="3269" s="8" customFormat="1"/>
    <row r="3270" s="8" customFormat="1"/>
    <row r="3271" s="8" customFormat="1"/>
    <row r="3272" s="8" customFormat="1"/>
    <row r="3273" s="8" customFormat="1"/>
    <row r="3274" s="8" customFormat="1"/>
    <row r="3275" s="8" customFormat="1"/>
    <row r="3276" s="8" customFormat="1"/>
    <row r="3277" s="8" customFormat="1"/>
    <row r="3278" s="8" customFormat="1"/>
    <row r="3279" s="8" customFormat="1"/>
    <row r="3280" s="8" customFormat="1"/>
    <row r="3281" s="8" customFormat="1"/>
    <row r="3282" s="8" customFormat="1"/>
    <row r="3283" s="8" customFormat="1"/>
    <row r="3284" s="8" customFormat="1"/>
    <row r="3285" s="8" customFormat="1"/>
    <row r="3286" s="8" customFormat="1"/>
    <row r="3287" s="8" customFormat="1"/>
    <row r="3288" s="8" customFormat="1"/>
    <row r="3289" s="8" customFormat="1"/>
    <row r="3290" s="8" customFormat="1"/>
    <row r="3291" s="8" customFormat="1"/>
    <row r="3292" s="8" customFormat="1"/>
    <row r="3293" s="8" customFormat="1"/>
    <row r="3294" s="8" customFormat="1"/>
    <row r="3295" s="8" customFormat="1"/>
    <row r="3296" s="8" customFormat="1"/>
    <row r="3297" s="8" customFormat="1"/>
    <row r="3298" s="8" customFormat="1"/>
    <row r="3299" s="8" customFormat="1"/>
    <row r="3300" s="8" customFormat="1"/>
    <row r="3301" s="8" customFormat="1"/>
    <row r="3302" s="8" customFormat="1"/>
    <row r="3303" s="8" customFormat="1"/>
    <row r="3304" s="8" customFormat="1"/>
    <row r="3305" s="8" customFormat="1"/>
    <row r="3306" s="8" customFormat="1"/>
    <row r="3307" s="8" customFormat="1"/>
    <row r="3308" s="8" customFormat="1"/>
    <row r="3309" s="8" customFormat="1"/>
    <row r="3310" s="8" customFormat="1"/>
    <row r="3311" s="8" customFormat="1"/>
    <row r="3312" s="8" customFormat="1"/>
    <row r="3313" s="8" customFormat="1"/>
    <row r="3314" s="8" customFormat="1"/>
    <row r="3315" s="8" customFormat="1"/>
    <row r="3316" s="8" customFormat="1"/>
    <row r="3317" s="8" customFormat="1"/>
    <row r="3318" s="8" customFormat="1"/>
    <row r="3319" s="8" customFormat="1"/>
    <row r="3320" s="8" customFormat="1"/>
    <row r="3321" s="8" customFormat="1"/>
    <row r="3322" s="8" customFormat="1"/>
    <row r="3323" s="8" customFormat="1"/>
    <row r="3324" s="8" customFormat="1"/>
    <row r="3325" s="8" customFormat="1"/>
    <row r="3326" s="8" customFormat="1"/>
    <row r="3327" s="8" customFormat="1"/>
    <row r="3328" s="8" customFormat="1"/>
    <row r="3329" s="8" customFormat="1"/>
    <row r="3330" s="8" customFormat="1"/>
    <row r="3331" s="8" customFormat="1"/>
    <row r="3332" s="8" customFormat="1"/>
    <row r="3333" s="8" customFormat="1"/>
    <row r="3334" s="8" customFormat="1"/>
    <row r="3335" s="8" customFormat="1"/>
    <row r="3336" s="8" customFormat="1"/>
    <row r="3337" s="8" customFormat="1"/>
    <row r="3338" s="8" customFormat="1"/>
    <row r="3339" s="8" customFormat="1"/>
    <row r="3340" s="8" customFormat="1"/>
    <row r="3341" s="8" customFormat="1"/>
    <row r="3342" s="8" customFormat="1"/>
    <row r="3343" s="8" customFormat="1"/>
    <row r="3344" s="8" customFormat="1"/>
    <row r="3345" s="8" customFormat="1"/>
    <row r="3346" s="8" customFormat="1"/>
    <row r="3347" s="8" customFormat="1"/>
    <row r="3348" s="8" customFormat="1"/>
    <row r="3349" s="8" customFormat="1"/>
    <row r="3350" s="8" customFormat="1"/>
    <row r="3351" s="8" customFormat="1"/>
    <row r="3352" s="8" customFormat="1"/>
    <row r="3353" s="8" customFormat="1"/>
    <row r="3354" s="8" customFormat="1"/>
    <row r="3355" s="8" customFormat="1"/>
    <row r="3356" s="8" customFormat="1"/>
    <row r="3357" s="8" customFormat="1"/>
    <row r="3358" s="8" customFormat="1"/>
    <row r="3359" s="8" customFormat="1"/>
    <row r="3360" s="8" customFormat="1"/>
    <row r="3361" s="8" customFormat="1"/>
    <row r="3362" s="8" customFormat="1"/>
    <row r="3363" s="8" customFormat="1"/>
    <row r="3364" s="8" customFormat="1"/>
    <row r="3365" s="8" customFormat="1"/>
    <row r="3366" s="8" customFormat="1"/>
    <row r="3367" s="8" customFormat="1"/>
    <row r="3368" s="8" customFormat="1"/>
    <row r="3369" s="8" customFormat="1"/>
    <row r="3370" s="8" customFormat="1"/>
    <row r="3371" s="8" customFormat="1"/>
    <row r="3372" s="8" customFormat="1"/>
    <row r="3373" s="8" customFormat="1"/>
    <row r="3374" s="8" customFormat="1"/>
    <row r="3375" s="8" customFormat="1"/>
    <row r="3376" s="8" customFormat="1"/>
    <row r="3377" s="8" customFormat="1"/>
    <row r="3378" s="8" customFormat="1"/>
    <row r="3379" s="8" customFormat="1"/>
    <row r="3380" s="8" customFormat="1"/>
    <row r="3381" s="8" customFormat="1"/>
    <row r="3382" s="8" customFormat="1"/>
    <row r="3383" s="8" customFormat="1"/>
    <row r="3384" s="8" customFormat="1"/>
    <row r="3385" s="8" customFormat="1"/>
    <row r="3386" s="8" customFormat="1"/>
    <row r="3387" s="8" customFormat="1"/>
    <row r="3388" s="8" customFormat="1"/>
    <row r="3389" s="8" customFormat="1"/>
    <row r="3390" s="8" customFormat="1"/>
    <row r="3391" s="8" customFormat="1"/>
    <row r="3392" s="8" customFormat="1"/>
    <row r="3393" s="8" customFormat="1"/>
    <row r="3394" s="8" customFormat="1"/>
    <row r="3395" s="8" customFormat="1"/>
    <row r="3396" s="8" customFormat="1"/>
    <row r="3397" s="8" customFormat="1"/>
    <row r="3398" s="8" customFormat="1"/>
    <row r="3399" s="8" customFormat="1"/>
    <row r="3400" s="8" customFormat="1"/>
    <row r="3401" s="8" customFormat="1"/>
    <row r="3402" s="8" customFormat="1"/>
    <row r="3403" s="8" customFormat="1"/>
    <row r="3404" s="8" customFormat="1"/>
    <row r="3405" s="8" customFormat="1"/>
    <row r="3406" s="8" customFormat="1"/>
    <row r="3407" s="8" customFormat="1"/>
    <row r="3408" s="8" customFormat="1"/>
    <row r="3409" s="8" customFormat="1"/>
    <row r="3410" s="8" customFormat="1"/>
    <row r="3411" s="8" customFormat="1"/>
    <row r="3412" s="8" customFormat="1"/>
    <row r="3413" s="8" customFormat="1"/>
    <row r="3414" s="8" customFormat="1"/>
    <row r="3415" s="8" customFormat="1"/>
    <row r="3416" s="8" customFormat="1"/>
    <row r="3417" s="8" customFormat="1"/>
    <row r="3418" s="8" customFormat="1"/>
    <row r="3419" s="8" customFormat="1"/>
    <row r="3420" s="8" customFormat="1"/>
    <row r="3421" s="8" customFormat="1"/>
    <row r="3422" s="8" customFormat="1"/>
    <row r="3423" s="8" customFormat="1"/>
    <row r="3424" s="8" customFormat="1"/>
    <row r="3425" s="8" customFormat="1"/>
    <row r="3426" s="8" customFormat="1"/>
    <row r="3427" s="8" customFormat="1"/>
    <row r="3428" s="8" customFormat="1"/>
    <row r="3429" s="8" customFormat="1"/>
    <row r="3430" s="8" customFormat="1"/>
    <row r="3431" s="8" customFormat="1"/>
    <row r="3432" s="8" customFormat="1"/>
    <row r="3433" s="8" customFormat="1"/>
    <row r="3434" s="8" customFormat="1"/>
    <row r="3435" s="8" customFormat="1"/>
    <row r="3436" s="8" customFormat="1"/>
    <row r="3437" s="8" customFormat="1"/>
    <row r="3438" s="8" customFormat="1"/>
    <row r="3439" s="8" customFormat="1"/>
    <row r="3440" s="8" customFormat="1"/>
    <row r="3441" s="8" customFormat="1"/>
    <row r="3442" s="8" customFormat="1"/>
    <row r="3443" s="8" customFormat="1"/>
    <row r="3444" s="8" customFormat="1"/>
    <row r="3445" s="8" customFormat="1"/>
    <row r="3446" s="8" customFormat="1"/>
    <row r="3447" s="8" customFormat="1"/>
    <row r="3448" s="8" customFormat="1"/>
    <row r="3449" s="8" customFormat="1"/>
    <row r="3450" s="8" customFormat="1"/>
    <row r="3451" s="8" customFormat="1"/>
    <row r="3452" s="8" customFormat="1"/>
    <row r="3453" s="8" customFormat="1"/>
    <row r="3454" s="8" customFormat="1"/>
    <row r="3455" s="8" customFormat="1"/>
    <row r="3456" s="8" customFormat="1"/>
    <row r="3457" s="8" customFormat="1"/>
    <row r="3458" s="8" customFormat="1"/>
    <row r="3459" s="8" customFormat="1"/>
    <row r="3460" s="8" customFormat="1"/>
    <row r="3461" s="8" customFormat="1"/>
    <row r="3462" s="8" customFormat="1"/>
    <row r="3463" s="8" customFormat="1"/>
    <row r="3464" s="8" customFormat="1"/>
    <row r="3465" s="8" customFormat="1"/>
    <row r="3466" s="8" customFormat="1"/>
    <row r="3467" s="8" customFormat="1"/>
    <row r="3468" s="8" customFormat="1"/>
    <row r="3469" s="8" customFormat="1"/>
    <row r="3470" s="8" customFormat="1"/>
    <row r="3471" s="8" customFormat="1"/>
    <row r="3472" s="8" customFormat="1"/>
    <row r="3473" s="8" customFormat="1"/>
    <row r="3474" s="8" customFormat="1"/>
    <row r="3475" s="8" customFormat="1"/>
    <row r="3476" s="8" customFormat="1"/>
    <row r="3477" s="8" customFormat="1"/>
    <row r="3478" s="8" customFormat="1"/>
    <row r="3479" s="8" customFormat="1"/>
    <row r="3480" s="8" customFormat="1"/>
    <row r="3481" s="8" customFormat="1"/>
    <row r="3482" s="8" customFormat="1"/>
    <row r="3483" s="8" customFormat="1"/>
    <row r="3484" s="8" customFormat="1"/>
    <row r="3485" s="8" customFormat="1"/>
    <row r="3486" s="8" customFormat="1"/>
    <row r="3487" s="8" customFormat="1"/>
    <row r="3488" s="8" customFormat="1"/>
    <row r="3489" s="8" customFormat="1"/>
    <row r="3490" s="8" customFormat="1"/>
    <row r="3491" s="8" customFormat="1"/>
    <row r="3492" s="8" customFormat="1"/>
    <row r="3493" s="8" customFormat="1"/>
    <row r="3494" s="8" customFormat="1"/>
    <row r="3495" s="8" customFormat="1"/>
    <row r="3496" s="8" customFormat="1"/>
    <row r="3497" s="8" customFormat="1"/>
    <row r="3498" s="8" customFormat="1"/>
    <row r="3499" s="8" customFormat="1"/>
    <row r="3500" s="8" customFormat="1"/>
    <row r="3501" s="8" customFormat="1"/>
    <row r="3502" s="8" customFormat="1"/>
    <row r="3503" s="8" customFormat="1"/>
    <row r="3504" s="8" customFormat="1"/>
    <row r="3505" s="8" customFormat="1"/>
    <row r="3506" s="8" customFormat="1"/>
    <row r="3507" s="8" customFormat="1"/>
    <row r="3508" s="8" customFormat="1"/>
    <row r="3509" s="8" customFormat="1"/>
    <row r="3510" s="8" customFormat="1"/>
    <row r="3511" s="8" customFormat="1"/>
    <row r="3512" s="8" customFormat="1"/>
    <row r="3513" s="8" customFormat="1"/>
    <row r="3514" s="8" customFormat="1"/>
    <row r="3515" s="8" customFormat="1"/>
    <row r="3516" s="8" customFormat="1"/>
    <row r="3517" s="8" customFormat="1"/>
    <row r="3518" s="8" customFormat="1"/>
    <row r="3519" s="8" customFormat="1"/>
    <row r="3520" s="8" customFormat="1"/>
    <row r="3521" s="8" customFormat="1"/>
    <row r="3522" s="8" customFormat="1"/>
    <row r="3523" s="8" customFormat="1"/>
    <row r="3524" s="8" customFormat="1"/>
    <row r="3525" s="8" customFormat="1"/>
    <row r="3526" s="8" customFormat="1"/>
    <row r="3527" s="8" customFormat="1"/>
    <row r="3528" s="8" customFormat="1"/>
    <row r="3529" s="8" customFormat="1"/>
    <row r="3530" s="8" customFormat="1"/>
    <row r="3531" s="8" customFormat="1"/>
    <row r="3532" s="8" customFormat="1"/>
    <row r="3533" s="8" customFormat="1"/>
    <row r="3534" s="8" customFormat="1"/>
    <row r="3535" s="8" customFormat="1"/>
    <row r="3536" s="8" customFormat="1"/>
    <row r="3537" s="8" customFormat="1"/>
    <row r="3538" s="8" customFormat="1"/>
    <row r="3539" s="8" customFormat="1"/>
    <row r="3540" s="8" customFormat="1"/>
    <row r="3541" s="8" customFormat="1"/>
    <row r="3542" s="8" customFormat="1"/>
    <row r="3543" s="8" customFormat="1"/>
    <row r="3544" s="8" customFormat="1"/>
    <row r="3545" s="8" customFormat="1"/>
    <row r="3546" s="8" customFormat="1"/>
    <row r="3547" s="8" customFormat="1"/>
    <row r="3548" s="8" customFormat="1"/>
    <row r="3549" s="8" customFormat="1"/>
    <row r="3550" s="8" customFormat="1"/>
    <row r="3551" s="8" customFormat="1"/>
    <row r="3552" s="8" customFormat="1"/>
    <row r="3553" s="8" customFormat="1"/>
    <row r="3554" s="8" customFormat="1"/>
    <row r="3555" s="8" customFormat="1"/>
    <row r="3556" s="8" customFormat="1"/>
    <row r="3557" s="8" customFormat="1"/>
    <row r="3558" s="8" customFormat="1"/>
    <row r="3559" s="8" customFormat="1"/>
    <row r="3560" s="8" customFormat="1"/>
    <row r="3561" s="8" customFormat="1"/>
    <row r="3562" s="8" customFormat="1"/>
    <row r="3563" s="8" customFormat="1"/>
    <row r="3564" s="8" customFormat="1"/>
    <row r="3565" s="8" customFormat="1"/>
    <row r="3566" s="8" customFormat="1"/>
    <row r="3567" s="8" customFormat="1"/>
    <row r="3568" s="8" customFormat="1"/>
    <row r="3569" s="8" customFormat="1"/>
    <row r="3570" s="8" customFormat="1"/>
    <row r="3571" s="8" customFormat="1"/>
    <row r="3572" s="8" customFormat="1"/>
    <row r="3573" s="8" customFormat="1"/>
    <row r="3574" s="8" customFormat="1"/>
    <row r="3575" s="8" customFormat="1"/>
    <row r="3576" s="8" customFormat="1"/>
    <row r="3577" s="8" customFormat="1"/>
    <row r="3578" s="8" customFormat="1"/>
    <row r="3579" s="8" customFormat="1"/>
    <row r="3580" s="8" customFormat="1"/>
    <row r="3581" s="8" customFormat="1"/>
    <row r="3582" s="8" customFormat="1"/>
    <row r="3583" s="8" customFormat="1"/>
    <row r="3584" s="8" customFormat="1"/>
    <row r="3585" s="8" customFormat="1"/>
    <row r="3586" s="8" customFormat="1"/>
    <row r="3587" s="8" customFormat="1"/>
    <row r="3588" s="8" customFormat="1"/>
    <row r="3589" s="8" customFormat="1"/>
    <row r="3590" s="8" customFormat="1"/>
    <row r="3591" s="8" customFormat="1"/>
    <row r="3592" s="8" customFormat="1"/>
    <row r="3593" s="8" customFormat="1"/>
    <row r="3594" s="8" customFormat="1"/>
    <row r="3595" s="8" customFormat="1"/>
    <row r="3596" s="8" customFormat="1"/>
    <row r="3597" s="8" customFormat="1"/>
    <row r="3598" s="8" customFormat="1"/>
    <row r="3599" s="8" customFormat="1"/>
    <row r="3600" s="8" customFormat="1"/>
    <row r="3601" s="8" customFormat="1"/>
    <row r="3602" s="8" customFormat="1"/>
    <row r="3603" s="8" customFormat="1"/>
    <row r="3604" s="8" customFormat="1"/>
    <row r="3605" s="8" customFormat="1"/>
    <row r="3606" s="8" customFormat="1"/>
    <row r="3607" s="8" customFormat="1"/>
    <row r="3608" s="8" customFormat="1"/>
    <row r="3609" s="8" customFormat="1"/>
    <row r="3610" s="8" customFormat="1"/>
    <row r="3611" s="8" customFormat="1"/>
    <row r="3612" s="8" customFormat="1"/>
    <row r="3613" s="8" customFormat="1"/>
    <row r="3614" s="8" customFormat="1"/>
    <row r="3615" s="8" customFormat="1"/>
    <row r="3616" s="8" customFormat="1"/>
    <row r="3617" s="8" customFormat="1"/>
    <row r="3618" s="8" customFormat="1"/>
    <row r="3619" s="8" customFormat="1"/>
    <row r="3620" s="8" customFormat="1"/>
    <row r="3621" s="8" customFormat="1"/>
    <row r="3622" s="8" customFormat="1"/>
    <row r="3623" s="8" customFormat="1"/>
    <row r="3624" s="8" customFormat="1"/>
    <row r="3625" s="8" customFormat="1"/>
    <row r="3626" s="8" customFormat="1"/>
    <row r="3627" s="8" customFormat="1"/>
    <row r="3628" s="8" customFormat="1"/>
    <row r="3629" s="8" customFormat="1"/>
    <row r="3630" s="8" customFormat="1"/>
    <row r="3631" s="8" customFormat="1"/>
    <row r="3632" s="8" customFormat="1"/>
    <row r="3633" s="8" customFormat="1"/>
    <row r="3634" s="8" customFormat="1"/>
    <row r="3635" s="8" customFormat="1"/>
    <row r="3636" s="8" customFormat="1"/>
    <row r="3637" s="8" customFormat="1"/>
    <row r="3638" s="8" customFormat="1"/>
    <row r="3639" s="8" customFormat="1"/>
    <row r="3640" s="8" customFormat="1"/>
    <row r="3641" s="8" customFormat="1"/>
    <row r="3642" s="8" customFormat="1"/>
    <row r="3643" s="8" customFormat="1"/>
    <row r="3644" s="8" customFormat="1"/>
    <row r="3645" s="8" customFormat="1"/>
    <row r="3646" s="8" customFormat="1"/>
    <row r="3647" s="8" customFormat="1"/>
    <row r="3648" s="8" customFormat="1"/>
    <row r="3649" s="8" customFormat="1"/>
    <row r="3650" s="8" customFormat="1"/>
    <row r="3651" s="8" customFormat="1"/>
    <row r="3652" s="8" customFormat="1"/>
    <row r="3653" s="8" customFormat="1"/>
    <row r="3654" s="8" customFormat="1"/>
    <row r="3655" s="8" customFormat="1"/>
    <row r="3656" s="8" customFormat="1"/>
    <row r="3657" s="8" customFormat="1"/>
    <row r="3658" s="8" customFormat="1"/>
    <row r="3659" s="8" customFormat="1"/>
    <row r="3660" s="8" customFormat="1"/>
    <row r="3661" s="8" customFormat="1"/>
    <row r="3662" s="8" customFormat="1"/>
    <row r="3663" s="8" customFormat="1"/>
    <row r="3664" s="8" customFormat="1"/>
    <row r="3665" s="8" customFormat="1"/>
    <row r="3666" s="8" customFormat="1"/>
    <row r="3667" s="8" customFormat="1"/>
    <row r="3668" s="8" customFormat="1"/>
    <row r="3669" s="8" customFormat="1"/>
    <row r="3670" s="8" customFormat="1"/>
    <row r="3671" s="8" customFormat="1"/>
    <row r="3672" s="8" customFormat="1"/>
    <row r="3673" s="8" customFormat="1"/>
    <row r="3674" s="8" customFormat="1"/>
    <row r="3675" s="8" customFormat="1"/>
    <row r="3676" s="8" customFormat="1"/>
    <row r="3677" s="8" customFormat="1"/>
    <row r="3678" s="8" customFormat="1"/>
    <row r="3679" s="8" customFormat="1"/>
    <row r="3680" s="8" customFormat="1"/>
    <row r="3681" s="8" customFormat="1"/>
    <row r="3682" s="8" customFormat="1"/>
    <row r="3683" s="8" customFormat="1"/>
    <row r="3684" s="8" customFormat="1"/>
    <row r="3685" s="8" customFormat="1"/>
    <row r="3686" s="8" customFormat="1"/>
    <row r="3687" s="8" customFormat="1"/>
    <row r="3688" s="8" customFormat="1"/>
    <row r="3689" s="8" customFormat="1"/>
    <row r="3690" s="8" customFormat="1"/>
    <row r="3691" s="8" customFormat="1"/>
    <row r="3692" s="8" customFormat="1"/>
    <row r="3693" s="8" customFormat="1"/>
    <row r="3694" s="8" customFormat="1"/>
    <row r="3695" s="8" customFormat="1"/>
    <row r="3696" s="8" customFormat="1"/>
    <row r="3697" s="8" customFormat="1"/>
    <row r="3698" s="8" customFormat="1"/>
    <row r="3699" s="8" customFormat="1"/>
    <row r="3700" s="8" customFormat="1"/>
    <row r="3701" s="8" customFormat="1"/>
    <row r="3702" s="8" customFormat="1"/>
    <row r="3703" s="8" customFormat="1"/>
    <row r="3704" s="8" customFormat="1"/>
    <row r="3705" s="8" customFormat="1"/>
    <row r="3706" s="8" customFormat="1"/>
    <row r="3707" s="8" customFormat="1"/>
    <row r="3708" s="8" customFormat="1"/>
    <row r="3709" s="8" customFormat="1"/>
    <row r="3710" s="8" customFormat="1"/>
    <row r="3711" s="8" customFormat="1"/>
    <row r="3712" s="8" customFormat="1"/>
    <row r="3713" s="8" customFormat="1"/>
    <row r="3714" s="8" customFormat="1"/>
    <row r="3715" s="8" customFormat="1"/>
    <row r="3716" s="8" customFormat="1"/>
    <row r="3717" s="8" customFormat="1"/>
    <row r="3718" s="8" customFormat="1"/>
    <row r="3719" s="8" customFormat="1"/>
    <row r="3720" s="8" customFormat="1"/>
    <row r="3721" s="8" customFormat="1"/>
    <row r="3722" s="8" customFormat="1"/>
    <row r="3723" s="8" customFormat="1"/>
    <row r="3724" s="8" customFormat="1"/>
    <row r="3725" s="8" customFormat="1"/>
    <row r="3726" s="8" customFormat="1"/>
    <row r="3727" s="8" customFormat="1"/>
    <row r="3728" s="8" customFormat="1"/>
    <row r="3729" s="8" customFormat="1"/>
    <row r="3730" s="8" customFormat="1"/>
    <row r="3731" s="8" customFormat="1"/>
    <row r="3732" s="8" customFormat="1"/>
    <row r="3733" s="8" customFormat="1"/>
    <row r="3734" s="8" customFormat="1"/>
    <row r="3735" s="8" customFormat="1"/>
    <row r="3736" s="8" customFormat="1"/>
    <row r="3737" s="8" customFormat="1"/>
    <row r="3738" s="8" customFormat="1"/>
    <row r="3739" s="8" customFormat="1"/>
    <row r="3740" s="8" customFormat="1"/>
    <row r="3741" s="8" customFormat="1"/>
    <row r="3742" s="8" customFormat="1"/>
    <row r="3743" s="8" customFormat="1"/>
    <row r="3744" s="8" customFormat="1"/>
    <row r="3745" s="8" customFormat="1"/>
    <row r="3746" s="8" customFormat="1"/>
    <row r="3747" s="8" customFormat="1"/>
    <row r="3748" s="8" customFormat="1"/>
    <row r="3749" s="8" customFormat="1"/>
    <row r="3750" s="8" customFormat="1"/>
    <row r="3751" s="8" customFormat="1"/>
    <row r="3752" s="8" customFormat="1"/>
    <row r="3753" s="8" customFormat="1"/>
    <row r="3754" s="8" customFormat="1"/>
    <row r="3755" s="8" customFormat="1"/>
    <row r="3756" s="8" customFormat="1"/>
    <row r="3757" s="8" customFormat="1"/>
    <row r="3758" s="8" customFormat="1"/>
    <row r="3759" s="8" customFormat="1"/>
    <row r="3760" s="8" customFormat="1"/>
    <row r="3761" s="8" customFormat="1"/>
    <row r="3762" s="8" customFormat="1"/>
    <row r="3763" s="8" customFormat="1"/>
    <row r="3764" s="8" customFormat="1"/>
    <row r="3765" s="8" customFormat="1"/>
    <row r="3766" s="8" customFormat="1"/>
    <row r="3767" s="8" customFormat="1"/>
    <row r="3768" s="8" customFormat="1"/>
    <row r="3769" s="8" customFormat="1"/>
    <row r="3770" s="8" customFormat="1"/>
    <row r="3771" s="8" customFormat="1"/>
    <row r="3772" s="8" customFormat="1"/>
    <row r="3773" s="8" customFormat="1"/>
    <row r="3774" s="8" customFormat="1"/>
    <row r="3775" s="8" customFormat="1"/>
    <row r="3776" s="8" customFormat="1"/>
    <row r="3777" s="8" customFormat="1"/>
    <row r="3778" s="8" customFormat="1"/>
    <row r="3779" s="8" customFormat="1"/>
    <row r="3780" s="8" customFormat="1"/>
    <row r="3781" s="8" customFormat="1"/>
    <row r="3782" s="8" customFormat="1"/>
    <row r="3783" s="8" customFormat="1"/>
    <row r="3784" s="8" customFormat="1"/>
    <row r="3785" s="8" customFormat="1"/>
    <row r="3786" s="8" customFormat="1"/>
    <row r="3787" s="8" customFormat="1"/>
    <row r="3788" s="8" customFormat="1"/>
    <row r="3789" s="8" customFormat="1"/>
    <row r="3790" s="8" customFormat="1"/>
    <row r="3791" s="8" customFormat="1"/>
    <row r="3792" s="8" customFormat="1"/>
    <row r="3793" s="8" customFormat="1"/>
    <row r="3794" s="8" customFormat="1"/>
    <row r="3795" s="8" customFormat="1"/>
    <row r="3796" s="8" customFormat="1"/>
    <row r="3797" s="8" customFormat="1"/>
    <row r="3798" s="8" customFormat="1"/>
    <row r="3799" s="8" customFormat="1"/>
    <row r="3800" s="8" customFormat="1"/>
    <row r="3801" s="8" customFormat="1"/>
    <row r="3802" s="8" customFormat="1"/>
    <row r="3803" s="8" customFormat="1"/>
    <row r="3804" s="8" customFormat="1"/>
    <row r="3805" s="8" customFormat="1"/>
    <row r="3806" s="8" customFormat="1"/>
    <row r="3807" s="8" customFormat="1"/>
    <row r="3808" s="8" customFormat="1"/>
    <row r="3809" s="8" customFormat="1"/>
    <row r="3810" s="8" customFormat="1"/>
    <row r="3811" s="8" customFormat="1"/>
    <row r="3812" s="8" customFormat="1"/>
    <row r="3813" s="8" customFormat="1"/>
    <row r="3814" s="8" customFormat="1"/>
    <row r="3815" s="8" customFormat="1"/>
    <row r="3816" s="8" customFormat="1"/>
    <row r="3817" s="8" customFormat="1"/>
    <row r="3818" s="8" customFormat="1"/>
    <row r="3819" s="8" customFormat="1"/>
    <row r="3820" s="8" customFormat="1"/>
    <row r="3821" s="8" customFormat="1"/>
    <row r="3822" s="8" customFormat="1"/>
    <row r="3823" s="8" customFormat="1"/>
    <row r="3824" s="8" customFormat="1"/>
    <row r="3825" s="8" customFormat="1"/>
    <row r="3826" s="8" customFormat="1"/>
    <row r="3827" s="8" customFormat="1"/>
    <row r="3828" s="8" customFormat="1"/>
    <row r="3829" s="8" customFormat="1"/>
    <row r="3830" s="8" customFormat="1"/>
    <row r="3831" s="8" customFormat="1"/>
    <row r="3832" s="8" customFormat="1"/>
    <row r="3833" s="8" customFormat="1"/>
    <row r="3834" s="8" customFormat="1"/>
    <row r="3835" s="8" customFormat="1"/>
    <row r="3836" s="8" customFormat="1"/>
    <row r="3837" s="8" customFormat="1"/>
    <row r="3838" s="8" customFormat="1"/>
    <row r="3839" s="8" customFormat="1"/>
    <row r="3840" s="8" customFormat="1"/>
    <row r="3841" s="8" customFormat="1"/>
    <row r="3842" s="8" customFormat="1"/>
    <row r="3843" s="8" customFormat="1"/>
    <row r="3844" s="8" customFormat="1"/>
    <row r="3845" s="8" customFormat="1"/>
    <row r="3846" s="8" customFormat="1"/>
    <row r="3847" s="8" customFormat="1"/>
    <row r="3848" s="8" customFormat="1"/>
    <row r="3849" s="8" customFormat="1"/>
    <row r="3850" s="8" customFormat="1"/>
    <row r="3851" s="8" customFormat="1"/>
    <row r="3852" s="8" customFormat="1"/>
    <row r="3853" s="8" customFormat="1"/>
    <row r="3854" s="8" customFormat="1"/>
    <row r="3855" s="8" customFormat="1"/>
    <row r="3856" s="8" customFormat="1"/>
    <row r="3857" s="8" customFormat="1"/>
    <row r="3858" s="8" customFormat="1"/>
    <row r="3859" s="8" customFormat="1"/>
    <row r="3860" s="8" customFormat="1"/>
    <row r="3861" s="8" customFormat="1"/>
    <row r="3862" s="8" customFormat="1"/>
    <row r="3863" s="8" customFormat="1"/>
    <row r="3864" s="8" customFormat="1"/>
    <row r="3865" s="8" customFormat="1"/>
    <row r="3866" s="8" customFormat="1"/>
    <row r="3867" s="8" customFormat="1"/>
    <row r="3868" s="8" customFormat="1"/>
    <row r="3869" s="8" customFormat="1"/>
    <row r="3870" s="8" customFormat="1"/>
    <row r="3871" s="8" customFormat="1"/>
    <row r="3872" s="8" customFormat="1"/>
    <row r="3873" s="8" customFormat="1"/>
    <row r="3874" s="8" customFormat="1"/>
    <row r="3875" s="8" customFormat="1"/>
    <row r="3876" s="8" customFormat="1"/>
    <row r="3877" s="8" customFormat="1"/>
    <row r="3878" s="8" customFormat="1"/>
    <row r="3879" s="8" customFormat="1"/>
    <row r="3880" s="8" customFormat="1"/>
    <row r="3881" s="8" customFormat="1"/>
    <row r="3882" s="8" customFormat="1"/>
    <row r="3883" s="8" customFormat="1"/>
    <row r="3884" s="8" customFormat="1"/>
    <row r="3885" s="8" customFormat="1"/>
    <row r="3886" s="8" customFormat="1"/>
    <row r="3887" s="8" customFormat="1"/>
    <row r="3888" s="8" customFormat="1"/>
    <row r="3889" s="8" customFormat="1"/>
    <row r="3890" s="8" customFormat="1"/>
    <row r="3891" s="8" customFormat="1"/>
    <row r="3892" s="8" customFormat="1"/>
    <row r="3893" s="8" customFormat="1"/>
    <row r="3894" s="8" customFormat="1"/>
    <row r="3895" s="8" customFormat="1"/>
    <row r="3896" s="8" customFormat="1"/>
    <row r="3897" s="8" customFormat="1"/>
    <row r="3898" s="8" customFormat="1"/>
    <row r="3899" s="8" customFormat="1"/>
    <row r="3900" s="8" customFormat="1"/>
    <row r="3901" s="8" customFormat="1"/>
    <row r="3902" s="8" customFormat="1"/>
    <row r="3903" s="8" customFormat="1"/>
    <row r="3904" s="8" customFormat="1"/>
    <row r="3905" s="8" customFormat="1"/>
    <row r="3906" s="8" customFormat="1"/>
    <row r="3907" s="8" customFormat="1"/>
    <row r="3908" s="8" customFormat="1"/>
    <row r="3909" s="8" customFormat="1"/>
    <row r="3910" s="8" customFormat="1"/>
    <row r="3911" s="8" customFormat="1"/>
    <row r="3912" s="8" customFormat="1"/>
    <row r="3913" s="8" customFormat="1"/>
    <row r="3914" s="8" customFormat="1"/>
    <row r="3915" s="8" customFormat="1"/>
    <row r="3916" s="8" customFormat="1"/>
    <row r="3917" s="8" customFormat="1"/>
    <row r="3918" s="8" customFormat="1"/>
    <row r="3919" s="8" customFormat="1"/>
    <row r="3920" s="8" customFormat="1"/>
    <row r="3921" s="8" customFormat="1"/>
    <row r="3922" s="8" customFormat="1"/>
    <row r="3923" s="8" customFormat="1"/>
    <row r="3924" s="8" customFormat="1"/>
    <row r="3925" s="8" customFormat="1"/>
    <row r="3926" s="8" customFormat="1"/>
    <row r="3927" s="8" customFormat="1"/>
    <row r="3928" s="8" customFormat="1"/>
    <row r="3929" s="8" customFormat="1"/>
    <row r="3930" s="8" customFormat="1"/>
    <row r="3931" s="8" customFormat="1"/>
    <row r="3932" s="8" customFormat="1"/>
    <row r="3933" s="8" customFormat="1"/>
    <row r="3934" s="8" customFormat="1"/>
    <row r="3935" s="8" customFormat="1"/>
    <row r="3936" s="8" customFormat="1"/>
    <row r="3937" s="8" customFormat="1"/>
    <row r="3938" s="8" customFormat="1"/>
    <row r="3939" s="8" customFormat="1"/>
    <row r="3940" s="8" customFormat="1"/>
    <row r="3941" s="8" customFormat="1"/>
    <row r="3942" s="8" customFormat="1"/>
    <row r="3943" s="8" customFormat="1"/>
    <row r="3944" s="8" customFormat="1"/>
    <row r="3945" s="8" customFormat="1"/>
    <row r="3946" s="8" customFormat="1"/>
    <row r="3947" s="8" customFormat="1"/>
    <row r="3948" s="8" customFormat="1"/>
    <row r="3949" s="8" customFormat="1"/>
    <row r="3950" s="8" customFormat="1"/>
    <row r="3951" s="8" customFormat="1"/>
    <row r="3952" s="8" customFormat="1"/>
    <row r="3953" s="8" customFormat="1"/>
    <row r="3954" s="8" customFormat="1"/>
    <row r="3955" s="8" customFormat="1"/>
    <row r="3956" s="8" customFormat="1"/>
    <row r="3957" s="8" customFormat="1"/>
    <row r="3958" s="8" customFormat="1"/>
    <row r="3959" s="8" customFormat="1"/>
    <row r="3960" s="8" customFormat="1"/>
    <row r="3961" s="8" customFormat="1"/>
    <row r="3962" s="8" customFormat="1"/>
    <row r="3963" s="8" customFormat="1"/>
    <row r="3964" s="8" customFormat="1"/>
    <row r="3965" s="8" customFormat="1"/>
    <row r="3966" s="8" customFormat="1"/>
    <row r="3967" s="8" customFormat="1"/>
    <row r="3968" s="8" customFormat="1"/>
    <row r="3969" s="8" customFormat="1"/>
    <row r="3970" s="8" customFormat="1"/>
    <row r="3971" s="8" customFormat="1"/>
    <row r="3972" s="8" customFormat="1"/>
    <row r="3973" s="8" customFormat="1"/>
    <row r="3974" s="8" customFormat="1"/>
    <row r="3975" s="8" customFormat="1"/>
    <row r="3976" s="8" customFormat="1"/>
    <row r="3977" s="8" customFormat="1"/>
    <row r="3978" s="8" customFormat="1"/>
    <row r="3979" s="8" customFormat="1"/>
    <row r="3980" s="8" customFormat="1"/>
    <row r="3981" s="8" customFormat="1"/>
    <row r="3982" s="8" customFormat="1"/>
    <row r="3983" s="8" customFormat="1"/>
    <row r="3984" s="8" customFormat="1"/>
    <row r="3985" s="8" customFormat="1"/>
    <row r="3986" s="8" customFormat="1"/>
    <row r="3987" s="8" customFormat="1"/>
    <row r="3988" s="8" customFormat="1"/>
    <row r="3989" s="8" customFormat="1"/>
    <row r="3990" s="8" customFormat="1"/>
    <row r="3991" s="8" customFormat="1"/>
    <row r="3992" s="8" customFormat="1"/>
    <row r="3993" s="8" customFormat="1"/>
    <row r="3994" s="8" customFormat="1"/>
    <row r="3995" s="8" customFormat="1"/>
    <row r="3996" s="8" customFormat="1"/>
    <row r="3997" s="8" customFormat="1"/>
    <row r="3998" s="8" customFormat="1"/>
    <row r="3999" s="8" customFormat="1"/>
    <row r="4000" s="8" customFormat="1"/>
    <row r="4001" s="8" customFormat="1"/>
    <row r="4002" s="8" customFormat="1"/>
    <row r="4003" s="8" customFormat="1"/>
    <row r="4004" s="8" customFormat="1"/>
    <row r="4005" s="8" customFormat="1"/>
    <row r="4006" s="8" customFormat="1"/>
    <row r="4007" s="8" customFormat="1"/>
    <row r="4008" s="8" customFormat="1"/>
    <row r="4009" s="8" customFormat="1"/>
    <row r="4010" s="8" customFormat="1"/>
    <row r="4011" s="8" customFormat="1"/>
    <row r="4012" s="8" customFormat="1"/>
    <row r="4013" s="8" customFormat="1"/>
    <row r="4014" s="8" customFormat="1"/>
    <row r="4015" s="8" customFormat="1"/>
    <row r="4016" s="8" customFormat="1"/>
    <row r="4017" s="8" customFormat="1"/>
    <row r="4018" s="8" customFormat="1"/>
    <row r="4019" s="8" customFormat="1"/>
    <row r="4020" s="8" customFormat="1"/>
    <row r="4021" s="8" customFormat="1"/>
    <row r="4022" s="8" customFormat="1"/>
    <row r="4023" s="8" customFormat="1"/>
    <row r="4024" s="8" customFormat="1"/>
    <row r="4025" s="8" customFormat="1"/>
    <row r="4026" s="8" customFormat="1"/>
    <row r="4027" s="8" customFormat="1"/>
    <row r="4028" s="8" customFormat="1"/>
    <row r="4029" s="8" customFormat="1"/>
    <row r="4030" s="8" customFormat="1"/>
    <row r="4031" s="8" customFormat="1"/>
    <row r="4032" s="8" customFormat="1"/>
    <row r="4033" s="8" customFormat="1"/>
    <row r="4034" s="8" customFormat="1"/>
    <row r="4035" s="8" customFormat="1"/>
    <row r="4036" s="8" customFormat="1"/>
    <row r="4037" s="8" customFormat="1"/>
    <row r="4038" s="8" customFormat="1"/>
    <row r="4039" s="8" customFormat="1"/>
    <row r="4040" s="8" customFormat="1"/>
    <row r="4041" s="8" customFormat="1"/>
    <row r="4042" s="8" customFormat="1"/>
    <row r="4043" s="8" customFormat="1"/>
    <row r="4044" s="8" customFormat="1"/>
    <row r="4045" s="8" customFormat="1"/>
    <row r="4046" s="8" customFormat="1"/>
    <row r="4047" s="8" customFormat="1"/>
    <row r="4048" s="8" customFormat="1"/>
    <row r="4049" s="8" customFormat="1"/>
    <row r="4050" s="8" customFormat="1"/>
    <row r="4051" s="8" customFormat="1"/>
    <row r="4052" s="8" customFormat="1"/>
    <row r="4053" s="8" customFormat="1"/>
    <row r="4054" s="8" customFormat="1"/>
    <row r="4055" s="8" customFormat="1"/>
    <row r="4056" s="8" customFormat="1"/>
    <row r="4057" s="8" customFormat="1"/>
    <row r="4058" s="8" customFormat="1"/>
    <row r="4059" s="8" customFormat="1"/>
    <row r="4060" s="8" customFormat="1"/>
    <row r="4061" s="8" customFormat="1"/>
    <row r="4062" s="8" customFormat="1"/>
    <row r="4063" s="8" customFormat="1"/>
    <row r="4064" s="8" customFormat="1"/>
    <row r="4065" s="8" customFormat="1"/>
    <row r="4066" s="8" customFormat="1"/>
    <row r="4067" s="8" customFormat="1"/>
    <row r="4068" s="8" customFormat="1"/>
    <row r="4069" s="8" customFormat="1"/>
    <row r="4070" s="8" customFormat="1"/>
    <row r="4071" s="8" customFormat="1"/>
    <row r="4072" s="8" customFormat="1"/>
    <row r="4073" s="8" customFormat="1"/>
    <row r="4074" s="8" customFormat="1"/>
    <row r="4075" s="8" customFormat="1"/>
    <row r="4076" s="8" customFormat="1"/>
    <row r="4077" s="8" customFormat="1"/>
    <row r="4078" s="8" customFormat="1"/>
    <row r="4079" s="8" customFormat="1"/>
    <row r="4080" s="8" customFormat="1"/>
    <row r="4081" s="8" customFormat="1"/>
    <row r="4082" s="8" customFormat="1"/>
    <row r="4083" s="8" customFormat="1"/>
    <row r="4084" s="8" customFormat="1"/>
    <row r="4085" s="8" customFormat="1"/>
    <row r="4086" s="8" customFormat="1"/>
    <row r="4087" s="8" customFormat="1"/>
    <row r="4088" s="8" customFormat="1"/>
    <row r="4089" s="8" customFormat="1"/>
    <row r="4090" s="8" customFormat="1"/>
    <row r="4091" s="8" customFormat="1"/>
    <row r="4092" s="8" customFormat="1"/>
    <row r="4093" s="8" customFormat="1"/>
    <row r="4094" s="8" customFormat="1"/>
    <row r="4095" s="8" customFormat="1"/>
    <row r="4096" s="8" customFormat="1"/>
    <row r="4097" s="8" customFormat="1"/>
    <row r="4098" s="8" customFormat="1"/>
    <row r="4099" s="8" customFormat="1"/>
    <row r="4100" s="8" customFormat="1"/>
    <row r="4101" s="8" customFormat="1"/>
    <row r="4102" s="8" customFormat="1"/>
    <row r="4103" s="8" customFormat="1"/>
    <row r="4104" s="8" customFormat="1"/>
    <row r="4105" s="8" customFormat="1"/>
    <row r="4106" s="8" customFormat="1"/>
    <row r="4107" s="8" customFormat="1"/>
    <row r="4108" s="8" customFormat="1"/>
    <row r="4109" s="8" customFormat="1"/>
    <row r="4110" s="8" customFormat="1"/>
    <row r="4111" s="8" customFormat="1"/>
    <row r="4112" s="8" customFormat="1"/>
    <row r="4113" s="8" customFormat="1"/>
    <row r="4114" s="8" customFormat="1"/>
    <row r="4115" s="8" customFormat="1"/>
    <row r="4116" s="8" customFormat="1"/>
    <row r="4117" s="8" customFormat="1"/>
    <row r="4118" s="8" customFormat="1"/>
    <row r="4119" s="8" customFormat="1"/>
    <row r="4120" s="8" customFormat="1"/>
    <row r="4121" s="8" customFormat="1"/>
    <row r="4122" s="8" customFormat="1"/>
    <row r="4123" s="8" customFormat="1"/>
    <row r="4124" s="8" customFormat="1"/>
    <row r="4125" s="8" customFormat="1"/>
    <row r="4126" s="8" customFormat="1"/>
    <row r="4127" s="8" customFormat="1"/>
    <row r="4128" s="8" customFormat="1"/>
    <row r="4129" s="8" customFormat="1"/>
    <row r="4130" s="8" customFormat="1"/>
    <row r="4131" s="8" customFormat="1"/>
    <row r="4132" s="8" customFormat="1"/>
    <row r="4133" s="8" customFormat="1"/>
    <row r="4134" s="8" customFormat="1"/>
    <row r="4135" s="8" customFormat="1"/>
    <row r="4136" s="8" customFormat="1"/>
    <row r="4137" s="8" customFormat="1"/>
    <row r="4138" s="8" customFormat="1"/>
    <row r="4139" s="8" customFormat="1"/>
    <row r="4140" s="8" customFormat="1"/>
    <row r="4141" s="8" customFormat="1"/>
    <row r="4142" s="8" customFormat="1"/>
    <row r="4143" s="8" customFormat="1"/>
    <row r="4144" s="8" customFormat="1"/>
    <row r="4145" s="8" customFormat="1"/>
    <row r="4146" s="8" customFormat="1"/>
    <row r="4147" s="8" customFormat="1"/>
    <row r="4148" s="8" customFormat="1"/>
    <row r="4149" s="8" customFormat="1"/>
    <row r="4150" s="8" customFormat="1"/>
    <row r="4151" s="8" customFormat="1"/>
    <row r="4152" s="8" customFormat="1"/>
    <row r="4153" s="8" customFormat="1"/>
    <row r="4154" s="8" customFormat="1"/>
    <row r="4155" s="8" customFormat="1"/>
    <row r="4156" s="8" customFormat="1"/>
    <row r="4157" s="8" customFormat="1"/>
    <row r="4158" s="8" customFormat="1"/>
    <row r="4159" s="8" customFormat="1"/>
    <row r="4160" s="8" customFormat="1"/>
    <row r="4161" s="8" customFormat="1"/>
    <row r="4162" s="8" customFormat="1"/>
    <row r="4163" s="8" customFormat="1"/>
    <row r="4164" s="8" customFormat="1"/>
    <row r="4165" s="8" customFormat="1"/>
    <row r="4166" s="8" customFormat="1"/>
    <row r="4167" s="8" customFormat="1"/>
    <row r="4168" s="8" customFormat="1"/>
    <row r="4169" s="8" customFormat="1"/>
    <row r="4170" s="8" customFormat="1"/>
    <row r="4171" s="8" customFormat="1"/>
    <row r="4172" s="8" customFormat="1"/>
    <row r="4173" s="8" customFormat="1"/>
    <row r="4174" s="8" customFormat="1"/>
    <row r="4175" s="8" customFormat="1"/>
    <row r="4176" s="8" customFormat="1"/>
    <row r="4177" s="8" customFormat="1"/>
    <row r="4178" s="8" customFormat="1"/>
    <row r="4179" s="8" customFormat="1"/>
    <row r="4180" s="8" customFormat="1"/>
    <row r="4181" s="8" customFormat="1"/>
    <row r="4182" s="8" customFormat="1"/>
    <row r="4183" s="8" customFormat="1"/>
    <row r="4184" s="8" customFormat="1"/>
    <row r="4185" s="8" customFormat="1"/>
    <row r="4186" s="8" customFormat="1"/>
    <row r="4187" s="8" customFormat="1"/>
    <row r="4188" s="8" customFormat="1"/>
    <row r="4189" s="8" customFormat="1"/>
    <row r="4190" s="8" customFormat="1"/>
    <row r="4191" s="8" customFormat="1"/>
    <row r="4192" s="8" customFormat="1"/>
    <row r="4193" s="8" customFormat="1"/>
    <row r="4194" s="8" customFormat="1"/>
    <row r="4195" s="8" customFormat="1"/>
    <row r="4196" s="8" customFormat="1"/>
    <row r="4197" s="8" customFormat="1"/>
    <row r="4198" s="8" customFormat="1"/>
    <row r="4199" s="8" customFormat="1"/>
    <row r="4200" s="8" customFormat="1"/>
    <row r="4201" s="8" customFormat="1"/>
    <row r="4202" s="8" customFormat="1"/>
    <row r="4203" s="8" customFormat="1"/>
    <row r="4204" s="8" customFormat="1"/>
    <row r="4205" s="8" customFormat="1"/>
    <row r="4206" s="8" customFormat="1"/>
    <row r="4207" s="8" customFormat="1"/>
    <row r="4208" s="8" customFormat="1"/>
    <row r="4209" s="8" customFormat="1"/>
    <row r="4210" s="8" customFormat="1"/>
    <row r="4211" s="8" customFormat="1"/>
    <row r="4212" s="8" customFormat="1"/>
    <row r="4213" s="8" customFormat="1"/>
    <row r="4214" s="8" customFormat="1"/>
    <row r="4215" s="8" customFormat="1"/>
    <row r="4216" s="8" customFormat="1"/>
    <row r="4217" s="8" customFormat="1"/>
    <row r="4218" s="8" customFormat="1"/>
    <row r="4219" s="8" customFormat="1"/>
    <row r="4220" s="8" customFormat="1"/>
    <row r="4221" s="8" customFormat="1"/>
    <row r="4222" s="8" customFormat="1"/>
    <row r="4223" s="8" customFormat="1"/>
    <row r="4224" s="8" customFormat="1"/>
    <row r="4225" s="8" customFormat="1"/>
    <row r="4226" s="8" customFormat="1"/>
    <row r="4227" s="8" customFormat="1"/>
    <row r="4228" s="8" customFormat="1"/>
    <row r="4229" s="8" customFormat="1"/>
    <row r="4230" s="8" customFormat="1"/>
    <row r="4231" s="8" customFormat="1"/>
    <row r="4232" s="8" customFormat="1"/>
    <row r="4233" s="8" customFormat="1"/>
    <row r="4234" s="8" customFormat="1"/>
    <row r="4235" s="8" customFormat="1"/>
    <row r="4236" s="8" customFormat="1"/>
    <row r="4237" s="8" customFormat="1"/>
    <row r="4238" s="8" customFormat="1"/>
    <row r="4239" s="8" customFormat="1"/>
    <row r="4240" s="8" customFormat="1"/>
    <row r="4241" s="8" customFormat="1"/>
    <row r="4242" s="8" customFormat="1"/>
    <row r="4243" s="8" customFormat="1"/>
    <row r="4244" s="8" customFormat="1"/>
    <row r="4245" s="8" customFormat="1"/>
    <row r="4246" s="8" customFormat="1"/>
    <row r="4247" s="8" customFormat="1"/>
    <row r="4248" s="8" customFormat="1"/>
    <row r="4249" s="8" customFormat="1"/>
    <row r="4250" s="8" customFormat="1"/>
    <row r="4251" s="8" customFormat="1"/>
    <row r="4252" s="8" customFormat="1"/>
    <row r="4253" s="8" customFormat="1"/>
    <row r="4254" s="8" customFormat="1"/>
    <row r="4255" s="8" customFormat="1"/>
    <row r="4256" s="8" customFormat="1"/>
    <row r="4257" s="8" customFormat="1"/>
    <row r="4258" s="8" customFormat="1"/>
    <row r="4259" s="8" customFormat="1"/>
    <row r="4260" s="8" customFormat="1"/>
    <row r="4261" s="8" customFormat="1"/>
    <row r="4262" s="8" customFormat="1"/>
    <row r="4263" s="8" customFormat="1"/>
    <row r="4264" s="8" customFormat="1"/>
    <row r="4265" s="8" customFormat="1"/>
    <row r="4266" s="8" customFormat="1"/>
    <row r="4267" s="8" customFormat="1"/>
    <row r="4268" s="8" customFormat="1"/>
    <row r="4269" s="8" customFormat="1"/>
    <row r="4270" s="8" customFormat="1"/>
    <row r="4271" s="8" customFormat="1"/>
    <row r="4272" s="8" customFormat="1"/>
    <row r="4273" s="8" customFormat="1"/>
    <row r="4274" s="8" customFormat="1"/>
    <row r="4275" s="8" customFormat="1"/>
    <row r="4276" s="8" customFormat="1"/>
    <row r="4277" s="8" customFormat="1"/>
    <row r="4278" s="8" customFormat="1"/>
    <row r="4279" s="8" customFormat="1"/>
    <row r="4280" s="8" customFormat="1"/>
    <row r="4281" s="8" customFormat="1"/>
    <row r="4282" s="8" customFormat="1"/>
    <row r="4283" s="8" customFormat="1"/>
    <row r="4284" s="8" customFormat="1"/>
    <row r="4285" s="8" customFormat="1"/>
    <row r="4286" s="8" customFormat="1"/>
    <row r="4287" s="8" customFormat="1"/>
    <row r="4288" s="8" customFormat="1"/>
    <row r="4289" s="8" customFormat="1"/>
    <row r="4290" s="8" customFormat="1"/>
    <row r="4291" s="8" customFormat="1"/>
    <row r="4292" s="8" customFormat="1"/>
    <row r="4293" s="8" customFormat="1"/>
    <row r="4294" s="8" customFormat="1"/>
    <row r="4295" s="8" customFormat="1"/>
    <row r="4296" s="8" customFormat="1"/>
    <row r="4297" s="8" customFormat="1"/>
    <row r="4298" s="8" customFormat="1"/>
    <row r="4299" s="8" customFormat="1"/>
    <row r="4300" s="8" customFormat="1"/>
    <row r="4301" s="8" customFormat="1"/>
    <row r="4302" s="8" customFormat="1"/>
    <row r="4303" s="8" customFormat="1"/>
    <row r="4304" s="8" customFormat="1"/>
    <row r="4305" s="8" customFormat="1"/>
    <row r="4306" s="8" customFormat="1"/>
    <row r="4307" s="8" customFormat="1"/>
    <row r="4308" s="8" customFormat="1"/>
    <row r="4309" s="8" customFormat="1"/>
    <row r="4310" s="8" customFormat="1"/>
    <row r="4311" s="8" customFormat="1"/>
    <row r="4312" s="8" customFormat="1"/>
    <row r="4313" s="8" customFormat="1"/>
    <row r="4314" s="8" customFormat="1"/>
    <row r="4315" s="8" customFormat="1"/>
    <row r="4316" s="8" customFormat="1"/>
    <row r="4317" s="8" customFormat="1"/>
    <row r="4318" s="8" customFormat="1"/>
    <row r="4319" s="8" customFormat="1"/>
    <row r="4320" s="8" customFormat="1"/>
    <row r="4321" s="8" customFormat="1"/>
    <row r="4322" s="8" customFormat="1"/>
    <row r="4323" s="8" customFormat="1"/>
    <row r="4324" s="8" customFormat="1"/>
    <row r="4325" s="8" customFormat="1"/>
    <row r="4326" s="8" customFormat="1"/>
    <row r="4327" s="8" customFormat="1"/>
    <row r="4328" s="8" customFormat="1"/>
    <row r="4329" s="8" customFormat="1"/>
    <row r="4330" s="8" customFormat="1"/>
    <row r="4331" s="8" customFormat="1"/>
    <row r="4332" s="8" customFormat="1"/>
    <row r="4333" s="8" customFormat="1"/>
    <row r="4334" s="8" customFormat="1"/>
    <row r="4335" s="8" customFormat="1"/>
    <row r="4336" s="8" customFormat="1"/>
    <row r="4337" s="8" customFormat="1"/>
    <row r="4338" s="8" customFormat="1"/>
    <row r="4339" s="8" customFormat="1"/>
    <row r="4340" s="8" customFormat="1"/>
    <row r="4341" s="8" customFormat="1"/>
    <row r="4342" s="8" customFormat="1"/>
    <row r="4343" s="8" customFormat="1"/>
    <row r="4344" s="8" customFormat="1"/>
    <row r="4345" s="8" customFormat="1"/>
    <row r="4346" s="8" customFormat="1"/>
    <row r="4347" s="8" customFormat="1"/>
    <row r="4348" s="8" customFormat="1"/>
    <row r="4349" s="8" customFormat="1"/>
    <row r="4350" s="8" customFormat="1"/>
    <row r="4351" s="8" customFormat="1"/>
    <row r="4352" s="8" customFormat="1"/>
    <row r="4353" s="8" customFormat="1"/>
    <row r="4354" s="8" customFormat="1"/>
    <row r="4355" s="8" customFormat="1"/>
    <row r="4356" s="8" customFormat="1"/>
    <row r="4357" s="8" customFormat="1"/>
    <row r="4358" s="8" customFormat="1"/>
    <row r="4359" s="8" customFormat="1"/>
    <row r="4360" s="8" customFormat="1"/>
    <row r="4361" s="8" customFormat="1"/>
    <row r="4362" s="8" customFormat="1"/>
    <row r="4363" s="8" customFormat="1"/>
    <row r="4364" s="8" customFormat="1"/>
    <row r="4365" s="8" customFormat="1"/>
    <row r="4366" s="8" customFormat="1"/>
    <row r="4367" s="8" customFormat="1"/>
    <row r="4368" s="8" customFormat="1"/>
    <row r="4369" s="8" customFormat="1"/>
    <row r="4370" s="8" customFormat="1"/>
    <row r="4371" s="8" customFormat="1"/>
    <row r="4372" s="8" customFormat="1"/>
    <row r="4373" s="8" customFormat="1"/>
    <row r="4374" s="8" customFormat="1"/>
    <row r="4375" s="8" customFormat="1"/>
    <row r="4376" s="8" customFormat="1"/>
    <row r="4377" s="8" customFormat="1"/>
    <row r="4378" s="8" customFormat="1"/>
    <row r="4379" s="8" customFormat="1"/>
    <row r="4380" s="8" customFormat="1"/>
    <row r="4381" s="8" customFormat="1"/>
    <row r="4382" s="8" customFormat="1"/>
    <row r="4383" s="8" customFormat="1"/>
    <row r="4384" s="8" customFormat="1"/>
    <row r="4385" s="8" customFormat="1"/>
    <row r="4386" s="8" customFormat="1"/>
    <row r="4387" s="8" customFormat="1"/>
    <row r="4388" s="8" customFormat="1"/>
    <row r="4389" s="8" customFormat="1"/>
    <row r="4390" s="8" customFormat="1"/>
    <row r="4391" s="8" customFormat="1"/>
    <row r="4392" s="8" customFormat="1"/>
    <row r="4393" s="8" customFormat="1"/>
    <row r="4394" s="8" customFormat="1"/>
    <row r="4395" s="8" customFormat="1"/>
    <row r="4396" s="8" customFormat="1"/>
    <row r="4397" s="8" customFormat="1"/>
    <row r="4398" s="8" customFormat="1"/>
    <row r="4399" s="8" customFormat="1"/>
    <row r="4400" s="8" customFormat="1"/>
    <row r="4401" s="8" customFormat="1"/>
    <row r="4402" s="8" customFormat="1"/>
    <row r="4403" s="8" customFormat="1"/>
    <row r="4404" s="8" customFormat="1"/>
    <row r="4405" s="8" customFormat="1"/>
    <row r="4406" s="8" customFormat="1"/>
    <row r="4407" s="8" customFormat="1"/>
    <row r="4408" s="8" customFormat="1"/>
    <row r="4409" s="8" customFormat="1"/>
    <row r="4410" s="8" customFormat="1"/>
    <row r="4411" s="8" customFormat="1"/>
    <row r="4412" s="8" customFormat="1"/>
    <row r="4413" s="8" customFormat="1"/>
    <row r="4414" s="8" customFormat="1"/>
    <row r="4415" s="8" customFormat="1"/>
    <row r="4416" s="8" customFormat="1"/>
    <row r="4417" s="8" customFormat="1"/>
    <row r="4418" s="8" customFormat="1"/>
    <row r="4419" s="8" customFormat="1"/>
    <row r="4420" s="8" customFormat="1"/>
    <row r="4421" s="8" customFormat="1"/>
    <row r="4422" s="8" customFormat="1"/>
    <row r="4423" s="8" customFormat="1"/>
    <row r="4424" s="8" customFormat="1"/>
    <row r="4425" s="8" customFormat="1"/>
    <row r="4426" s="8" customFormat="1"/>
    <row r="4427" s="8" customFormat="1"/>
    <row r="4428" s="8" customFormat="1"/>
    <row r="4429" s="8" customFormat="1"/>
    <row r="4430" s="8" customFormat="1"/>
    <row r="4431" s="8" customFormat="1"/>
    <row r="4432" s="8" customFormat="1"/>
    <row r="4433" s="8" customFormat="1"/>
    <row r="4434" s="8" customFormat="1"/>
    <row r="4435" s="8" customFormat="1"/>
    <row r="4436" s="8" customFormat="1"/>
    <row r="4437" s="8" customFormat="1"/>
    <row r="4438" s="8" customFormat="1"/>
    <row r="4439" s="8" customFormat="1"/>
    <row r="4440" s="8" customFormat="1"/>
    <row r="4441" s="8" customFormat="1"/>
    <row r="4442" s="8" customFormat="1"/>
    <row r="4443" s="8" customFormat="1"/>
    <row r="4444" s="8" customFormat="1"/>
    <row r="4445" s="8" customFormat="1"/>
    <row r="4446" s="8" customFormat="1"/>
    <row r="4447" s="8" customFormat="1"/>
    <row r="4448" s="8" customFormat="1"/>
    <row r="4449" s="8" customFormat="1"/>
    <row r="4450" s="8" customFormat="1"/>
    <row r="4451" s="8" customFormat="1"/>
    <row r="4452" s="8" customFormat="1"/>
    <row r="4453" s="8" customFormat="1"/>
    <row r="4454" s="8" customFormat="1"/>
    <row r="4455" s="8" customFormat="1"/>
    <row r="4456" s="8" customFormat="1"/>
    <row r="4457" s="8" customFormat="1"/>
    <row r="4458" s="8" customFormat="1"/>
    <row r="4459" s="8" customFormat="1"/>
    <row r="4460" s="8" customFormat="1"/>
    <row r="4461" s="8" customFormat="1"/>
    <row r="4462" s="8" customFormat="1"/>
    <row r="4463" s="8" customFormat="1"/>
    <row r="4464" s="8" customFormat="1"/>
    <row r="4465" s="8" customFormat="1"/>
    <row r="4466" s="8" customFormat="1"/>
    <row r="4467" s="8" customFormat="1"/>
    <row r="4468" s="8" customFormat="1"/>
    <row r="4469" s="8" customFormat="1"/>
    <row r="4470" s="8" customFormat="1"/>
    <row r="4471" s="8" customFormat="1"/>
    <row r="4472" s="8" customFormat="1"/>
    <row r="4473" s="8" customFormat="1"/>
    <row r="4474" s="8" customFormat="1"/>
    <row r="4475" s="8" customFormat="1"/>
    <row r="4476" s="8" customFormat="1"/>
    <row r="4477" s="8" customFormat="1"/>
    <row r="4478" s="8" customFormat="1"/>
    <row r="4479" s="8" customFormat="1"/>
    <row r="4480" s="8" customFormat="1"/>
    <row r="4481" s="8" customFormat="1"/>
    <row r="4482" s="8" customFormat="1"/>
    <row r="4483" s="8" customFormat="1"/>
    <row r="4484" s="8" customFormat="1"/>
    <row r="4485" s="8" customFormat="1"/>
    <row r="4486" s="8" customFormat="1"/>
    <row r="4487" s="8" customFormat="1"/>
    <row r="4488" s="8" customFormat="1"/>
    <row r="4489" s="8" customFormat="1"/>
    <row r="4490" s="8" customFormat="1"/>
    <row r="4491" s="8" customFormat="1"/>
    <row r="4492" s="8" customFormat="1"/>
    <row r="4493" s="8" customFormat="1"/>
    <row r="4494" s="8" customFormat="1"/>
    <row r="4495" s="8" customFormat="1"/>
    <row r="4496" s="8" customFormat="1"/>
    <row r="4497" s="8" customFormat="1"/>
    <row r="4498" s="8" customFormat="1"/>
    <row r="4499" s="8" customFormat="1"/>
    <row r="4500" s="8" customFormat="1"/>
    <row r="4501" s="8" customFormat="1"/>
    <row r="4502" s="8" customFormat="1"/>
    <row r="4503" s="8" customFormat="1"/>
    <row r="4504" s="8" customFormat="1"/>
    <row r="4505" s="8" customFormat="1"/>
    <row r="4506" s="8" customFormat="1"/>
    <row r="4507" s="8" customFormat="1"/>
    <row r="4508" s="8" customFormat="1"/>
    <row r="4509" s="8" customFormat="1"/>
    <row r="4510" s="8" customFormat="1"/>
    <row r="4511" s="8" customFormat="1"/>
    <row r="4512" s="8" customFormat="1"/>
    <row r="4513" s="8" customFormat="1"/>
    <row r="4514" s="8" customFormat="1"/>
    <row r="4515" s="8" customFormat="1"/>
    <row r="4516" s="8" customFormat="1"/>
    <row r="4517" s="8" customFormat="1"/>
    <row r="4518" s="8" customFormat="1"/>
    <row r="4519" s="8" customFormat="1"/>
    <row r="4520" s="8" customFormat="1"/>
    <row r="4521" s="8" customFormat="1"/>
    <row r="4522" s="8" customFormat="1"/>
    <row r="4523" s="8" customFormat="1"/>
    <row r="4524" s="8" customFormat="1"/>
    <row r="4525" s="8" customFormat="1"/>
    <row r="4526" s="8" customFormat="1"/>
    <row r="4527" s="8" customFormat="1"/>
    <row r="4528" s="8" customFormat="1"/>
    <row r="4529" s="8" customFormat="1"/>
    <row r="4530" s="8" customFormat="1"/>
    <row r="4531" s="8" customFormat="1"/>
    <row r="4532" s="8" customFormat="1"/>
    <row r="4533" s="8" customFormat="1"/>
    <row r="4534" s="8" customFormat="1"/>
    <row r="4535" s="8" customFormat="1"/>
    <row r="4536" s="8" customFormat="1"/>
    <row r="4537" s="8" customFormat="1"/>
    <row r="4538" s="8" customFormat="1"/>
    <row r="4539" s="8" customFormat="1"/>
    <row r="4540" s="8" customFormat="1"/>
    <row r="4541" s="8" customFormat="1"/>
    <row r="4542" s="8" customFormat="1"/>
    <row r="4543" s="8" customFormat="1"/>
    <row r="4544" s="8" customFormat="1"/>
    <row r="4545" s="8" customFormat="1"/>
    <row r="4546" s="8" customFormat="1"/>
    <row r="4547" s="8" customFormat="1"/>
    <row r="4548" s="8" customFormat="1"/>
    <row r="4549" s="8" customFormat="1"/>
    <row r="4550" s="8" customFormat="1"/>
    <row r="4551" s="8" customFormat="1"/>
    <row r="4552" s="8" customFormat="1"/>
    <row r="4553" s="8" customFormat="1"/>
    <row r="4554" s="8" customFormat="1"/>
    <row r="4555" s="8" customFormat="1"/>
    <row r="4556" s="8" customFormat="1"/>
    <row r="4557" s="8" customFormat="1"/>
    <row r="4558" s="8" customFormat="1"/>
    <row r="4559" s="8" customFormat="1"/>
    <row r="4560" s="8" customFormat="1"/>
    <row r="4561" s="8" customFormat="1"/>
    <row r="4562" s="8" customFormat="1"/>
    <row r="4563" s="8" customFormat="1"/>
    <row r="4564" s="8" customFormat="1"/>
    <row r="4565" s="8" customFormat="1"/>
    <row r="4566" s="8" customFormat="1"/>
    <row r="4567" s="8" customFormat="1"/>
    <row r="4568" s="8" customFormat="1"/>
    <row r="4569" s="8" customFormat="1"/>
    <row r="4570" s="8" customFormat="1"/>
    <row r="4571" s="8" customFormat="1"/>
    <row r="4572" s="8" customFormat="1"/>
    <row r="4573" s="8" customFormat="1"/>
    <row r="4574" s="8" customFormat="1"/>
    <row r="4575" s="8" customFormat="1"/>
    <row r="4576" s="8" customFormat="1"/>
    <row r="4577" s="8" customFormat="1"/>
    <row r="4578" s="8" customFormat="1"/>
    <row r="4579" s="8" customFormat="1"/>
    <row r="4580" s="8" customFormat="1"/>
    <row r="4581" s="8" customFormat="1"/>
    <row r="4582" s="8" customFormat="1"/>
    <row r="4583" s="8" customFormat="1"/>
    <row r="4584" s="8" customFormat="1"/>
    <row r="4585" s="8" customFormat="1"/>
    <row r="4586" s="8" customFormat="1"/>
    <row r="4587" s="8" customFormat="1"/>
    <row r="4588" s="8" customFormat="1"/>
    <row r="4589" s="8" customFormat="1"/>
    <row r="4590" s="8" customFormat="1"/>
    <row r="4591" s="8" customFormat="1"/>
    <row r="4592" s="8" customFormat="1"/>
    <row r="4593" s="8" customFormat="1"/>
    <row r="4594" s="8" customFormat="1"/>
    <row r="4595" s="8" customFormat="1"/>
    <row r="4596" s="8" customFormat="1"/>
    <row r="4597" s="8" customFormat="1"/>
    <row r="4598" s="8" customFormat="1"/>
    <row r="4599" s="8" customFormat="1"/>
    <row r="4600" s="8" customFormat="1"/>
    <row r="4601" s="8" customFormat="1"/>
    <row r="4602" s="8" customFormat="1"/>
    <row r="4603" s="8" customFormat="1"/>
    <row r="4604" s="8" customFormat="1"/>
    <row r="4605" s="8" customFormat="1"/>
    <row r="4606" s="8" customFormat="1"/>
    <row r="4607" s="8" customFormat="1"/>
    <row r="4608" s="8" customFormat="1"/>
    <row r="4609" s="8" customFormat="1"/>
    <row r="4610" s="8" customFormat="1"/>
    <row r="4611" s="8" customFormat="1"/>
    <row r="4612" s="8" customFormat="1"/>
    <row r="4613" s="8" customFormat="1"/>
    <row r="4614" s="8" customFormat="1"/>
    <row r="4615" s="8" customFormat="1"/>
    <row r="4616" s="8" customFormat="1"/>
    <row r="4617" s="8" customFormat="1"/>
    <row r="4618" s="8" customFormat="1"/>
    <row r="4619" s="8" customFormat="1"/>
    <row r="4620" s="8" customFormat="1"/>
    <row r="4621" s="8" customFormat="1"/>
    <row r="4622" s="8" customFormat="1"/>
    <row r="4623" s="8" customFormat="1"/>
    <row r="4624" s="8" customFormat="1"/>
    <row r="4625" s="8" customFormat="1"/>
    <row r="4626" s="8" customFormat="1"/>
    <row r="4627" s="8" customFormat="1"/>
    <row r="4628" s="8" customFormat="1"/>
    <row r="4629" s="8" customFormat="1"/>
    <row r="4630" s="8" customFormat="1"/>
    <row r="4631" s="8" customFormat="1"/>
    <row r="4632" s="8" customFormat="1"/>
    <row r="4633" s="8" customFormat="1"/>
    <row r="4634" s="8" customFormat="1"/>
    <row r="4635" s="8" customFormat="1"/>
    <row r="4636" s="8" customFormat="1"/>
    <row r="4637" s="8" customFormat="1"/>
    <row r="4638" s="8" customFormat="1"/>
    <row r="4639" s="8" customFormat="1"/>
    <row r="4640" s="8" customFormat="1"/>
    <row r="4641" s="8" customFormat="1"/>
    <row r="4642" s="8" customFormat="1"/>
    <row r="4643" s="8" customFormat="1"/>
    <row r="4644" s="8" customFormat="1"/>
    <row r="4645" s="8" customFormat="1"/>
    <row r="4646" s="8" customFormat="1"/>
    <row r="4647" s="8" customFormat="1"/>
    <row r="4648" s="8" customFormat="1"/>
    <row r="4649" s="8" customFormat="1"/>
    <row r="4650" s="8" customFormat="1"/>
    <row r="4651" s="8" customFormat="1"/>
    <row r="4652" s="8" customFormat="1"/>
    <row r="4653" s="8" customFormat="1"/>
    <row r="4654" s="8" customFormat="1"/>
    <row r="4655" s="8" customFormat="1"/>
    <row r="4656" s="8" customFormat="1"/>
    <row r="4657" s="8" customFormat="1"/>
    <row r="4658" s="8" customFormat="1"/>
    <row r="4659" s="8" customFormat="1"/>
    <row r="4660" s="8" customFormat="1"/>
    <row r="4661" s="8" customFormat="1"/>
    <row r="4662" s="8" customFormat="1"/>
    <row r="4663" s="8" customFormat="1"/>
    <row r="4664" s="8" customFormat="1"/>
    <row r="4665" s="8" customFormat="1"/>
    <row r="4666" s="8" customFormat="1"/>
    <row r="4667" s="8" customFormat="1"/>
    <row r="4668" s="8" customFormat="1"/>
    <row r="4669" s="8" customFormat="1"/>
    <row r="4670" s="8" customFormat="1"/>
    <row r="4671" s="8" customFormat="1"/>
    <row r="4672" s="8" customFormat="1"/>
    <row r="4673" s="8" customFormat="1"/>
    <row r="4674" s="8" customFormat="1"/>
    <row r="4675" s="8" customFormat="1"/>
    <row r="4676" s="8" customFormat="1"/>
    <row r="4677" s="8" customFormat="1"/>
    <row r="4678" s="8" customFormat="1"/>
    <row r="4679" s="8" customFormat="1"/>
    <row r="4680" s="8" customFormat="1"/>
    <row r="4681" s="8" customFormat="1"/>
    <row r="4682" s="8" customFormat="1"/>
    <row r="4683" s="8" customFormat="1"/>
    <row r="4684" s="8" customFormat="1"/>
    <row r="4685" s="8" customFormat="1"/>
    <row r="4686" s="8" customFormat="1"/>
    <row r="4687" s="8" customFormat="1"/>
    <row r="4688" s="8" customFormat="1"/>
    <row r="4689" s="8" customFormat="1"/>
    <row r="4690" s="8" customFormat="1"/>
    <row r="4691" s="8" customFormat="1"/>
    <row r="4692" s="8" customFormat="1"/>
    <row r="4693" s="8" customFormat="1"/>
    <row r="4694" s="8" customFormat="1"/>
    <row r="4695" s="8" customFormat="1"/>
    <row r="4696" s="8" customFormat="1"/>
    <row r="4697" s="8" customFormat="1"/>
    <row r="4698" s="8" customFormat="1"/>
    <row r="4699" s="8" customFormat="1"/>
    <row r="4700" s="8" customFormat="1"/>
    <row r="4701" s="8" customFormat="1"/>
    <row r="4702" s="8" customFormat="1"/>
    <row r="4703" s="8" customFormat="1"/>
    <row r="4704" s="8" customFormat="1"/>
    <row r="4705" s="8" customFormat="1"/>
    <row r="4706" s="8" customFormat="1"/>
    <row r="4707" s="8" customFormat="1"/>
    <row r="4708" s="8" customFormat="1"/>
    <row r="4709" s="8" customFormat="1"/>
    <row r="4710" s="8" customFormat="1"/>
    <row r="4711" s="8" customFormat="1"/>
    <row r="4712" s="8" customFormat="1"/>
    <row r="4713" s="8" customFormat="1"/>
    <row r="4714" s="8" customFormat="1"/>
    <row r="4715" s="8" customFormat="1"/>
    <row r="4716" s="8" customFormat="1"/>
    <row r="4717" s="8" customFormat="1"/>
    <row r="4718" s="8" customFormat="1"/>
    <row r="4719" s="8" customFormat="1"/>
    <row r="4720" s="8" customFormat="1"/>
    <row r="4721" s="8" customFormat="1"/>
    <row r="4722" s="8" customFormat="1"/>
    <row r="4723" s="8" customFormat="1"/>
    <row r="4724" s="8" customFormat="1"/>
    <row r="4725" s="8" customFormat="1"/>
    <row r="4726" s="8" customFormat="1"/>
    <row r="4727" s="8" customFormat="1"/>
    <row r="4728" s="8" customFormat="1"/>
    <row r="4729" s="8" customFormat="1"/>
    <row r="4730" s="8" customFormat="1"/>
    <row r="4731" s="8" customFormat="1"/>
    <row r="4732" s="8" customFormat="1"/>
    <row r="4733" s="8" customFormat="1"/>
    <row r="4734" s="8" customFormat="1"/>
    <row r="4735" s="8" customFormat="1"/>
    <row r="4736" s="8" customFormat="1"/>
    <row r="4737" s="8" customFormat="1"/>
    <row r="4738" s="8" customFormat="1"/>
    <row r="4739" s="8" customFormat="1"/>
    <row r="4740" s="8" customFormat="1"/>
    <row r="4741" s="8" customFormat="1"/>
    <row r="4742" s="8" customFormat="1"/>
    <row r="4743" s="8" customFormat="1"/>
    <row r="4744" s="8" customFormat="1"/>
    <row r="4745" s="8" customFormat="1"/>
    <row r="4746" s="8" customFormat="1"/>
    <row r="4747" s="8" customFormat="1"/>
    <row r="4748" s="8" customFormat="1"/>
    <row r="4749" s="8" customFormat="1"/>
    <row r="4750" s="8" customFormat="1"/>
    <row r="4751" s="8" customFormat="1"/>
    <row r="4752" s="8" customFormat="1"/>
    <row r="4753" s="8" customFormat="1"/>
    <row r="4754" s="8" customFormat="1"/>
    <row r="4755" s="8" customFormat="1"/>
    <row r="4756" s="8" customFormat="1"/>
    <row r="4757" s="8" customFormat="1"/>
    <row r="4758" s="8" customFormat="1"/>
    <row r="4759" s="8" customFormat="1"/>
    <row r="4760" s="8" customFormat="1"/>
    <row r="4761" s="8" customFormat="1"/>
    <row r="4762" s="8" customFormat="1"/>
    <row r="4763" s="8" customFormat="1"/>
    <row r="4764" s="8" customFormat="1"/>
    <row r="4765" s="8" customFormat="1"/>
    <row r="4766" s="8" customFormat="1"/>
    <row r="4767" s="8" customFormat="1"/>
    <row r="4768" s="8" customFormat="1"/>
    <row r="4769" s="8" customFormat="1"/>
    <row r="4770" s="8" customFormat="1"/>
    <row r="4771" s="8" customFormat="1"/>
    <row r="4772" s="8" customFormat="1"/>
    <row r="4773" s="8" customFormat="1"/>
    <row r="4774" s="8" customFormat="1"/>
    <row r="4775" s="8" customFormat="1"/>
    <row r="4776" s="8" customFormat="1"/>
    <row r="4777" s="8" customFormat="1"/>
    <row r="4778" s="8" customFormat="1"/>
    <row r="4779" s="8" customFormat="1"/>
    <row r="4780" s="8" customFormat="1"/>
    <row r="4781" s="8" customFormat="1"/>
    <row r="4782" s="8" customFormat="1"/>
    <row r="4783" s="8" customFormat="1"/>
    <row r="4784" s="8" customFormat="1"/>
    <row r="4785" s="8" customFormat="1"/>
    <row r="4786" s="8" customFormat="1"/>
    <row r="4787" s="8" customFormat="1"/>
    <row r="4788" s="8" customFormat="1"/>
    <row r="4789" s="8" customFormat="1"/>
    <row r="4790" s="8" customFormat="1"/>
    <row r="4791" s="8" customFormat="1"/>
    <row r="4792" s="8" customFormat="1"/>
    <row r="4793" s="8" customFormat="1"/>
    <row r="4794" s="8" customFormat="1"/>
    <row r="4795" s="8" customFormat="1"/>
    <row r="4796" s="8" customFormat="1"/>
    <row r="4797" s="8" customFormat="1"/>
    <row r="4798" s="8" customFormat="1"/>
    <row r="4799" s="8" customFormat="1"/>
    <row r="4800" s="8" customFormat="1"/>
    <row r="4801" s="8" customFormat="1"/>
    <row r="4802" s="8" customFormat="1"/>
    <row r="4803" s="8" customFormat="1"/>
    <row r="4804" s="8" customFormat="1"/>
    <row r="4805" s="8" customFormat="1"/>
    <row r="4806" s="8" customFormat="1"/>
    <row r="4807" s="8" customFormat="1"/>
    <row r="4808" s="8" customFormat="1"/>
    <row r="4809" s="8" customFormat="1"/>
    <row r="4810" s="8" customFormat="1"/>
    <row r="4811" s="8" customFormat="1"/>
    <row r="4812" s="8" customFormat="1"/>
    <row r="4813" s="8" customFormat="1"/>
    <row r="4814" s="8" customFormat="1"/>
    <row r="4815" s="8" customFormat="1"/>
    <row r="4816" s="8" customFormat="1"/>
    <row r="4817" s="8" customFormat="1"/>
    <row r="4818" s="8" customFormat="1"/>
    <row r="4819" s="8" customFormat="1"/>
    <row r="4820" s="8" customFormat="1"/>
    <row r="4821" s="8" customFormat="1"/>
    <row r="4822" s="8" customFormat="1"/>
    <row r="4823" s="8" customFormat="1"/>
    <row r="4824" s="8" customFormat="1"/>
    <row r="4825" s="8" customFormat="1"/>
    <row r="4826" s="8" customFormat="1"/>
    <row r="4827" s="8" customFormat="1"/>
    <row r="4828" s="8" customFormat="1"/>
    <row r="4829" s="8" customFormat="1"/>
    <row r="4830" s="8" customFormat="1"/>
    <row r="4831" s="8" customFormat="1"/>
    <row r="4832" s="8" customFormat="1"/>
    <row r="4833" s="8" customFormat="1"/>
    <row r="4834" s="8" customFormat="1"/>
    <row r="4835" s="8" customFormat="1"/>
    <row r="4836" s="8" customFormat="1"/>
    <row r="4837" s="8" customFormat="1"/>
    <row r="4838" s="8" customFormat="1"/>
    <row r="4839" s="8" customFormat="1"/>
    <row r="4840" s="8" customFormat="1"/>
    <row r="4841" s="8" customFormat="1"/>
    <row r="4842" s="8" customFormat="1"/>
    <row r="4843" s="8" customFormat="1"/>
    <row r="4844" s="8" customFormat="1"/>
    <row r="4845" s="8" customFormat="1"/>
    <row r="4846" s="8" customFormat="1"/>
    <row r="4847" s="8" customFormat="1"/>
    <row r="4848" s="8" customFormat="1"/>
    <row r="4849" s="8" customFormat="1"/>
    <row r="4850" s="8" customFormat="1"/>
    <row r="4851" s="8" customFormat="1"/>
    <row r="4852" s="8" customFormat="1"/>
    <row r="4853" s="8" customFormat="1"/>
    <row r="4854" s="8" customFormat="1"/>
    <row r="4855" s="8" customFormat="1"/>
    <row r="4856" s="8" customFormat="1"/>
    <row r="4857" s="8" customFormat="1"/>
    <row r="4858" s="8" customFormat="1"/>
    <row r="4859" s="8" customFormat="1"/>
    <row r="4860" s="8" customFormat="1"/>
    <row r="4861" s="8" customFormat="1"/>
    <row r="4862" s="8" customFormat="1"/>
    <row r="4863" s="8" customFormat="1"/>
    <row r="4864" s="8" customFormat="1"/>
    <row r="4865" s="8" customFormat="1"/>
    <row r="4866" s="8" customFormat="1"/>
    <row r="4867" s="8" customFormat="1"/>
    <row r="4868" s="8" customFormat="1"/>
    <row r="4869" s="8" customFormat="1"/>
    <row r="4870" s="8" customFormat="1"/>
    <row r="4871" s="8" customFormat="1"/>
    <row r="4872" s="8" customFormat="1"/>
    <row r="4873" s="8" customFormat="1"/>
    <row r="4874" s="8" customFormat="1"/>
    <row r="4875" s="8" customFormat="1"/>
    <row r="4876" s="8" customFormat="1"/>
    <row r="4877" s="8" customFormat="1"/>
    <row r="4878" s="8" customFormat="1"/>
    <row r="4879" s="8" customFormat="1"/>
    <row r="4880" s="8" customFormat="1"/>
    <row r="4881" s="8" customFormat="1"/>
    <row r="4882" s="8" customFormat="1"/>
    <row r="4883" s="8" customFormat="1"/>
    <row r="4884" s="8" customFormat="1"/>
    <row r="4885" s="8" customFormat="1"/>
    <row r="4886" s="8" customFormat="1"/>
    <row r="4887" s="8" customFormat="1"/>
    <row r="4888" s="8" customFormat="1"/>
    <row r="4889" s="8" customFormat="1"/>
    <row r="4890" s="8" customFormat="1"/>
    <row r="4891" s="8" customFormat="1"/>
    <row r="4892" s="8" customFormat="1"/>
    <row r="4893" s="8" customFormat="1"/>
    <row r="4894" s="8" customFormat="1"/>
    <row r="4895" s="8" customFormat="1"/>
    <row r="4896" s="8" customFormat="1"/>
    <row r="4897" s="8" customFormat="1"/>
    <row r="4898" s="8" customFormat="1"/>
    <row r="4899" s="8" customFormat="1"/>
    <row r="4900" s="8" customFormat="1"/>
    <row r="4901" s="8" customFormat="1"/>
    <row r="4902" s="8" customFormat="1"/>
    <row r="4903" s="8" customFormat="1"/>
    <row r="4904" s="8" customFormat="1"/>
    <row r="4905" s="8" customFormat="1"/>
    <row r="4906" s="8" customFormat="1"/>
    <row r="4907" s="8" customFormat="1"/>
    <row r="4908" s="8" customFormat="1"/>
    <row r="4909" s="8" customFormat="1"/>
    <row r="4910" s="8" customFormat="1"/>
    <row r="4911" s="8" customFormat="1"/>
    <row r="4912" s="8" customFormat="1"/>
    <row r="4913" s="8" customFormat="1"/>
    <row r="4914" s="8" customFormat="1"/>
    <row r="4915" s="8" customFormat="1"/>
    <row r="4916" s="8" customFormat="1"/>
    <row r="4917" s="8" customFormat="1"/>
    <row r="4918" s="8" customFormat="1"/>
    <row r="4919" s="8" customFormat="1"/>
    <row r="4920" s="8" customFormat="1"/>
    <row r="4921" s="8" customFormat="1"/>
    <row r="4922" s="8" customFormat="1"/>
    <row r="4923" s="8" customFormat="1"/>
    <row r="4924" s="8" customFormat="1"/>
    <row r="4925" s="8" customFormat="1"/>
    <row r="4926" s="8" customFormat="1"/>
    <row r="4927" s="8" customFormat="1"/>
    <row r="4928" s="8" customFormat="1"/>
    <row r="4929" s="8" customFormat="1"/>
    <row r="4930" s="8" customFormat="1"/>
    <row r="4931" s="8" customFormat="1"/>
    <row r="4932" s="8" customFormat="1"/>
    <row r="4933" s="8" customFormat="1"/>
    <row r="4934" s="8" customFormat="1"/>
    <row r="4935" s="8" customFormat="1"/>
    <row r="4936" s="8" customFormat="1"/>
    <row r="4937" s="8" customFormat="1"/>
    <row r="4938" s="8" customFormat="1"/>
    <row r="4939" s="8" customFormat="1"/>
    <row r="4940" s="8" customFormat="1"/>
    <row r="4941" s="8" customFormat="1"/>
    <row r="4942" s="8" customFormat="1"/>
    <row r="4943" s="8" customFormat="1"/>
    <row r="4944" s="8" customFormat="1"/>
    <row r="4945" s="8" customFormat="1"/>
    <row r="4946" s="8" customFormat="1"/>
    <row r="4947" s="8" customFormat="1"/>
    <row r="4948" s="8" customFormat="1"/>
    <row r="4949" s="8" customFormat="1"/>
    <row r="4950" s="8" customFormat="1"/>
    <row r="4951" s="8" customFormat="1"/>
    <row r="4952" s="8" customFormat="1"/>
    <row r="4953" s="8" customFormat="1"/>
    <row r="4954" s="8" customFormat="1"/>
    <row r="4955" s="8" customFormat="1"/>
    <row r="4956" s="8" customFormat="1"/>
    <row r="4957" s="8" customFormat="1"/>
    <row r="4958" s="8" customFormat="1"/>
    <row r="4959" s="8" customFormat="1"/>
    <row r="4960" s="8" customFormat="1"/>
    <row r="4961" s="8" customFormat="1"/>
    <row r="4962" s="8" customFormat="1"/>
    <row r="4963" s="8" customFormat="1"/>
    <row r="4964" s="8" customFormat="1"/>
    <row r="4965" s="8" customFormat="1"/>
    <row r="4966" s="8" customFormat="1"/>
    <row r="4967" s="8" customFormat="1"/>
    <row r="4968" s="8" customFormat="1"/>
    <row r="4969" s="8" customFormat="1"/>
    <row r="4970" s="8" customFormat="1"/>
    <row r="4971" s="8" customFormat="1"/>
    <row r="4972" s="8" customFormat="1"/>
    <row r="4973" s="8" customFormat="1"/>
    <row r="4974" s="8" customFormat="1"/>
    <row r="4975" s="8" customFormat="1"/>
    <row r="4976" s="8" customFormat="1"/>
    <row r="4977" s="8" customFormat="1"/>
    <row r="4978" s="8" customFormat="1"/>
    <row r="4979" s="8" customFormat="1"/>
    <row r="4980" s="8" customFormat="1"/>
    <row r="4981" s="8" customFormat="1"/>
    <row r="4982" s="8" customFormat="1"/>
    <row r="4983" s="8" customFormat="1"/>
    <row r="4984" s="8" customFormat="1"/>
    <row r="4985" s="8" customFormat="1"/>
    <row r="4986" s="8" customFormat="1"/>
    <row r="4987" s="8" customFormat="1"/>
    <row r="4988" s="8" customFormat="1"/>
    <row r="4989" s="8" customFormat="1"/>
    <row r="4990" s="8" customFormat="1"/>
    <row r="4991" s="8" customFormat="1"/>
    <row r="4992" s="8" customFormat="1"/>
    <row r="4993" s="8" customFormat="1"/>
    <row r="4994" s="8" customFormat="1"/>
    <row r="4995" s="8" customFormat="1"/>
    <row r="4996" s="8" customFormat="1"/>
    <row r="4997" s="8" customFormat="1"/>
    <row r="4998" s="8" customFormat="1"/>
    <row r="4999" s="8" customFormat="1"/>
    <row r="5000" s="8" customFormat="1"/>
    <row r="5001" s="8" customFormat="1"/>
    <row r="5002" s="8" customFormat="1"/>
    <row r="5003" s="8" customFormat="1"/>
    <row r="5004" s="8" customFormat="1"/>
    <row r="5005" s="8" customFormat="1"/>
    <row r="5006" s="8" customFormat="1"/>
    <row r="5007" s="8" customFormat="1"/>
    <row r="5008" s="8" customFormat="1"/>
    <row r="5009" s="8" customFormat="1"/>
    <row r="5010" s="8" customFormat="1"/>
    <row r="5011" s="8" customFormat="1"/>
    <row r="5012" s="8" customFormat="1"/>
    <row r="5013" s="8" customFormat="1"/>
    <row r="5014" s="8" customFormat="1"/>
    <row r="5015" s="8" customFormat="1"/>
    <row r="5016" s="8" customFormat="1"/>
    <row r="5017" s="8" customFormat="1"/>
    <row r="5018" s="8" customFormat="1"/>
    <row r="5019" s="8" customFormat="1"/>
    <row r="5020" s="8" customFormat="1"/>
    <row r="5021" s="8" customFormat="1"/>
    <row r="5022" s="8" customFormat="1"/>
    <row r="5023" s="8" customFormat="1"/>
    <row r="5024" s="8" customFormat="1"/>
    <row r="5025" s="8" customFormat="1"/>
    <row r="5026" s="8" customFormat="1"/>
    <row r="5027" s="8" customFormat="1"/>
    <row r="5028" s="8" customFormat="1"/>
    <row r="5029" s="8" customFormat="1"/>
    <row r="5030" s="8" customFormat="1"/>
    <row r="5031" s="8" customFormat="1"/>
    <row r="5032" s="8" customFormat="1"/>
    <row r="5033" s="8" customFormat="1"/>
    <row r="5034" s="8" customFormat="1"/>
    <row r="5035" s="8" customFormat="1"/>
    <row r="5036" s="8" customFormat="1"/>
    <row r="5037" s="8" customFormat="1"/>
    <row r="5038" s="8" customFormat="1"/>
    <row r="5039" s="8" customFormat="1"/>
    <row r="5040" s="8" customFormat="1"/>
    <row r="5041" s="8" customFormat="1"/>
    <row r="5042" s="8" customFormat="1"/>
    <row r="5043" s="8" customFormat="1"/>
    <row r="5044" s="8" customFormat="1"/>
    <row r="5045" s="8" customFormat="1"/>
    <row r="5046" s="8" customFormat="1"/>
    <row r="5047" s="8" customFormat="1"/>
    <row r="5048" s="8" customFormat="1"/>
    <row r="5049" s="8" customFormat="1"/>
    <row r="5050" s="8" customFormat="1"/>
    <row r="5051" s="8" customFormat="1"/>
    <row r="5052" s="8" customFormat="1"/>
    <row r="5053" s="8" customFormat="1"/>
    <row r="5054" s="8" customFormat="1"/>
    <row r="5055" s="8" customFormat="1"/>
    <row r="5056" s="8" customFormat="1"/>
    <row r="5057" s="8" customFormat="1"/>
    <row r="5058" s="8" customFormat="1"/>
    <row r="5059" s="8" customFormat="1"/>
    <row r="5060" s="8" customFormat="1"/>
    <row r="5061" s="8" customFormat="1"/>
    <row r="5062" s="8" customFormat="1"/>
    <row r="5063" s="8" customFormat="1"/>
    <row r="5064" s="8" customFormat="1"/>
    <row r="5065" s="8" customFormat="1"/>
    <row r="5066" s="8" customFormat="1"/>
    <row r="5067" s="8" customFormat="1"/>
    <row r="5068" s="8" customFormat="1"/>
    <row r="5069" s="8" customFormat="1"/>
    <row r="5070" s="8" customFormat="1"/>
    <row r="5071" s="8" customFormat="1"/>
    <row r="5072" s="8" customFormat="1"/>
    <row r="5073" s="8" customFormat="1"/>
    <row r="5074" s="8" customFormat="1"/>
    <row r="5075" s="8" customFormat="1"/>
    <row r="5076" s="8" customFormat="1"/>
    <row r="5077" s="8" customFormat="1"/>
    <row r="5078" s="8" customFormat="1"/>
    <row r="5079" s="8" customFormat="1"/>
    <row r="5080" s="8" customFormat="1"/>
    <row r="5081" s="8" customFormat="1"/>
    <row r="5082" s="8" customFormat="1"/>
    <row r="5083" s="8" customFormat="1"/>
    <row r="5084" s="8" customFormat="1"/>
    <row r="5085" s="8" customFormat="1"/>
    <row r="5086" s="8" customFormat="1"/>
    <row r="5087" s="8" customFormat="1"/>
    <row r="5088" s="8" customFormat="1"/>
    <row r="5089" s="8" customFormat="1"/>
    <row r="5090" s="8" customFormat="1"/>
    <row r="5091" s="8" customFormat="1"/>
    <row r="5092" s="8" customFormat="1"/>
    <row r="5093" s="8" customFormat="1"/>
    <row r="5094" s="8" customFormat="1"/>
    <row r="5095" s="8" customFormat="1"/>
    <row r="5096" s="8" customFormat="1"/>
    <row r="5097" s="8" customFormat="1"/>
    <row r="5098" s="8" customFormat="1"/>
    <row r="5099" s="8" customFormat="1"/>
    <row r="5100" s="8" customFormat="1"/>
    <row r="5101" s="8" customFormat="1"/>
    <row r="5102" s="8" customFormat="1"/>
    <row r="5103" s="8" customFormat="1"/>
    <row r="5104" s="8" customFormat="1"/>
    <row r="5105" s="8" customFormat="1"/>
    <row r="5106" s="8" customFormat="1"/>
    <row r="5107" s="8" customFormat="1"/>
    <row r="5108" s="8" customFormat="1"/>
    <row r="5109" s="8" customFormat="1"/>
    <row r="5110" s="8" customFormat="1"/>
    <row r="5111" s="8" customFormat="1"/>
    <row r="5112" s="8" customFormat="1"/>
    <row r="5113" s="8" customFormat="1"/>
    <row r="5114" s="8" customFormat="1"/>
    <row r="5115" s="8" customFormat="1"/>
    <row r="5116" s="8" customFormat="1"/>
    <row r="5117" s="8" customFormat="1"/>
    <row r="5118" s="8" customFormat="1"/>
    <row r="5119" s="8" customFormat="1"/>
    <row r="5120" s="8" customFormat="1"/>
    <row r="5121" s="8" customFormat="1"/>
    <row r="5122" s="8" customFormat="1"/>
    <row r="5123" s="8" customFormat="1"/>
    <row r="5124" s="8" customFormat="1"/>
    <row r="5125" s="8" customFormat="1"/>
    <row r="5126" s="8" customFormat="1"/>
    <row r="5127" s="8" customFormat="1"/>
    <row r="5128" s="8" customFormat="1"/>
    <row r="5129" s="8" customFormat="1"/>
    <row r="5130" s="8" customFormat="1"/>
    <row r="5131" s="8" customFormat="1"/>
    <row r="5132" s="8" customFormat="1"/>
    <row r="5133" s="8" customFormat="1"/>
    <row r="5134" s="8" customFormat="1"/>
    <row r="5135" s="8" customFormat="1"/>
    <row r="5136" s="8" customFormat="1"/>
    <row r="5137" s="8" customFormat="1"/>
    <row r="5138" s="8" customFormat="1"/>
    <row r="5139" s="8" customFormat="1"/>
    <row r="5140" s="8" customFormat="1"/>
    <row r="5141" s="8" customFormat="1"/>
    <row r="5142" s="8" customFormat="1"/>
    <row r="5143" s="8" customFormat="1"/>
    <row r="5144" s="8" customFormat="1"/>
    <row r="5145" s="8" customFormat="1"/>
    <row r="5146" s="8" customFormat="1"/>
    <row r="5147" s="8" customFormat="1"/>
    <row r="5148" s="8" customFormat="1"/>
    <row r="5149" s="8" customFormat="1"/>
    <row r="5150" s="8" customFormat="1"/>
    <row r="5151" s="8" customFormat="1"/>
    <row r="5152" s="8" customFormat="1"/>
    <row r="5153" s="8" customFormat="1"/>
    <row r="5154" s="8" customFormat="1"/>
    <row r="5155" s="8" customFormat="1"/>
    <row r="5156" s="8" customFormat="1"/>
    <row r="5157" s="8" customFormat="1"/>
    <row r="5158" s="8" customFormat="1"/>
    <row r="5159" s="8" customFormat="1"/>
    <row r="5160" s="8" customFormat="1"/>
    <row r="5161" s="8" customFormat="1"/>
    <row r="5162" s="8" customFormat="1"/>
    <row r="5163" s="8" customFormat="1"/>
    <row r="5164" s="8" customFormat="1"/>
    <row r="5165" s="8" customFormat="1"/>
    <row r="5166" s="8" customFormat="1"/>
    <row r="5167" s="8" customFormat="1"/>
    <row r="5168" s="8" customFormat="1"/>
    <row r="5169" s="8" customFormat="1"/>
    <row r="5170" s="8" customFormat="1"/>
    <row r="5171" s="8" customFormat="1"/>
    <row r="5172" s="8" customFormat="1"/>
    <row r="5173" s="8" customFormat="1"/>
    <row r="5174" s="8" customFormat="1"/>
    <row r="5175" s="8" customFormat="1"/>
    <row r="5176" s="8" customFormat="1"/>
    <row r="5177" s="8" customFormat="1"/>
    <row r="5178" s="8" customFormat="1"/>
    <row r="5179" s="8" customFormat="1"/>
    <row r="5180" s="8" customFormat="1"/>
    <row r="5181" s="8" customFormat="1"/>
    <row r="5182" s="8" customFormat="1"/>
    <row r="5183" s="8" customFormat="1"/>
    <row r="5184" s="8" customFormat="1"/>
    <row r="5185" s="8" customFormat="1"/>
    <row r="5186" s="8" customFormat="1"/>
    <row r="5187" s="8" customFormat="1"/>
    <row r="5188" s="8" customFormat="1"/>
    <row r="5189" s="8" customFormat="1"/>
    <row r="5190" s="8" customFormat="1"/>
    <row r="5191" s="8" customFormat="1"/>
    <row r="5192" s="8" customFormat="1"/>
    <row r="5193" s="8" customFormat="1"/>
    <row r="5194" s="8" customFormat="1"/>
    <row r="5195" s="8" customFormat="1"/>
    <row r="5196" s="8" customFormat="1"/>
    <row r="5197" s="8" customFormat="1"/>
    <row r="5198" s="8" customFormat="1"/>
    <row r="5199" s="8" customFormat="1"/>
    <row r="5200" s="8" customFormat="1"/>
    <row r="5201" s="8" customFormat="1"/>
    <row r="5202" s="8" customFormat="1"/>
    <row r="5203" s="8" customFormat="1"/>
    <row r="5204" s="8" customFormat="1"/>
    <row r="5205" s="8" customFormat="1"/>
    <row r="5206" s="8" customFormat="1"/>
    <row r="5207" s="8" customFormat="1"/>
    <row r="5208" s="8" customFormat="1"/>
    <row r="5209" s="8" customFormat="1"/>
    <row r="5210" s="8" customFormat="1"/>
    <row r="5211" s="8" customFormat="1"/>
    <row r="5212" s="8" customFormat="1"/>
    <row r="5213" s="8" customFormat="1"/>
    <row r="5214" s="8" customFormat="1"/>
    <row r="5215" s="8" customFormat="1"/>
    <row r="5216" s="8" customFormat="1"/>
    <row r="5217" s="8" customFormat="1"/>
    <row r="5218" s="8" customFormat="1"/>
    <row r="5219" s="8" customFormat="1"/>
    <row r="5220" s="8" customFormat="1"/>
    <row r="5221" s="8" customFormat="1"/>
    <row r="5222" s="8" customFormat="1"/>
    <row r="5223" s="8" customFormat="1"/>
    <row r="5224" s="8" customFormat="1"/>
    <row r="5225" s="8" customFormat="1"/>
    <row r="5226" s="8" customFormat="1"/>
    <row r="5227" s="8" customFormat="1"/>
    <row r="5228" s="8" customFormat="1"/>
    <row r="5229" s="8" customFormat="1"/>
    <row r="5230" s="8" customFormat="1"/>
    <row r="5231" s="8" customFormat="1"/>
    <row r="5232" s="8" customFormat="1"/>
    <row r="5233" s="8" customFormat="1"/>
    <row r="5234" s="8" customFormat="1"/>
    <row r="5235" s="8" customFormat="1"/>
    <row r="5236" s="8" customFormat="1"/>
    <row r="5237" s="8" customFormat="1"/>
    <row r="5238" s="8" customFormat="1"/>
    <row r="5239" s="8" customFormat="1"/>
    <row r="5240" s="8" customFormat="1"/>
    <row r="5241" s="8" customFormat="1"/>
    <row r="5242" s="8" customFormat="1"/>
    <row r="5243" s="8" customFormat="1"/>
    <row r="5244" s="8" customFormat="1"/>
    <row r="5245" s="8" customFormat="1"/>
    <row r="5246" s="8" customFormat="1"/>
    <row r="5247" s="8" customFormat="1"/>
    <row r="5248" s="8" customFormat="1"/>
    <row r="5249" s="8" customFormat="1"/>
    <row r="5250" s="8" customFormat="1"/>
    <row r="5251" s="8" customFormat="1"/>
    <row r="5252" s="8" customFormat="1"/>
    <row r="5253" s="8" customFormat="1"/>
    <row r="5254" s="8" customFormat="1"/>
    <row r="5255" s="8" customFormat="1"/>
    <row r="5256" s="8" customFormat="1"/>
    <row r="5257" s="8" customFormat="1"/>
    <row r="5258" s="8" customFormat="1"/>
    <row r="5259" s="8" customFormat="1"/>
    <row r="5260" s="8" customFormat="1"/>
    <row r="5261" s="8" customFormat="1"/>
    <row r="5262" s="8" customFormat="1"/>
    <row r="5263" s="8" customFormat="1"/>
    <row r="5264" s="8" customFormat="1"/>
    <row r="5265" s="8" customFormat="1"/>
    <row r="5266" s="8" customFormat="1"/>
    <row r="5267" s="8" customFormat="1"/>
    <row r="5268" s="8" customFormat="1"/>
    <row r="5269" s="8" customFormat="1"/>
    <row r="5270" s="8" customFormat="1"/>
    <row r="5271" s="8" customFormat="1"/>
    <row r="5272" s="8" customFormat="1"/>
    <row r="5273" s="8" customFormat="1"/>
    <row r="5274" s="8" customFormat="1"/>
    <row r="5275" s="8" customFormat="1"/>
    <row r="5276" s="8" customFormat="1"/>
    <row r="5277" s="8" customFormat="1"/>
    <row r="5278" s="8" customFormat="1"/>
    <row r="5279" s="8" customFormat="1"/>
    <row r="5280" s="8" customFormat="1"/>
    <row r="5281" s="8" customFormat="1"/>
    <row r="5282" s="8" customFormat="1"/>
    <row r="5283" s="8" customFormat="1"/>
    <row r="5284" s="8" customFormat="1"/>
    <row r="5285" s="8" customFormat="1"/>
    <row r="5286" s="8" customFormat="1"/>
    <row r="5287" s="8" customFormat="1"/>
    <row r="5288" s="8" customFormat="1"/>
    <row r="5289" s="8" customFormat="1"/>
    <row r="5290" s="8" customFormat="1"/>
    <row r="5291" s="8" customFormat="1"/>
    <row r="5292" s="8" customFormat="1"/>
    <row r="5293" s="8" customFormat="1"/>
    <row r="5294" s="8" customFormat="1"/>
    <row r="5295" s="8" customFormat="1"/>
    <row r="5296" s="8" customFormat="1"/>
    <row r="5297" s="8" customFormat="1"/>
    <row r="5298" s="8" customFormat="1"/>
    <row r="5299" s="8" customFormat="1"/>
    <row r="5300" s="8" customFormat="1"/>
    <row r="5301" s="8" customFormat="1"/>
    <row r="5302" s="8" customFormat="1"/>
    <row r="5303" s="8" customFormat="1"/>
    <row r="5304" s="8" customFormat="1"/>
    <row r="5305" s="8" customFormat="1"/>
    <row r="5306" s="8" customFormat="1"/>
    <row r="5307" s="8" customFormat="1"/>
    <row r="5308" s="8" customFormat="1"/>
    <row r="5309" s="8" customFormat="1"/>
    <row r="5310" s="8" customFormat="1"/>
    <row r="5311" s="8" customFormat="1"/>
    <row r="5312" s="8" customFormat="1"/>
    <row r="5313" s="8" customFormat="1"/>
    <row r="5314" s="8" customFormat="1"/>
    <row r="5315" s="8" customFormat="1"/>
    <row r="5316" s="8" customFormat="1"/>
    <row r="5317" s="8" customFormat="1"/>
    <row r="5318" s="8" customFormat="1"/>
    <row r="5319" s="8" customFormat="1"/>
    <row r="5320" s="8" customFormat="1"/>
    <row r="5321" s="8" customFormat="1"/>
    <row r="5322" s="8" customFormat="1"/>
    <row r="5323" s="8" customFormat="1"/>
    <row r="5324" s="8" customFormat="1"/>
    <row r="5325" s="8" customFormat="1"/>
    <row r="5326" s="8" customFormat="1"/>
    <row r="5327" s="8" customFormat="1"/>
    <row r="5328" s="8" customFormat="1"/>
    <row r="5329" s="8" customFormat="1"/>
    <row r="5330" s="8" customFormat="1"/>
    <row r="5331" s="8" customFormat="1"/>
    <row r="5332" s="8" customFormat="1"/>
    <row r="5333" s="8" customFormat="1"/>
    <row r="5334" s="8" customFormat="1"/>
    <row r="5335" s="8" customFormat="1"/>
    <row r="5336" s="8" customFormat="1"/>
    <row r="5337" s="8" customFormat="1"/>
    <row r="5338" s="8" customFormat="1"/>
    <row r="5339" s="8" customFormat="1"/>
    <row r="5340" s="8" customFormat="1"/>
    <row r="5341" s="8" customFormat="1"/>
    <row r="5342" s="8" customFormat="1"/>
    <row r="5343" s="8" customFormat="1"/>
    <row r="5344" s="8" customFormat="1"/>
    <row r="5345" s="8" customFormat="1"/>
    <row r="5346" s="8" customFormat="1"/>
    <row r="5347" s="8" customFormat="1"/>
    <row r="5348" s="8" customFormat="1"/>
    <row r="5349" s="8" customFormat="1"/>
    <row r="5350" s="8" customFormat="1"/>
    <row r="5351" s="8" customFormat="1"/>
    <row r="5352" s="8" customFormat="1"/>
    <row r="5353" s="8" customFormat="1"/>
    <row r="5354" s="8" customFormat="1"/>
    <row r="5355" s="8" customFormat="1"/>
    <row r="5356" s="8" customFormat="1"/>
    <row r="5357" s="8" customFormat="1"/>
    <row r="5358" s="8" customFormat="1"/>
    <row r="5359" s="8" customFormat="1"/>
    <row r="5360" s="8" customFormat="1"/>
    <row r="5361" s="8" customFormat="1"/>
    <row r="5362" s="8" customFormat="1"/>
    <row r="5363" s="8" customFormat="1"/>
    <row r="5364" s="8" customFormat="1"/>
    <row r="5365" s="8" customFormat="1"/>
    <row r="5366" s="8" customFormat="1"/>
    <row r="5367" s="8" customFormat="1"/>
    <row r="5368" s="8" customFormat="1"/>
    <row r="5369" s="8" customFormat="1"/>
    <row r="5370" s="8" customFormat="1"/>
    <row r="5371" s="8" customFormat="1"/>
    <row r="5372" s="8" customFormat="1"/>
    <row r="5373" s="8" customFormat="1"/>
    <row r="5374" s="8" customFormat="1"/>
    <row r="5375" s="8" customFormat="1"/>
    <row r="5376" s="8" customFormat="1"/>
    <row r="5377" s="8" customFormat="1"/>
    <row r="5378" s="8" customFormat="1"/>
    <row r="5379" s="8" customFormat="1"/>
    <row r="5380" s="8" customFormat="1"/>
    <row r="5381" s="8" customFormat="1"/>
    <row r="5382" s="8" customFormat="1"/>
    <row r="5383" s="8" customFormat="1"/>
    <row r="5384" s="8" customFormat="1"/>
    <row r="5385" s="8" customFormat="1"/>
    <row r="5386" s="8" customFormat="1"/>
    <row r="5387" s="8" customFormat="1"/>
    <row r="5388" s="8" customFormat="1"/>
    <row r="5389" s="8" customFormat="1"/>
    <row r="5390" s="8" customFormat="1"/>
    <row r="5391" s="8" customFormat="1"/>
    <row r="5392" s="8" customFormat="1"/>
    <row r="5393" s="8" customFormat="1"/>
    <row r="5394" s="8" customFormat="1"/>
    <row r="5395" s="8" customFormat="1"/>
    <row r="5396" s="8" customFormat="1"/>
    <row r="5397" s="8" customFormat="1"/>
    <row r="5398" s="8" customFormat="1"/>
    <row r="5399" s="8" customFormat="1"/>
    <row r="5400" s="8" customFormat="1"/>
    <row r="5401" s="8" customFormat="1"/>
    <row r="5402" s="8" customFormat="1"/>
    <row r="5403" s="8" customFormat="1"/>
    <row r="5404" s="8" customFormat="1"/>
    <row r="5405" s="8" customFormat="1"/>
    <row r="5406" s="8" customFormat="1"/>
    <row r="5407" s="8" customFormat="1"/>
    <row r="5408" s="8" customFormat="1"/>
    <row r="5409" s="8" customFormat="1"/>
    <row r="5410" s="8" customFormat="1"/>
    <row r="5411" s="8" customFormat="1"/>
    <row r="5412" s="8" customFormat="1"/>
    <row r="5413" s="8" customFormat="1"/>
    <row r="5414" s="8" customFormat="1"/>
    <row r="5415" s="8" customFormat="1"/>
    <row r="5416" s="8" customFormat="1"/>
    <row r="5417" s="8" customFormat="1"/>
    <row r="5418" s="8" customFormat="1"/>
    <row r="5419" s="8" customFormat="1"/>
    <row r="5420" s="8" customFormat="1"/>
    <row r="5421" s="8" customFormat="1"/>
    <row r="5422" s="8" customFormat="1"/>
    <row r="5423" s="8" customFormat="1"/>
    <row r="5424" s="8" customFormat="1"/>
    <row r="5425" s="8" customFormat="1"/>
    <row r="5426" s="8" customFormat="1"/>
    <row r="5427" s="8" customFormat="1"/>
    <row r="5428" s="8" customFormat="1"/>
    <row r="5429" s="8" customFormat="1"/>
    <row r="5430" s="8" customFormat="1"/>
    <row r="5431" s="8" customFormat="1"/>
    <row r="5432" s="8" customFormat="1"/>
    <row r="5433" s="8" customFormat="1"/>
    <row r="5434" s="8" customFormat="1"/>
    <row r="5435" s="8" customFormat="1"/>
    <row r="5436" s="8" customFormat="1"/>
    <row r="5437" s="8" customFormat="1"/>
    <row r="5438" s="8" customFormat="1"/>
    <row r="5439" s="8" customFormat="1"/>
    <row r="5440" s="8" customFormat="1"/>
    <row r="5441" s="8" customFormat="1"/>
    <row r="5442" s="8" customFormat="1"/>
    <row r="5443" s="8" customFormat="1"/>
    <row r="5444" s="8" customFormat="1"/>
    <row r="5445" s="8" customFormat="1"/>
    <row r="5446" s="8" customFormat="1"/>
    <row r="5447" s="8" customFormat="1"/>
    <row r="5448" s="8" customFormat="1"/>
    <row r="5449" s="8" customFormat="1"/>
    <row r="5450" s="8" customFormat="1"/>
    <row r="5451" s="8" customFormat="1"/>
    <row r="5452" s="8" customFormat="1"/>
    <row r="5453" s="8" customFormat="1"/>
    <row r="5454" s="8" customFormat="1"/>
    <row r="5455" s="8" customFormat="1"/>
    <row r="5456" s="8" customFormat="1"/>
    <row r="5457" s="8" customFormat="1"/>
    <row r="5458" s="8" customFormat="1"/>
    <row r="5459" s="8" customFormat="1"/>
    <row r="5460" s="8" customFormat="1"/>
    <row r="5461" s="8" customFormat="1"/>
    <row r="5462" s="8" customFormat="1"/>
    <row r="5463" s="8" customFormat="1"/>
    <row r="5464" s="8" customFormat="1"/>
    <row r="5465" s="8" customFormat="1"/>
    <row r="5466" s="8" customFormat="1"/>
    <row r="5467" s="8" customFormat="1"/>
    <row r="5468" s="8" customFormat="1"/>
    <row r="5469" s="8" customFormat="1"/>
    <row r="5470" s="8" customFormat="1"/>
    <row r="5471" s="8" customFormat="1"/>
    <row r="5472" s="8" customFormat="1"/>
    <row r="5473" s="8" customFormat="1"/>
    <row r="5474" s="8" customFormat="1"/>
    <row r="5475" s="8" customFormat="1"/>
    <row r="5476" s="8" customFormat="1"/>
    <row r="5477" s="8" customFormat="1"/>
    <row r="5478" s="8" customFormat="1"/>
    <row r="5479" s="8" customFormat="1"/>
    <row r="5480" s="8" customFormat="1"/>
    <row r="5481" s="8" customFormat="1"/>
    <row r="5482" s="8" customFormat="1"/>
    <row r="5483" s="8" customFormat="1"/>
    <row r="5484" s="8" customFormat="1"/>
    <row r="5485" s="8" customFormat="1"/>
    <row r="5486" s="8" customFormat="1"/>
    <row r="5487" s="8" customFormat="1"/>
    <row r="5488" s="8" customFormat="1"/>
    <row r="5489" s="8" customFormat="1"/>
    <row r="5490" s="8" customFormat="1"/>
    <row r="5491" s="8" customFormat="1"/>
    <row r="5492" s="8" customFormat="1"/>
    <row r="5493" s="8" customFormat="1"/>
    <row r="5494" s="8" customFormat="1"/>
    <row r="5495" s="8" customFormat="1"/>
    <row r="5496" s="8" customFormat="1"/>
    <row r="5497" s="8" customFormat="1"/>
    <row r="5498" s="8" customFormat="1"/>
    <row r="5499" s="8" customFormat="1"/>
    <row r="5500" s="8" customFormat="1"/>
    <row r="5501" s="8" customFormat="1"/>
    <row r="5502" s="8" customFormat="1"/>
    <row r="5503" s="8" customFormat="1"/>
    <row r="5504" s="8" customFormat="1"/>
    <row r="5505" s="8" customFormat="1"/>
    <row r="5506" s="8" customFormat="1"/>
    <row r="5507" s="8" customFormat="1"/>
    <row r="5508" s="8" customFormat="1"/>
    <row r="5509" s="8" customFormat="1"/>
    <row r="5510" s="8" customFormat="1"/>
    <row r="5511" s="8" customFormat="1"/>
    <row r="5512" s="8" customFormat="1"/>
    <row r="5513" s="8" customFormat="1"/>
    <row r="5514" s="8" customFormat="1"/>
    <row r="5515" s="8" customFormat="1"/>
    <row r="5516" s="8" customFormat="1"/>
    <row r="5517" s="8" customFormat="1"/>
    <row r="5518" s="8" customFormat="1"/>
    <row r="5519" s="8" customFormat="1"/>
    <row r="5520" s="8" customFormat="1"/>
    <row r="5521" s="8" customFormat="1"/>
    <row r="5522" s="8" customFormat="1"/>
    <row r="5523" s="8" customFormat="1"/>
    <row r="5524" s="8" customFormat="1"/>
    <row r="5525" s="8" customFormat="1"/>
    <row r="5526" s="8" customFormat="1"/>
    <row r="5527" s="8" customFormat="1"/>
    <row r="5528" s="8" customFormat="1"/>
    <row r="5529" s="8" customFormat="1"/>
    <row r="5530" s="8" customFormat="1"/>
    <row r="5531" s="8" customFormat="1"/>
    <row r="5532" s="8" customFormat="1"/>
    <row r="5533" s="8" customFormat="1"/>
    <row r="5534" s="8" customFormat="1"/>
    <row r="5535" s="8" customFormat="1"/>
    <row r="5536" s="8" customFormat="1"/>
    <row r="5537" s="8" customFormat="1"/>
    <row r="5538" s="8" customFormat="1"/>
    <row r="5539" s="8" customFormat="1"/>
    <row r="5540" s="8" customFormat="1"/>
    <row r="5541" s="8" customFormat="1"/>
    <row r="5542" s="8" customFormat="1"/>
    <row r="5543" s="8" customFormat="1"/>
    <row r="5544" s="8" customFormat="1"/>
    <row r="5545" s="8" customFormat="1"/>
    <row r="5546" s="8" customFormat="1"/>
    <row r="5547" s="8" customFormat="1"/>
    <row r="5548" s="8" customFormat="1"/>
    <row r="5549" s="8" customFormat="1"/>
    <row r="5550" s="8" customFormat="1"/>
    <row r="5551" s="8" customFormat="1"/>
    <row r="5552" s="8" customFormat="1"/>
    <row r="5553" s="8" customFormat="1"/>
    <row r="5554" s="8" customFormat="1"/>
    <row r="5555" s="8" customFormat="1"/>
    <row r="5556" s="8" customFormat="1"/>
    <row r="5557" s="8" customFormat="1"/>
    <row r="5558" s="8" customFormat="1"/>
    <row r="5559" s="8" customFormat="1"/>
    <row r="5560" s="8" customFormat="1"/>
    <row r="5561" s="8" customFormat="1"/>
    <row r="5562" s="8" customFormat="1"/>
    <row r="5563" s="8" customFormat="1"/>
    <row r="5564" s="8" customFormat="1"/>
    <row r="5565" s="8" customFormat="1"/>
    <row r="5566" s="8" customFormat="1"/>
    <row r="5567" s="8" customFormat="1"/>
    <row r="5568" s="8" customFormat="1"/>
    <row r="5569" s="8" customFormat="1"/>
    <row r="5570" s="8" customFormat="1"/>
    <row r="5571" s="8" customFormat="1"/>
    <row r="5572" s="8" customFormat="1"/>
    <row r="5573" s="8" customFormat="1"/>
    <row r="5574" s="8" customFormat="1"/>
    <row r="5575" s="8" customFormat="1"/>
    <row r="5576" s="8" customFormat="1"/>
    <row r="5577" s="8" customFormat="1"/>
    <row r="5578" s="8" customFormat="1"/>
    <row r="5579" s="8" customFormat="1"/>
    <row r="5580" s="8" customFormat="1"/>
    <row r="5581" s="8" customFormat="1"/>
    <row r="5582" s="8" customFormat="1"/>
    <row r="5583" s="8" customFormat="1"/>
    <row r="5584" s="8" customFormat="1"/>
    <row r="5585" s="8" customFormat="1"/>
    <row r="5586" s="8" customFormat="1"/>
    <row r="5587" s="8" customFormat="1"/>
    <row r="5588" s="8" customFormat="1"/>
    <row r="5589" s="8" customFormat="1"/>
    <row r="5590" s="8" customFormat="1"/>
    <row r="5591" s="8" customFormat="1"/>
    <row r="5592" s="8" customFormat="1"/>
    <row r="5593" s="8" customFormat="1"/>
    <row r="5594" s="8" customFormat="1"/>
    <row r="5595" s="8" customFormat="1"/>
    <row r="5596" s="8" customFormat="1"/>
    <row r="5597" s="8" customFormat="1"/>
    <row r="5598" s="8" customFormat="1"/>
    <row r="5599" s="8" customFormat="1"/>
    <row r="5600" s="8" customFormat="1"/>
    <row r="5601" s="8" customFormat="1"/>
    <row r="5602" s="8" customFormat="1"/>
    <row r="5603" s="8" customFormat="1"/>
    <row r="5604" s="8" customFormat="1"/>
    <row r="5605" s="8" customFormat="1"/>
    <row r="5606" s="8" customFormat="1"/>
    <row r="5607" s="8" customFormat="1"/>
    <row r="5608" s="8" customFormat="1"/>
    <row r="5609" s="8" customFormat="1"/>
    <row r="5610" s="8" customFormat="1"/>
    <row r="5611" s="8" customFormat="1"/>
    <row r="5612" s="8" customFormat="1"/>
    <row r="5613" s="8" customFormat="1"/>
    <row r="5614" s="8" customFormat="1"/>
    <row r="5615" s="8" customFormat="1"/>
    <row r="5616" s="8" customFormat="1"/>
    <row r="5617" s="8" customFormat="1"/>
    <row r="5618" s="8" customFormat="1"/>
    <row r="5619" s="8" customFormat="1"/>
    <row r="5620" s="8" customFormat="1"/>
    <row r="5621" s="8" customFormat="1"/>
    <row r="5622" s="8" customFormat="1"/>
    <row r="5623" s="8" customFormat="1"/>
    <row r="5624" s="8" customFormat="1"/>
    <row r="5625" s="8" customFormat="1"/>
    <row r="5626" s="8" customFormat="1"/>
    <row r="5627" s="8" customFormat="1"/>
    <row r="5628" s="8" customFormat="1"/>
    <row r="5629" s="8" customFormat="1"/>
    <row r="5630" s="8" customFormat="1"/>
    <row r="5631" s="8" customFormat="1"/>
    <row r="5632" s="8" customFormat="1"/>
    <row r="5633" s="8" customFormat="1"/>
    <row r="5634" s="8" customFormat="1"/>
    <row r="5635" s="8" customFormat="1"/>
    <row r="5636" s="8" customFormat="1"/>
    <row r="5637" s="8" customFormat="1"/>
    <row r="5638" s="8" customFormat="1"/>
    <row r="5639" s="8" customFormat="1"/>
    <row r="5640" s="8" customFormat="1"/>
    <row r="5641" s="8" customFormat="1"/>
    <row r="5642" s="8" customFormat="1"/>
    <row r="5643" s="8" customFormat="1"/>
    <row r="5644" s="8" customFormat="1"/>
    <row r="5645" s="8" customFormat="1"/>
    <row r="5646" s="8" customFormat="1"/>
    <row r="5647" s="8" customFormat="1"/>
    <row r="5648" s="8" customFormat="1"/>
    <row r="5649" s="8" customFormat="1"/>
    <row r="5650" s="8" customFormat="1"/>
    <row r="5651" s="8" customFormat="1"/>
    <row r="5652" s="8" customFormat="1"/>
    <row r="5653" s="8" customFormat="1"/>
    <row r="5654" s="8" customFormat="1"/>
    <row r="5655" s="8" customFormat="1"/>
    <row r="5656" s="8" customFormat="1"/>
    <row r="5657" s="8" customFormat="1"/>
    <row r="5658" s="8" customFormat="1"/>
    <row r="5659" s="8" customFormat="1"/>
    <row r="5660" s="8" customFormat="1"/>
    <row r="5661" s="8" customFormat="1"/>
    <row r="5662" s="8" customFormat="1"/>
    <row r="5663" s="8" customFormat="1"/>
    <row r="5664" s="8" customFormat="1"/>
    <row r="5665" s="8" customFormat="1"/>
    <row r="5666" s="8" customFormat="1"/>
    <row r="5667" s="8" customFormat="1"/>
    <row r="5668" s="8" customFormat="1"/>
    <row r="5669" s="8" customFormat="1"/>
    <row r="5670" s="8" customFormat="1"/>
    <row r="5671" s="8" customFormat="1"/>
    <row r="5672" s="8" customFormat="1"/>
    <row r="5673" s="8" customFormat="1"/>
    <row r="5674" s="8" customFormat="1"/>
    <row r="5675" s="8" customFormat="1"/>
    <row r="5676" s="8" customFormat="1"/>
    <row r="5677" s="8" customFormat="1"/>
    <row r="5678" s="8" customFormat="1"/>
    <row r="5679" s="8" customFormat="1"/>
    <row r="5680" s="8" customFormat="1"/>
    <row r="5681" s="8" customFormat="1"/>
    <row r="5682" s="8" customFormat="1"/>
    <row r="5683" s="8" customFormat="1"/>
    <row r="5684" s="8" customFormat="1"/>
    <row r="5685" s="8" customFormat="1"/>
    <row r="5686" s="8" customFormat="1"/>
    <row r="5687" s="8" customFormat="1"/>
    <row r="5688" s="8" customFormat="1"/>
    <row r="5689" s="8" customFormat="1"/>
    <row r="5690" s="8" customFormat="1"/>
    <row r="5691" s="8" customFormat="1"/>
    <row r="5692" s="8" customFormat="1"/>
    <row r="5693" s="8" customFormat="1"/>
    <row r="5694" s="8" customFormat="1"/>
    <row r="5695" s="8" customFormat="1"/>
    <row r="5696" s="8" customFormat="1"/>
    <row r="5697" s="8" customFormat="1"/>
    <row r="5698" s="8" customFormat="1"/>
    <row r="5699" s="8" customFormat="1"/>
    <row r="5700" s="8" customFormat="1"/>
    <row r="5701" s="8" customFormat="1"/>
    <row r="5702" s="8" customFormat="1"/>
    <row r="5703" s="8" customFormat="1"/>
    <row r="5704" s="8" customFormat="1"/>
    <row r="5705" s="8" customFormat="1"/>
    <row r="5706" s="8" customFormat="1"/>
    <row r="5707" s="8" customFormat="1"/>
    <row r="5708" s="8" customFormat="1"/>
    <row r="5709" s="8" customFormat="1"/>
    <row r="5710" s="8" customFormat="1"/>
    <row r="5711" s="8" customFormat="1"/>
    <row r="5712" s="8" customFormat="1"/>
    <row r="5713" s="8" customFormat="1"/>
    <row r="5714" s="8" customFormat="1"/>
    <row r="5715" s="8" customFormat="1"/>
    <row r="5716" s="8" customFormat="1"/>
    <row r="5717" s="8" customFormat="1"/>
    <row r="5718" s="8" customFormat="1"/>
    <row r="5719" s="8" customFormat="1"/>
    <row r="5720" s="8" customFormat="1"/>
    <row r="5721" s="8" customFormat="1"/>
    <row r="5722" s="8" customFormat="1"/>
    <row r="5723" s="8" customFormat="1"/>
    <row r="5724" s="8" customFormat="1"/>
    <row r="5725" s="8" customFormat="1"/>
    <row r="5726" s="8" customFormat="1"/>
    <row r="5727" s="8" customFormat="1"/>
    <row r="5728" s="8" customFormat="1"/>
    <row r="5729" s="8" customFormat="1"/>
    <row r="5730" s="8" customFormat="1"/>
    <row r="5731" s="8" customFormat="1"/>
    <row r="5732" s="8" customFormat="1"/>
    <row r="5733" s="8" customFormat="1"/>
    <row r="5734" s="8" customFormat="1"/>
    <row r="5735" s="8" customFormat="1"/>
    <row r="5736" s="8" customFormat="1"/>
    <row r="5737" s="8" customFormat="1"/>
    <row r="5738" s="8" customFormat="1"/>
    <row r="5739" s="8" customFormat="1"/>
    <row r="5740" s="8" customFormat="1"/>
    <row r="5741" s="8" customFormat="1"/>
    <row r="5742" s="8" customFormat="1"/>
    <row r="5743" s="8" customFormat="1"/>
    <row r="5744" s="8" customFormat="1"/>
    <row r="5745" s="8" customFormat="1"/>
    <row r="5746" s="8" customFormat="1"/>
    <row r="5747" s="8" customFormat="1"/>
    <row r="5748" s="8" customFormat="1"/>
    <row r="5749" s="8" customFormat="1"/>
    <row r="5750" s="8" customFormat="1"/>
    <row r="5751" s="8" customFormat="1"/>
    <row r="5752" s="8" customFormat="1"/>
    <row r="5753" s="8" customFormat="1"/>
    <row r="5754" s="8" customFormat="1"/>
    <row r="5755" s="8" customFormat="1"/>
    <row r="5756" s="8" customFormat="1"/>
    <row r="5757" s="8" customFormat="1"/>
    <row r="5758" s="8" customFormat="1"/>
    <row r="5759" s="8" customFormat="1"/>
    <row r="5760" s="8" customFormat="1"/>
    <row r="5761" s="8" customFormat="1"/>
    <row r="5762" s="8" customFormat="1"/>
    <row r="5763" s="8" customFormat="1"/>
    <row r="5764" s="8" customFormat="1"/>
    <row r="5765" s="8" customFormat="1"/>
    <row r="5766" s="8" customFormat="1"/>
    <row r="5767" s="8" customFormat="1"/>
    <row r="5768" s="8" customFormat="1"/>
    <row r="5769" s="8" customFormat="1"/>
    <row r="5770" s="8" customFormat="1"/>
    <row r="5771" s="8" customFormat="1"/>
    <row r="5772" s="8" customFormat="1"/>
    <row r="5773" s="8" customFormat="1"/>
    <row r="5774" s="8" customFormat="1"/>
    <row r="5775" s="8" customFormat="1"/>
    <row r="5776" s="8" customFormat="1"/>
    <row r="5777" s="8" customFormat="1"/>
    <row r="5778" s="8" customFormat="1"/>
    <row r="5779" s="8" customFormat="1"/>
    <row r="5780" s="8" customFormat="1"/>
    <row r="5781" s="8" customFormat="1"/>
    <row r="5782" s="8" customFormat="1"/>
    <row r="5783" s="8" customFormat="1"/>
    <row r="5784" s="8" customFormat="1"/>
    <row r="5785" s="8" customFormat="1"/>
    <row r="5786" s="8" customFormat="1"/>
    <row r="5787" s="8" customFormat="1"/>
    <row r="5788" s="8" customFormat="1"/>
    <row r="5789" s="8" customFormat="1"/>
    <row r="5790" s="8" customFormat="1"/>
    <row r="5791" s="8" customFormat="1"/>
    <row r="5792" s="8" customFormat="1"/>
    <row r="5793" s="8" customFormat="1"/>
    <row r="5794" s="8" customFormat="1"/>
    <row r="5795" s="8" customFormat="1"/>
    <row r="5796" s="8" customFormat="1"/>
    <row r="5797" s="8" customFormat="1"/>
    <row r="5798" s="8" customFormat="1"/>
    <row r="5799" s="8" customFormat="1"/>
    <row r="5800" s="8" customFormat="1"/>
    <row r="5801" s="8" customFormat="1"/>
    <row r="5802" s="8" customFormat="1"/>
    <row r="5803" s="8" customFormat="1"/>
    <row r="5804" s="8" customFormat="1"/>
    <row r="5805" s="8" customFormat="1"/>
    <row r="5806" s="8" customFormat="1"/>
    <row r="5807" s="8" customFormat="1"/>
    <row r="5808" s="8" customFormat="1"/>
    <row r="5809" s="8" customFormat="1"/>
    <row r="5810" s="8" customFormat="1"/>
    <row r="5811" s="8" customFormat="1"/>
    <row r="5812" s="8" customFormat="1"/>
    <row r="5813" s="8" customFormat="1"/>
    <row r="5814" s="8" customFormat="1"/>
    <row r="5815" s="8" customFormat="1"/>
    <row r="5816" s="8" customFormat="1"/>
    <row r="5817" s="8" customFormat="1"/>
    <row r="5818" s="8" customFormat="1"/>
    <row r="5819" s="8" customFormat="1"/>
    <row r="5820" s="8" customFormat="1"/>
    <row r="5821" s="8" customFormat="1"/>
    <row r="5822" s="8" customFormat="1"/>
    <row r="5823" s="8" customFormat="1"/>
    <row r="5824" s="8" customFormat="1"/>
    <row r="5825" s="8" customFormat="1"/>
    <row r="5826" s="8" customFormat="1"/>
    <row r="5827" s="8" customFormat="1"/>
    <row r="5828" s="8" customFormat="1"/>
    <row r="5829" s="8" customFormat="1"/>
    <row r="5830" s="8" customFormat="1"/>
    <row r="5831" s="8" customFormat="1"/>
    <row r="5832" s="8" customFormat="1"/>
    <row r="5833" s="8" customFormat="1"/>
    <row r="5834" s="8" customFormat="1"/>
    <row r="5835" s="8" customFormat="1"/>
    <row r="5836" s="8" customFormat="1"/>
    <row r="5837" s="8" customFormat="1"/>
    <row r="5838" s="8" customFormat="1"/>
    <row r="5839" s="8" customFormat="1"/>
    <row r="5840" s="8" customFormat="1"/>
    <row r="5841" s="8" customFormat="1"/>
    <row r="5842" s="8" customFormat="1"/>
    <row r="5843" s="8" customFormat="1"/>
    <row r="5844" s="8" customFormat="1"/>
    <row r="5845" s="8" customFormat="1"/>
    <row r="5846" s="8" customFormat="1"/>
    <row r="5847" s="8" customFormat="1"/>
    <row r="5848" s="8" customFormat="1"/>
    <row r="5849" s="8" customFormat="1"/>
    <row r="5850" s="8" customFormat="1"/>
    <row r="5851" s="8" customFormat="1"/>
    <row r="5852" s="8" customFormat="1"/>
    <row r="5853" s="8" customFormat="1"/>
    <row r="5854" s="8" customFormat="1"/>
    <row r="5855" s="8" customFormat="1"/>
    <row r="5856" s="8" customFormat="1"/>
    <row r="5857" s="8" customFormat="1"/>
    <row r="5858" s="8" customFormat="1"/>
    <row r="5859" s="8" customFormat="1"/>
    <row r="5860" s="8" customFormat="1"/>
    <row r="5861" s="8" customFormat="1"/>
    <row r="5862" s="8" customFormat="1"/>
    <row r="5863" s="8" customFormat="1"/>
    <row r="5864" s="8" customFormat="1"/>
    <row r="5865" s="8" customFormat="1"/>
    <row r="5866" s="8" customFormat="1"/>
    <row r="5867" s="8" customFormat="1"/>
    <row r="5868" s="8" customFormat="1"/>
    <row r="5869" s="8" customFormat="1"/>
    <row r="5870" s="8" customFormat="1"/>
    <row r="5871" s="8" customFormat="1"/>
    <row r="5872" s="8" customFormat="1"/>
    <row r="5873" s="8" customFormat="1"/>
    <row r="5874" s="8" customFormat="1"/>
    <row r="5875" s="8" customFormat="1"/>
    <row r="5876" s="8" customFormat="1"/>
    <row r="5877" s="8" customFormat="1"/>
    <row r="5878" s="8" customFormat="1"/>
    <row r="5879" s="8" customFormat="1"/>
    <row r="5880" s="8" customFormat="1"/>
    <row r="5881" s="8" customFormat="1"/>
    <row r="5882" s="8" customFormat="1"/>
    <row r="5883" s="8" customFormat="1"/>
    <row r="5884" s="8" customFormat="1"/>
    <row r="5885" s="8" customFormat="1"/>
    <row r="5886" s="8" customFormat="1"/>
    <row r="5887" s="8" customFormat="1"/>
    <row r="5888" s="8" customFormat="1"/>
    <row r="5889" s="8" customFormat="1"/>
    <row r="5890" s="8" customFormat="1"/>
    <row r="5891" s="8" customFormat="1"/>
    <row r="5892" s="8" customFormat="1"/>
    <row r="5893" s="8" customFormat="1"/>
    <row r="5894" s="8" customFormat="1"/>
    <row r="5895" s="8" customFormat="1"/>
    <row r="5896" s="8" customFormat="1"/>
    <row r="5897" s="8" customFormat="1"/>
    <row r="5898" s="8" customFormat="1"/>
    <row r="5899" s="8" customFormat="1"/>
    <row r="5900" s="8" customFormat="1"/>
    <row r="5901" s="8" customFormat="1"/>
    <row r="5902" s="8" customFormat="1"/>
    <row r="5903" s="8" customFormat="1"/>
    <row r="5904" s="8" customFormat="1"/>
    <row r="5905" s="8" customFormat="1"/>
    <row r="5906" s="8" customFormat="1"/>
    <row r="5907" s="8" customFormat="1"/>
    <row r="5908" s="8" customFormat="1"/>
    <row r="5909" s="8" customFormat="1"/>
    <row r="5910" s="8" customFormat="1"/>
    <row r="5911" s="8" customFormat="1"/>
    <row r="5912" s="8" customFormat="1"/>
    <row r="5913" s="8" customFormat="1"/>
    <row r="5914" s="8" customFormat="1"/>
    <row r="5915" s="8" customFormat="1"/>
    <row r="5916" s="8" customFormat="1"/>
    <row r="5917" s="8" customFormat="1"/>
    <row r="5918" s="8" customFormat="1"/>
    <row r="5919" s="8" customFormat="1"/>
    <row r="5920" s="8" customFormat="1"/>
    <row r="5921" s="8" customFormat="1"/>
    <row r="5922" s="8" customFormat="1"/>
    <row r="5923" s="8" customFormat="1"/>
    <row r="5924" s="8" customFormat="1"/>
    <row r="5925" s="8" customFormat="1"/>
    <row r="5926" s="8" customFormat="1"/>
    <row r="5927" s="8" customFormat="1"/>
    <row r="5928" s="8" customFormat="1"/>
    <row r="5929" s="8" customFormat="1"/>
    <row r="5930" s="8" customFormat="1"/>
    <row r="5931" s="8" customFormat="1"/>
    <row r="5932" s="8" customFormat="1"/>
    <row r="5933" s="8" customFormat="1"/>
    <row r="5934" s="8" customFormat="1"/>
    <row r="5935" s="8" customFormat="1"/>
    <row r="5936" s="8" customFormat="1"/>
    <row r="5937" s="8" customFormat="1"/>
    <row r="5938" s="8" customFormat="1"/>
    <row r="5939" s="8" customFormat="1"/>
    <row r="5940" s="8" customFormat="1"/>
    <row r="5941" s="8" customFormat="1"/>
    <row r="5942" s="8" customFormat="1"/>
    <row r="5943" s="8" customFormat="1"/>
    <row r="5944" s="8" customFormat="1"/>
    <row r="5945" s="8" customFormat="1"/>
    <row r="5946" s="8" customFormat="1"/>
    <row r="5947" s="8" customFormat="1"/>
    <row r="5948" s="8" customFormat="1"/>
    <row r="5949" s="8" customFormat="1"/>
    <row r="5950" s="8" customFormat="1"/>
    <row r="5951" s="8" customFormat="1"/>
    <row r="5952" s="8" customFormat="1"/>
    <row r="5953" s="8" customFormat="1"/>
    <row r="5954" s="8" customFormat="1"/>
    <row r="5955" s="8" customFormat="1"/>
    <row r="5956" s="8" customFormat="1"/>
    <row r="5957" s="8" customFormat="1"/>
    <row r="5958" s="8" customFormat="1"/>
    <row r="5959" s="8" customFormat="1"/>
    <row r="5960" s="8" customFormat="1"/>
    <row r="5961" s="8" customFormat="1"/>
    <row r="5962" s="8" customFormat="1"/>
    <row r="5963" s="8" customFormat="1"/>
    <row r="5964" s="8" customFormat="1"/>
    <row r="5965" s="8" customFormat="1"/>
    <row r="5966" s="8" customFormat="1"/>
    <row r="5967" s="8" customFormat="1"/>
    <row r="5968" s="8" customFormat="1"/>
    <row r="5969" s="8" customFormat="1"/>
    <row r="5970" s="8" customFormat="1"/>
    <row r="5971" s="8" customFormat="1"/>
    <row r="5972" s="8" customFormat="1"/>
    <row r="5973" s="8" customFormat="1"/>
    <row r="5974" s="8" customFormat="1"/>
    <row r="5975" s="8" customFormat="1"/>
    <row r="5976" s="8" customFormat="1"/>
    <row r="5977" s="8" customFormat="1"/>
    <row r="5978" s="8" customFormat="1"/>
    <row r="5979" s="8" customFormat="1"/>
    <row r="5980" s="8" customFormat="1"/>
    <row r="5981" s="8" customFormat="1"/>
    <row r="5982" s="8" customFormat="1"/>
    <row r="5983" s="8" customFormat="1"/>
    <row r="5984" s="8" customFormat="1"/>
    <row r="5985" s="8" customFormat="1"/>
    <row r="5986" s="8" customFormat="1"/>
    <row r="5987" s="8" customFormat="1"/>
    <row r="5988" s="8" customFormat="1"/>
    <row r="5989" s="8" customFormat="1"/>
    <row r="5990" s="8" customFormat="1"/>
    <row r="5991" s="8" customFormat="1"/>
    <row r="5992" s="8" customFormat="1"/>
    <row r="5993" s="8" customFormat="1"/>
    <row r="5994" s="8" customFormat="1"/>
    <row r="5995" s="8" customFormat="1"/>
    <row r="5996" s="8" customFormat="1"/>
    <row r="5997" s="8" customFormat="1"/>
    <row r="5998" s="8" customFormat="1"/>
    <row r="5999" s="8" customFormat="1"/>
    <row r="6000" s="8" customFormat="1"/>
    <row r="6001" s="8" customFormat="1"/>
    <row r="6002" s="8" customFormat="1"/>
    <row r="6003" s="8" customFormat="1"/>
    <row r="6004" s="8" customFormat="1"/>
    <row r="6005" s="8" customFormat="1"/>
    <row r="6006" s="8" customFormat="1"/>
    <row r="6007" s="8" customFormat="1"/>
    <row r="6008" s="8" customFormat="1"/>
    <row r="6009" s="8" customFormat="1"/>
    <row r="6010" s="8" customFormat="1"/>
    <row r="6011" s="8" customFormat="1"/>
    <row r="6012" s="8" customFormat="1"/>
    <row r="6013" s="8" customFormat="1"/>
    <row r="6014" s="8" customFormat="1"/>
    <row r="6015" s="8" customFormat="1"/>
    <row r="6016" s="8" customFormat="1"/>
    <row r="6017" s="8" customFormat="1"/>
    <row r="6018" s="8" customFormat="1"/>
    <row r="6019" s="8" customFormat="1"/>
    <row r="6020" s="8" customFormat="1"/>
    <row r="6021" s="8" customFormat="1"/>
    <row r="6022" s="8" customFormat="1"/>
    <row r="6023" s="8" customFormat="1"/>
    <row r="6024" s="8" customFormat="1"/>
    <row r="6025" s="8" customFormat="1"/>
    <row r="6026" s="8" customFormat="1"/>
    <row r="6027" s="8" customFormat="1"/>
    <row r="6028" s="8" customFormat="1"/>
    <row r="6029" s="8" customFormat="1"/>
    <row r="6030" s="8" customFormat="1"/>
    <row r="6031" s="8" customFormat="1"/>
    <row r="6032" s="8" customFormat="1"/>
    <row r="6033" s="8" customFormat="1"/>
    <row r="6034" s="8" customFormat="1"/>
    <row r="6035" s="8" customFormat="1"/>
    <row r="6036" s="8" customFormat="1"/>
    <row r="6037" s="8" customFormat="1"/>
    <row r="6038" s="8" customFormat="1"/>
    <row r="6039" s="8" customFormat="1"/>
    <row r="6040" s="8" customFormat="1"/>
    <row r="6041" s="8" customFormat="1"/>
    <row r="6042" s="8" customFormat="1"/>
    <row r="6043" s="8" customFormat="1"/>
    <row r="6044" s="8" customFormat="1"/>
    <row r="6045" s="8" customFormat="1"/>
    <row r="6046" s="8" customFormat="1"/>
    <row r="6047" s="8" customFormat="1"/>
    <row r="6048" s="8" customFormat="1"/>
    <row r="6049" s="8" customFormat="1"/>
    <row r="6050" s="8" customFormat="1"/>
    <row r="6051" s="8" customFormat="1"/>
    <row r="6052" s="8" customFormat="1"/>
    <row r="6053" s="8" customFormat="1"/>
    <row r="6054" s="8" customFormat="1"/>
    <row r="6055" s="8" customFormat="1"/>
    <row r="6056" s="8" customFormat="1"/>
    <row r="6057" s="8" customFormat="1"/>
    <row r="6058" s="8" customFormat="1"/>
    <row r="6059" s="8" customFormat="1"/>
    <row r="6060" s="8" customFormat="1"/>
    <row r="6061" s="8" customFormat="1"/>
    <row r="6062" s="8" customFormat="1"/>
    <row r="6063" s="8" customFormat="1"/>
    <row r="6064" s="8" customFormat="1"/>
    <row r="6065" s="8" customFormat="1"/>
    <row r="6066" s="8" customFormat="1"/>
    <row r="6067" s="8" customFormat="1"/>
    <row r="6068" s="8" customFormat="1"/>
    <row r="6069" s="8" customFormat="1"/>
    <row r="6070" s="8" customFormat="1"/>
    <row r="6071" s="8" customFormat="1"/>
    <row r="6072" s="8" customFormat="1"/>
    <row r="6073" s="8" customFormat="1"/>
    <row r="6074" s="8" customFormat="1"/>
    <row r="6075" s="8" customFormat="1"/>
    <row r="6076" s="8" customFormat="1"/>
    <row r="6077" s="8" customFormat="1"/>
    <row r="6078" s="8" customFormat="1"/>
    <row r="6079" s="8" customFormat="1"/>
    <row r="6080" s="8" customFormat="1"/>
    <row r="6081" s="8" customFormat="1"/>
    <row r="6082" s="8" customFormat="1"/>
    <row r="6083" s="8" customFormat="1"/>
    <row r="6084" s="8" customFormat="1"/>
    <row r="6085" s="8" customFormat="1"/>
    <row r="6086" s="8" customFormat="1"/>
    <row r="6087" s="8" customFormat="1"/>
    <row r="6088" s="8" customFormat="1"/>
    <row r="6089" s="8" customFormat="1"/>
    <row r="6090" s="8" customFormat="1"/>
    <row r="6091" s="8" customFormat="1"/>
    <row r="6092" s="8" customFormat="1"/>
    <row r="6093" s="8" customFormat="1"/>
    <row r="6094" s="8" customFormat="1"/>
    <row r="6095" s="8" customFormat="1"/>
    <row r="6096" s="8" customFormat="1"/>
    <row r="6097" s="8" customFormat="1"/>
    <row r="6098" s="8" customFormat="1"/>
    <row r="6099" s="8" customFormat="1"/>
    <row r="6100" s="8" customFormat="1"/>
    <row r="6101" s="8" customFormat="1"/>
    <row r="6102" s="8" customFormat="1"/>
    <row r="6103" s="8" customFormat="1"/>
    <row r="6104" s="8" customFormat="1"/>
    <row r="6105" s="8" customFormat="1"/>
    <row r="6106" s="8" customFormat="1"/>
    <row r="6107" s="8" customFormat="1"/>
    <row r="6108" s="8" customFormat="1"/>
    <row r="6109" s="8" customFormat="1"/>
    <row r="6110" s="8" customFormat="1"/>
    <row r="6111" s="8" customFormat="1"/>
    <row r="6112" s="8" customFormat="1"/>
    <row r="6113" s="8" customFormat="1"/>
    <row r="6114" s="8" customFormat="1"/>
    <row r="6115" s="8" customFormat="1"/>
    <row r="6116" s="8" customFormat="1"/>
    <row r="6117" s="8" customFormat="1"/>
    <row r="6118" s="8" customFormat="1"/>
    <row r="6119" s="8" customFormat="1"/>
    <row r="6120" s="8" customFormat="1"/>
    <row r="6121" s="8" customFormat="1"/>
    <row r="6122" s="8" customFormat="1"/>
    <row r="6123" s="8" customFormat="1"/>
    <row r="6124" s="8" customFormat="1"/>
    <row r="6125" s="8" customFormat="1"/>
    <row r="6126" s="8" customFormat="1"/>
    <row r="6127" s="8" customFormat="1"/>
    <row r="6128" s="8" customFormat="1"/>
    <row r="6129" s="8" customFormat="1"/>
    <row r="6130" s="8" customFormat="1"/>
    <row r="6131" s="8" customFormat="1"/>
    <row r="6132" s="8" customFormat="1"/>
    <row r="6133" s="8" customFormat="1"/>
    <row r="6134" s="8" customFormat="1"/>
    <row r="6135" s="8" customFormat="1"/>
    <row r="6136" s="8" customFormat="1"/>
    <row r="6137" s="8" customFormat="1"/>
    <row r="6138" s="8" customFormat="1"/>
    <row r="6139" s="8" customFormat="1"/>
    <row r="6140" s="8" customFormat="1"/>
    <row r="6141" s="8" customFormat="1"/>
    <row r="6142" s="8" customFormat="1"/>
    <row r="6143" s="8" customFormat="1"/>
    <row r="6144" s="8" customFormat="1"/>
    <row r="6145" s="8" customFormat="1"/>
    <row r="6146" s="8" customFormat="1"/>
    <row r="6147" s="8" customFormat="1"/>
    <row r="6148" s="8" customFormat="1"/>
    <row r="6149" s="8" customFormat="1"/>
    <row r="6150" s="8" customFormat="1"/>
    <row r="6151" s="8" customFormat="1"/>
    <row r="6152" s="8" customFormat="1"/>
    <row r="6153" s="8" customFormat="1"/>
    <row r="6154" s="8" customFormat="1"/>
    <row r="6155" s="8" customFormat="1"/>
    <row r="6156" s="8" customFormat="1"/>
    <row r="6157" s="8" customFormat="1"/>
    <row r="6158" s="8" customFormat="1"/>
    <row r="6159" s="8" customFormat="1"/>
    <row r="6160" s="8" customFormat="1"/>
    <row r="6161" s="8" customFormat="1"/>
    <row r="6162" s="8" customFormat="1"/>
    <row r="6163" s="8" customFormat="1"/>
    <row r="6164" s="8" customFormat="1"/>
    <row r="6165" s="8" customFormat="1"/>
    <row r="6166" s="8" customFormat="1"/>
    <row r="6167" s="8" customFormat="1"/>
    <row r="6168" s="8" customFormat="1"/>
    <row r="6169" s="8" customFormat="1"/>
    <row r="6170" s="8" customFormat="1"/>
    <row r="6171" s="8" customFormat="1"/>
    <row r="6172" s="8" customFormat="1"/>
    <row r="6173" s="8" customFormat="1"/>
    <row r="6174" s="8" customFormat="1"/>
    <row r="6175" s="8" customFormat="1"/>
    <row r="6176" s="8" customFormat="1"/>
    <row r="6177" s="8" customFormat="1"/>
    <row r="6178" s="8" customFormat="1"/>
    <row r="6179" s="8" customFormat="1"/>
    <row r="6180" s="8" customFormat="1"/>
    <row r="6181" s="8" customFormat="1"/>
    <row r="6182" s="8" customFormat="1"/>
    <row r="6183" s="8" customFormat="1"/>
    <row r="6184" s="8" customFormat="1"/>
    <row r="6185" s="8" customFormat="1"/>
    <row r="6186" s="8" customFormat="1"/>
    <row r="6187" s="8" customFormat="1"/>
    <row r="6188" s="8" customFormat="1"/>
    <row r="6189" s="8" customFormat="1"/>
    <row r="6190" s="8" customFormat="1"/>
    <row r="6191" s="8" customFormat="1"/>
    <row r="6192" s="8" customFormat="1"/>
    <row r="6193" s="8" customFormat="1"/>
    <row r="6194" s="8" customFormat="1"/>
    <row r="6195" s="8" customFormat="1"/>
    <row r="6196" s="8" customFormat="1"/>
    <row r="6197" s="8" customFormat="1"/>
    <row r="6198" s="8" customFormat="1"/>
    <row r="6199" s="8" customFormat="1"/>
    <row r="6200" s="8" customFormat="1"/>
    <row r="6201" s="8" customFormat="1"/>
    <row r="6202" s="8" customFormat="1"/>
    <row r="6203" s="8" customFormat="1"/>
    <row r="6204" s="8" customFormat="1"/>
    <row r="6205" s="8" customFormat="1"/>
    <row r="6206" s="8" customFormat="1"/>
    <row r="6207" s="8" customFormat="1"/>
    <row r="6208" s="8" customFormat="1"/>
    <row r="6209" s="8" customFormat="1"/>
    <row r="6210" s="8" customFormat="1"/>
    <row r="6211" s="8" customFormat="1"/>
    <row r="6212" s="8" customFormat="1"/>
    <row r="6213" s="8" customFormat="1"/>
    <row r="6214" s="8" customFormat="1"/>
    <row r="6215" s="8" customFormat="1"/>
    <row r="6216" s="8" customFormat="1"/>
    <row r="6217" s="8" customFormat="1"/>
    <row r="6218" s="8" customFormat="1"/>
    <row r="6219" s="8" customFormat="1"/>
    <row r="6220" s="8" customFormat="1"/>
    <row r="6221" s="8" customFormat="1"/>
    <row r="6222" s="8" customFormat="1"/>
    <row r="6223" s="8" customFormat="1"/>
    <row r="6224" s="8" customFormat="1"/>
    <row r="6225" s="8" customFormat="1"/>
    <row r="6226" s="8" customFormat="1"/>
    <row r="6227" s="8" customFormat="1"/>
    <row r="6228" s="8" customFormat="1"/>
    <row r="6229" s="8" customFormat="1"/>
    <row r="6230" s="8" customFormat="1"/>
    <row r="6231" s="8" customFormat="1"/>
    <row r="6232" s="8" customFormat="1"/>
    <row r="6233" s="8" customFormat="1"/>
    <row r="6234" s="8" customFormat="1"/>
    <row r="6235" s="8" customFormat="1"/>
    <row r="6236" s="8" customFormat="1"/>
    <row r="6237" s="8" customFormat="1"/>
    <row r="6238" s="8" customFormat="1"/>
    <row r="6239" s="8" customFormat="1"/>
    <row r="6240" s="8" customFormat="1"/>
    <row r="6241" s="8" customFormat="1"/>
    <row r="6242" s="8" customFormat="1"/>
    <row r="6243" s="8" customFormat="1"/>
    <row r="6244" s="8" customFormat="1"/>
    <row r="6245" s="8" customFormat="1"/>
    <row r="6246" s="8" customFormat="1"/>
    <row r="6247" s="8" customFormat="1"/>
    <row r="6248" s="8" customFormat="1"/>
    <row r="6249" s="8" customFormat="1"/>
    <row r="6250" s="8" customFormat="1"/>
    <row r="6251" s="8" customFormat="1"/>
    <row r="6252" s="8" customFormat="1"/>
    <row r="6253" s="8" customFormat="1"/>
    <row r="6254" s="8" customFormat="1"/>
    <row r="6255" s="8" customFormat="1"/>
    <row r="6256" s="8" customFormat="1"/>
    <row r="6257" s="8" customFormat="1"/>
    <row r="6258" s="8" customFormat="1"/>
    <row r="6259" s="8" customFormat="1"/>
    <row r="6260" s="8" customFormat="1"/>
    <row r="6261" s="8" customFormat="1"/>
    <row r="6262" s="8" customFormat="1"/>
    <row r="6263" s="8" customFormat="1"/>
    <row r="6264" s="8" customFormat="1"/>
    <row r="6265" s="8" customFormat="1"/>
    <row r="6266" s="8" customFormat="1"/>
    <row r="6267" s="8" customFormat="1"/>
    <row r="6268" s="8" customFormat="1"/>
    <row r="6269" s="8" customFormat="1"/>
    <row r="6270" s="8" customFormat="1"/>
    <row r="6271" s="8" customFormat="1"/>
    <row r="6272" s="8" customFormat="1"/>
    <row r="6273" s="8" customFormat="1"/>
    <row r="6274" s="8" customFormat="1"/>
    <row r="6275" s="8" customFormat="1"/>
    <row r="6276" s="8" customFormat="1"/>
    <row r="6277" s="8" customFormat="1"/>
    <row r="6278" s="8" customFormat="1"/>
    <row r="6279" s="8" customFormat="1"/>
    <row r="6280" s="8" customFormat="1"/>
    <row r="6281" s="8" customFormat="1"/>
    <row r="6282" s="8" customFormat="1"/>
    <row r="6283" s="8" customFormat="1"/>
    <row r="6284" s="8" customFormat="1"/>
    <row r="6285" s="8" customFormat="1"/>
    <row r="6286" s="8" customFormat="1"/>
    <row r="6287" s="8" customFormat="1"/>
    <row r="6288" s="8" customFormat="1"/>
    <row r="6289" s="8" customFormat="1"/>
    <row r="6290" s="8" customFormat="1"/>
    <row r="6291" s="8" customFormat="1"/>
    <row r="6292" s="8" customFormat="1"/>
    <row r="6293" s="8" customFormat="1"/>
    <row r="6294" s="8" customFormat="1"/>
    <row r="6295" s="8" customFormat="1"/>
    <row r="6296" s="8" customFormat="1"/>
    <row r="6297" s="8" customFormat="1"/>
    <row r="6298" s="8" customFormat="1"/>
    <row r="6299" s="8" customFormat="1"/>
    <row r="6300" s="8" customFormat="1"/>
    <row r="6301" s="8" customFormat="1"/>
    <row r="6302" s="8" customFormat="1"/>
    <row r="6303" s="8" customFormat="1"/>
    <row r="6304" s="8" customFormat="1"/>
    <row r="6305" s="8" customFormat="1"/>
    <row r="6306" s="8" customFormat="1"/>
    <row r="6307" s="8" customFormat="1"/>
    <row r="6308" s="8" customFormat="1"/>
    <row r="6309" s="8" customFormat="1"/>
    <row r="6310" s="8" customFormat="1"/>
    <row r="6311" s="8" customFormat="1"/>
    <row r="6312" s="8" customFormat="1"/>
    <row r="6313" s="8" customFormat="1"/>
    <row r="6314" s="8" customFormat="1"/>
    <row r="6315" s="8" customFormat="1"/>
    <row r="6316" s="8" customFormat="1"/>
    <row r="6317" s="8" customFormat="1"/>
    <row r="6318" s="8" customFormat="1"/>
    <row r="6319" s="8" customFormat="1"/>
    <row r="6320" s="8" customFormat="1"/>
    <row r="6321" s="8" customFormat="1"/>
    <row r="6322" s="8" customFormat="1"/>
    <row r="6323" s="8" customFormat="1"/>
    <row r="6324" s="8" customFormat="1"/>
    <row r="6325" s="8" customFormat="1"/>
    <row r="6326" s="8" customFormat="1"/>
    <row r="6327" s="8" customFormat="1"/>
    <row r="6328" s="8" customFormat="1"/>
    <row r="6329" s="8" customFormat="1"/>
    <row r="6330" s="8" customFormat="1"/>
    <row r="6331" s="8" customFormat="1"/>
    <row r="6332" s="8" customFormat="1"/>
    <row r="6333" s="8" customFormat="1"/>
    <row r="6334" s="8" customFormat="1"/>
    <row r="6335" s="8" customFormat="1"/>
    <row r="6336" s="8" customFormat="1"/>
    <row r="6337" s="8" customFormat="1"/>
    <row r="6338" s="8" customFormat="1"/>
    <row r="6339" s="8" customFormat="1"/>
    <row r="6340" s="8" customFormat="1"/>
    <row r="6341" s="8" customFormat="1"/>
    <row r="6342" s="8" customFormat="1"/>
    <row r="6343" s="8" customFormat="1"/>
    <row r="6344" s="8" customFormat="1"/>
    <row r="6345" s="8" customFormat="1"/>
    <row r="6346" s="8" customFormat="1"/>
    <row r="6347" s="8" customFormat="1"/>
    <row r="6348" s="8" customFormat="1"/>
    <row r="6349" s="8" customFormat="1"/>
    <row r="6350" s="8" customFormat="1"/>
    <row r="6351" s="8" customFormat="1"/>
    <row r="6352" s="8" customFormat="1"/>
    <row r="6353" s="8" customFormat="1"/>
    <row r="6354" s="8" customFormat="1"/>
    <row r="6355" s="8" customFormat="1"/>
    <row r="6356" s="8" customFormat="1"/>
    <row r="6357" s="8" customFormat="1"/>
    <row r="6358" s="8" customFormat="1"/>
    <row r="6359" s="8" customFormat="1"/>
    <row r="6360" s="8" customFormat="1"/>
    <row r="6361" s="8" customFormat="1"/>
    <row r="6362" s="8" customFormat="1"/>
    <row r="6363" s="8" customFormat="1"/>
    <row r="6364" s="8" customFormat="1"/>
    <row r="6365" s="8" customFormat="1"/>
    <row r="6366" s="8" customFormat="1"/>
    <row r="6367" s="8" customFormat="1"/>
    <row r="6368" s="8" customFormat="1"/>
    <row r="6369" s="8" customFormat="1"/>
    <row r="6370" s="8" customFormat="1"/>
    <row r="6371" s="8" customFormat="1"/>
    <row r="6372" s="8" customFormat="1"/>
    <row r="6373" s="8" customFormat="1"/>
    <row r="6374" s="8" customFormat="1"/>
    <row r="6375" s="8" customFormat="1"/>
    <row r="6376" s="8" customFormat="1"/>
    <row r="6377" s="8" customFormat="1"/>
    <row r="6378" s="8" customFormat="1"/>
    <row r="6379" s="8" customFormat="1"/>
    <row r="6380" s="8" customFormat="1"/>
    <row r="6381" s="8" customFormat="1"/>
    <row r="6382" s="8" customFormat="1"/>
    <row r="6383" s="8" customFormat="1"/>
    <row r="6384" s="8" customFormat="1"/>
    <row r="6385" s="8" customFormat="1"/>
    <row r="6386" s="8" customFormat="1"/>
    <row r="6387" s="8" customFormat="1"/>
    <row r="6388" s="8" customFormat="1"/>
    <row r="6389" s="8" customFormat="1"/>
    <row r="6390" s="8" customFormat="1"/>
    <row r="6391" s="8" customFormat="1"/>
    <row r="6392" s="8" customFormat="1"/>
    <row r="6393" s="8" customFormat="1"/>
    <row r="6394" s="8" customFormat="1"/>
    <row r="6395" s="8" customFormat="1"/>
    <row r="6396" s="8" customFormat="1"/>
    <row r="6397" s="8" customFormat="1"/>
    <row r="6398" s="8" customFormat="1"/>
    <row r="6399" s="8" customFormat="1"/>
    <row r="6400" s="8" customFormat="1"/>
    <row r="6401" s="8" customFormat="1"/>
    <row r="6402" s="8" customFormat="1"/>
    <row r="6403" s="8" customFormat="1"/>
    <row r="6404" s="8" customFormat="1"/>
    <row r="6405" s="8" customFormat="1"/>
    <row r="6406" s="8" customFormat="1"/>
    <row r="6407" s="8" customFormat="1"/>
    <row r="6408" s="8" customFormat="1"/>
    <row r="6409" s="8" customFormat="1"/>
    <row r="6410" s="8" customFormat="1"/>
    <row r="6411" s="8" customFormat="1"/>
    <row r="6412" s="8" customFormat="1"/>
    <row r="6413" s="8" customFormat="1"/>
    <row r="6414" s="8" customFormat="1"/>
    <row r="6415" s="8" customFormat="1"/>
    <row r="6416" s="8" customFormat="1"/>
    <row r="6417" s="8" customFormat="1"/>
    <row r="6418" s="8" customFormat="1"/>
    <row r="6419" s="8" customFormat="1"/>
    <row r="6420" s="8" customFormat="1"/>
    <row r="6421" s="8" customFormat="1"/>
    <row r="6422" s="8" customFormat="1"/>
    <row r="6423" s="8" customFormat="1"/>
    <row r="6424" s="8" customFormat="1"/>
    <row r="6425" s="8" customFormat="1"/>
    <row r="6426" s="8" customFormat="1"/>
    <row r="6427" s="8" customFormat="1"/>
    <row r="6428" s="8" customFormat="1"/>
    <row r="6429" s="8" customFormat="1"/>
    <row r="6430" s="8" customFormat="1"/>
    <row r="6431" s="8" customFormat="1"/>
    <row r="6432" s="8" customFormat="1"/>
    <row r="6433" s="8" customFormat="1"/>
    <row r="6434" s="8" customFormat="1"/>
    <row r="6435" s="8" customFormat="1"/>
    <row r="6436" s="8" customFormat="1"/>
    <row r="6437" s="8" customFormat="1"/>
    <row r="6438" s="8" customFormat="1"/>
    <row r="6439" s="8" customFormat="1"/>
    <row r="6440" s="8" customFormat="1"/>
    <row r="6441" s="8" customFormat="1"/>
    <row r="6442" s="8" customFormat="1"/>
    <row r="6443" s="8" customFormat="1"/>
    <row r="6444" s="8" customFormat="1"/>
    <row r="6445" s="8" customFormat="1"/>
    <row r="6446" s="8" customFormat="1"/>
    <row r="6447" s="8" customFormat="1"/>
    <row r="6448" s="8" customFormat="1"/>
    <row r="6449" s="8" customFormat="1"/>
    <row r="6450" s="8" customFormat="1"/>
    <row r="6451" s="8" customFormat="1"/>
    <row r="6452" s="8" customFormat="1"/>
    <row r="6453" s="8" customFormat="1"/>
    <row r="6454" s="8" customFormat="1"/>
    <row r="6455" s="8" customFormat="1"/>
    <row r="6456" s="8" customFormat="1"/>
    <row r="6457" s="8" customFormat="1"/>
    <row r="6458" s="8" customFormat="1"/>
    <row r="6459" s="8" customFormat="1"/>
    <row r="6460" s="8" customFormat="1"/>
    <row r="6461" s="8" customFormat="1"/>
    <row r="6462" s="8" customFormat="1"/>
    <row r="6463" s="8" customFormat="1"/>
    <row r="6464" s="8" customFormat="1"/>
    <row r="6465" s="8" customFormat="1"/>
    <row r="6466" s="8" customFormat="1"/>
    <row r="6467" s="8" customFormat="1"/>
    <row r="6468" s="8" customFormat="1"/>
    <row r="6469" s="8" customFormat="1"/>
    <row r="6470" s="8" customFormat="1"/>
    <row r="6471" s="8" customFormat="1"/>
    <row r="6472" s="8" customFormat="1"/>
    <row r="6473" s="8" customFormat="1"/>
    <row r="6474" s="8" customFormat="1"/>
    <row r="6475" s="8" customFormat="1"/>
    <row r="6476" s="8" customFormat="1"/>
    <row r="6477" s="8" customFormat="1"/>
    <row r="6478" s="8" customFormat="1"/>
    <row r="6479" s="8" customFormat="1"/>
    <row r="6480" s="8" customFormat="1"/>
    <row r="6481" s="8" customFormat="1"/>
    <row r="6482" s="8" customFormat="1"/>
    <row r="6483" s="8" customFormat="1"/>
    <row r="6484" s="8" customFormat="1"/>
    <row r="6485" s="8" customFormat="1"/>
    <row r="6486" s="8" customFormat="1"/>
    <row r="6487" s="8" customFormat="1"/>
    <row r="6488" s="8" customFormat="1"/>
    <row r="6489" s="8" customFormat="1"/>
    <row r="6490" s="8" customFormat="1"/>
    <row r="6491" s="8" customFormat="1"/>
    <row r="6492" s="8" customFormat="1"/>
    <row r="6493" s="8" customFormat="1"/>
    <row r="6494" s="8" customFormat="1"/>
    <row r="6495" s="8" customFormat="1"/>
    <row r="6496" s="8" customFormat="1"/>
    <row r="6497" s="8" customFormat="1"/>
    <row r="6498" s="8" customFormat="1"/>
    <row r="6499" s="8" customFormat="1"/>
    <row r="6500" s="8" customFormat="1"/>
    <row r="6501" s="8" customFormat="1"/>
    <row r="6502" s="8" customFormat="1"/>
    <row r="6503" s="8" customFormat="1"/>
    <row r="6504" s="8" customFormat="1"/>
    <row r="6505" s="8" customFormat="1"/>
    <row r="6506" s="8" customFormat="1"/>
    <row r="6507" s="8" customFormat="1"/>
    <row r="6508" s="8" customFormat="1"/>
    <row r="6509" s="8" customFormat="1"/>
    <row r="6510" s="8" customFormat="1"/>
    <row r="6511" s="8" customFormat="1"/>
    <row r="6512" s="8" customFormat="1"/>
    <row r="6513" s="8" customFormat="1"/>
    <row r="6514" s="8" customFormat="1"/>
    <row r="6515" s="8" customFormat="1"/>
    <row r="6516" s="8" customFormat="1"/>
    <row r="6517" s="8" customFormat="1"/>
    <row r="6518" s="8" customFormat="1"/>
    <row r="6519" s="8" customFormat="1"/>
    <row r="6520" s="8" customFormat="1"/>
    <row r="6521" s="8" customFormat="1"/>
    <row r="6522" s="8" customFormat="1"/>
    <row r="6523" s="8" customFormat="1"/>
    <row r="6524" s="8" customFormat="1"/>
    <row r="6525" s="8" customFormat="1"/>
    <row r="6526" s="8" customFormat="1"/>
    <row r="6527" s="8" customFormat="1"/>
    <row r="6528" s="8" customFormat="1"/>
    <row r="6529" s="8" customFormat="1"/>
    <row r="6530" s="8" customFormat="1"/>
    <row r="6531" s="8" customFormat="1"/>
    <row r="6532" s="8" customFormat="1"/>
    <row r="6533" s="8" customFormat="1"/>
    <row r="6534" s="8" customFormat="1"/>
    <row r="6535" s="8" customFormat="1"/>
    <row r="6536" s="8" customFormat="1"/>
    <row r="6537" s="8" customFormat="1"/>
    <row r="6538" s="8" customFormat="1"/>
    <row r="6539" s="8" customFormat="1"/>
    <row r="6540" s="8" customFormat="1"/>
    <row r="6541" s="8" customFormat="1"/>
    <row r="6542" s="8" customFormat="1"/>
    <row r="6543" s="8" customFormat="1"/>
    <row r="6544" s="8" customFormat="1"/>
    <row r="6545" s="8" customFormat="1"/>
    <row r="6546" s="8" customFormat="1"/>
    <row r="6547" s="8" customFormat="1"/>
    <row r="6548" s="8" customFormat="1"/>
    <row r="6549" s="8" customFormat="1"/>
    <row r="6550" s="8" customFormat="1"/>
    <row r="6551" s="8" customFormat="1"/>
    <row r="6552" s="8" customFormat="1"/>
    <row r="6553" s="8" customFormat="1"/>
    <row r="6554" s="8" customFormat="1"/>
    <row r="6555" s="8" customFormat="1"/>
    <row r="6556" s="8" customFormat="1"/>
    <row r="6557" s="8" customFormat="1"/>
    <row r="6558" s="8" customFormat="1"/>
    <row r="6559" s="8" customFormat="1"/>
    <row r="6560" s="8" customFormat="1"/>
    <row r="6561" s="8" customFormat="1"/>
    <row r="6562" s="8" customFormat="1"/>
    <row r="6563" s="8" customFormat="1"/>
    <row r="6564" s="8" customFormat="1"/>
    <row r="6565" s="8" customFormat="1"/>
    <row r="6566" s="8" customFormat="1"/>
    <row r="6567" s="8" customFormat="1"/>
    <row r="6568" s="8" customFormat="1"/>
    <row r="6569" s="8" customFormat="1"/>
    <row r="6570" s="8" customFormat="1"/>
    <row r="6571" s="8" customFormat="1"/>
    <row r="6572" s="8" customFormat="1"/>
    <row r="6573" s="8" customFormat="1"/>
    <row r="6574" s="8" customFormat="1"/>
    <row r="6575" s="8" customFormat="1"/>
    <row r="6576" s="8" customFormat="1"/>
    <row r="6577" s="8" customFormat="1"/>
    <row r="6578" s="8" customFormat="1"/>
    <row r="6579" s="8" customFormat="1"/>
    <row r="6580" s="8" customFormat="1"/>
    <row r="6581" s="8" customFormat="1"/>
    <row r="6582" s="8" customFormat="1"/>
    <row r="6583" s="8" customFormat="1"/>
    <row r="6584" s="8" customFormat="1"/>
    <row r="6585" s="8" customFormat="1"/>
    <row r="6586" s="8" customFormat="1"/>
    <row r="6587" s="8" customFormat="1"/>
    <row r="6588" s="8" customFormat="1"/>
    <row r="6589" s="8" customFormat="1"/>
    <row r="6590" s="8" customFormat="1"/>
    <row r="6591" s="8" customFormat="1"/>
    <row r="6592" s="8" customFormat="1"/>
    <row r="6593" s="8" customFormat="1"/>
    <row r="6594" s="8" customFormat="1"/>
    <row r="6595" s="8" customFormat="1"/>
    <row r="6596" s="8" customFormat="1"/>
    <row r="6597" s="8" customFormat="1"/>
    <row r="6598" s="8" customFormat="1"/>
    <row r="6599" s="8" customFormat="1"/>
    <row r="6600" s="8" customFormat="1"/>
    <row r="6601" s="8" customFormat="1"/>
    <row r="6602" s="8" customFormat="1"/>
    <row r="6603" s="8" customFormat="1"/>
    <row r="6604" s="8" customFormat="1"/>
    <row r="6605" s="8" customFormat="1"/>
    <row r="6606" s="8" customFormat="1"/>
    <row r="6607" s="8" customFormat="1"/>
    <row r="6608" s="8" customFormat="1"/>
    <row r="6609" s="8" customFormat="1"/>
    <row r="6610" s="8" customFormat="1"/>
    <row r="6611" s="8" customFormat="1"/>
    <row r="6612" s="8" customFormat="1"/>
    <row r="6613" s="8" customFormat="1"/>
    <row r="6614" s="8" customFormat="1"/>
    <row r="6615" s="8" customFormat="1"/>
    <row r="6616" s="8" customFormat="1"/>
    <row r="6617" s="8" customFormat="1"/>
    <row r="6618" s="8" customFormat="1"/>
    <row r="6619" s="8" customFormat="1"/>
    <row r="6620" s="8" customFormat="1"/>
    <row r="6621" s="8" customFormat="1"/>
    <row r="6622" s="8" customFormat="1"/>
    <row r="6623" s="8" customFormat="1"/>
    <row r="6624" s="8" customFormat="1"/>
    <row r="6625" s="8" customFormat="1"/>
    <row r="6626" s="8" customFormat="1"/>
    <row r="6627" s="8" customFormat="1"/>
    <row r="6628" s="8" customFormat="1"/>
    <row r="6629" s="8" customFormat="1"/>
    <row r="6630" s="8" customFormat="1"/>
    <row r="6631" s="8" customFormat="1"/>
    <row r="6632" s="8" customFormat="1"/>
    <row r="6633" s="8" customFormat="1"/>
    <row r="6634" s="8" customFormat="1"/>
    <row r="6635" s="8" customFormat="1"/>
    <row r="6636" s="8" customFormat="1"/>
    <row r="6637" s="8" customFormat="1"/>
    <row r="6638" s="8" customFormat="1"/>
    <row r="6639" s="8" customFormat="1"/>
    <row r="6640" s="8" customFormat="1"/>
    <row r="6641" s="8" customFormat="1"/>
    <row r="6642" s="8" customFormat="1"/>
    <row r="6643" s="8" customFormat="1"/>
    <row r="6644" s="8" customFormat="1"/>
    <row r="6645" s="8" customFormat="1"/>
    <row r="6646" s="8" customFormat="1"/>
    <row r="6647" s="8" customFormat="1"/>
    <row r="6648" s="8" customFormat="1"/>
    <row r="6649" s="8" customFormat="1"/>
    <row r="6650" s="8" customFormat="1"/>
    <row r="6651" s="8" customFormat="1"/>
    <row r="6652" s="8" customFormat="1"/>
    <row r="6653" s="8" customFormat="1"/>
    <row r="6654" s="8" customFormat="1"/>
    <row r="6655" s="8" customFormat="1"/>
    <row r="6656" s="8" customFormat="1"/>
    <row r="6657" s="8" customFormat="1"/>
    <row r="6658" s="8" customFormat="1"/>
    <row r="6659" s="8" customFormat="1"/>
    <row r="6660" s="8" customFormat="1"/>
    <row r="6661" s="8" customFormat="1"/>
    <row r="6662" s="8" customFormat="1"/>
    <row r="6663" s="8" customFormat="1"/>
    <row r="6664" s="8" customFormat="1"/>
    <row r="6665" s="8" customFormat="1"/>
    <row r="6666" s="8" customFormat="1"/>
    <row r="6667" s="8" customFormat="1"/>
    <row r="6668" s="8" customFormat="1"/>
    <row r="6669" s="8" customFormat="1"/>
    <row r="6670" s="8" customFormat="1"/>
    <row r="6671" s="8" customFormat="1"/>
    <row r="6672" s="8" customFormat="1"/>
    <row r="6673" s="8" customFormat="1"/>
    <row r="6674" s="8" customFormat="1"/>
    <row r="6675" s="8" customFormat="1"/>
    <row r="6676" s="8" customFormat="1"/>
    <row r="6677" s="8" customFormat="1"/>
    <row r="6678" s="8" customFormat="1"/>
    <row r="6679" s="8" customFormat="1"/>
    <row r="6680" s="8" customFormat="1"/>
    <row r="6681" s="8" customFormat="1"/>
    <row r="6682" s="8" customFormat="1"/>
    <row r="6683" s="8" customFormat="1"/>
    <row r="6684" s="8" customFormat="1"/>
    <row r="6685" s="8" customFormat="1"/>
    <row r="6686" s="8" customFormat="1"/>
    <row r="6687" s="8" customFormat="1"/>
    <row r="6688" s="8" customFormat="1"/>
    <row r="6689" s="8" customFormat="1"/>
    <row r="6690" s="8" customFormat="1"/>
    <row r="6691" s="8" customFormat="1"/>
    <row r="6692" s="8" customFormat="1"/>
    <row r="6693" s="8" customFormat="1"/>
    <row r="6694" s="8" customFormat="1"/>
    <row r="6695" s="8" customFormat="1"/>
    <row r="6696" s="8" customFormat="1"/>
    <row r="6697" s="8" customFormat="1"/>
    <row r="6698" s="8" customFormat="1"/>
    <row r="6699" s="8" customFormat="1"/>
    <row r="6700" s="8" customFormat="1"/>
    <row r="6701" s="8" customFormat="1"/>
    <row r="6702" s="8" customFormat="1"/>
    <row r="6703" s="8" customFormat="1"/>
    <row r="6704" s="8" customFormat="1"/>
    <row r="6705" s="8" customFormat="1"/>
    <row r="6706" s="8" customFormat="1"/>
    <row r="6707" s="8" customFormat="1"/>
    <row r="6708" s="8" customFormat="1"/>
    <row r="6709" s="8" customFormat="1"/>
    <row r="6710" s="8" customFormat="1"/>
    <row r="6711" s="8" customFormat="1"/>
    <row r="6712" s="8" customFormat="1"/>
    <row r="6713" s="8" customFormat="1"/>
    <row r="6714" s="8" customFormat="1"/>
    <row r="6715" s="8" customFormat="1"/>
    <row r="6716" s="8" customFormat="1"/>
    <row r="6717" s="8" customFormat="1"/>
    <row r="6718" s="8" customFormat="1"/>
    <row r="6719" s="8" customFormat="1"/>
    <row r="6720" s="8" customFormat="1"/>
    <row r="6721" s="8" customFormat="1"/>
    <row r="6722" s="8" customFormat="1"/>
    <row r="6723" s="8" customFormat="1"/>
    <row r="6724" s="8" customFormat="1"/>
    <row r="6725" s="8" customFormat="1"/>
    <row r="6726" s="8" customFormat="1"/>
    <row r="6727" s="8" customFormat="1"/>
    <row r="6728" s="8" customFormat="1"/>
    <row r="6729" s="8" customFormat="1"/>
    <row r="6730" s="8" customFormat="1"/>
    <row r="6731" s="8" customFormat="1"/>
    <row r="6732" s="8" customFormat="1"/>
    <row r="6733" s="8" customFormat="1"/>
    <row r="6734" s="8" customFormat="1"/>
    <row r="6735" s="8" customFormat="1"/>
    <row r="6736" s="8" customFormat="1"/>
    <row r="6737" s="8" customFormat="1"/>
    <row r="6738" s="8" customFormat="1"/>
    <row r="6739" s="8" customFormat="1"/>
    <row r="6740" s="8" customFormat="1"/>
    <row r="6741" s="8" customFormat="1"/>
    <row r="6742" s="8" customFormat="1"/>
    <row r="6743" s="8" customFormat="1"/>
    <row r="6744" s="8" customFormat="1"/>
    <row r="6745" s="8" customFormat="1"/>
    <row r="6746" s="8" customFormat="1"/>
    <row r="6747" s="8" customFormat="1"/>
    <row r="6748" s="8" customFormat="1"/>
    <row r="6749" s="8" customFormat="1"/>
    <row r="6750" s="8" customFormat="1"/>
    <row r="6751" s="8" customFormat="1"/>
    <row r="6752" s="8" customFormat="1"/>
    <row r="6753" s="8" customFormat="1"/>
    <row r="6754" s="8" customFormat="1"/>
    <row r="6755" s="8" customFormat="1"/>
    <row r="6756" s="8" customFormat="1"/>
    <row r="6757" s="8" customFormat="1"/>
    <row r="6758" s="8" customFormat="1"/>
    <row r="6759" s="8" customFormat="1"/>
    <row r="6760" s="8" customFormat="1"/>
    <row r="6761" s="8" customFormat="1"/>
    <row r="6762" s="8" customFormat="1"/>
    <row r="6763" s="8" customFormat="1"/>
    <row r="6764" s="8" customFormat="1"/>
    <row r="6765" s="8" customFormat="1"/>
    <row r="6766" s="8" customFormat="1"/>
    <row r="6767" s="8" customFormat="1"/>
    <row r="6768" s="8" customFormat="1"/>
    <row r="6769" s="8" customFormat="1"/>
    <row r="6770" s="8" customFormat="1"/>
    <row r="6771" s="8" customFormat="1"/>
    <row r="6772" s="8" customFormat="1"/>
    <row r="6773" s="8" customFormat="1"/>
    <row r="6774" s="8" customFormat="1"/>
    <row r="6775" s="8" customFormat="1"/>
    <row r="6776" s="8" customFormat="1"/>
    <row r="6777" s="8" customFormat="1"/>
    <row r="6778" s="8" customFormat="1"/>
    <row r="6779" s="8" customFormat="1"/>
    <row r="6780" s="8" customFormat="1"/>
    <row r="6781" s="8" customFormat="1"/>
    <row r="6782" s="8" customFormat="1"/>
    <row r="6783" s="8" customFormat="1"/>
    <row r="6784" s="8" customFormat="1"/>
    <row r="6785" s="8" customFormat="1"/>
    <row r="6786" s="8" customFormat="1"/>
    <row r="6787" s="8" customFormat="1"/>
    <row r="6788" s="8" customFormat="1"/>
    <row r="6789" s="8" customFormat="1"/>
    <row r="6790" s="8" customFormat="1"/>
    <row r="6791" s="8" customFormat="1"/>
    <row r="6792" s="8" customFormat="1"/>
    <row r="6793" s="8" customFormat="1"/>
    <row r="6794" s="8" customFormat="1"/>
    <row r="6795" s="8" customFormat="1"/>
    <row r="6796" s="8" customFormat="1"/>
    <row r="6797" s="8" customFormat="1"/>
    <row r="6798" s="8" customFormat="1"/>
    <row r="6799" s="8" customFormat="1"/>
    <row r="6800" s="8" customFormat="1"/>
    <row r="6801" s="8" customFormat="1"/>
    <row r="6802" s="8" customFormat="1"/>
    <row r="6803" s="8" customFormat="1"/>
    <row r="6804" s="8" customFormat="1"/>
    <row r="6805" s="8" customFormat="1"/>
    <row r="6806" s="8" customFormat="1"/>
    <row r="6807" s="8" customFormat="1"/>
    <row r="6808" s="8" customFormat="1"/>
    <row r="6809" s="8" customFormat="1"/>
    <row r="6810" s="8" customFormat="1"/>
    <row r="6811" s="8" customFormat="1"/>
    <row r="6812" s="8" customFormat="1"/>
    <row r="6813" s="8" customFormat="1"/>
    <row r="6814" s="8" customFormat="1"/>
    <row r="6815" s="8" customFormat="1"/>
    <row r="6816" s="8" customFormat="1"/>
    <row r="6817" s="8" customFormat="1"/>
    <row r="6818" s="8" customFormat="1"/>
    <row r="6819" s="8" customFormat="1"/>
    <row r="6820" s="8" customFormat="1"/>
    <row r="6821" s="8" customFormat="1"/>
    <row r="6822" s="8" customFormat="1"/>
    <row r="6823" s="8" customFormat="1"/>
    <row r="6824" s="8" customFormat="1"/>
    <row r="6825" s="8" customFormat="1"/>
    <row r="6826" s="8" customFormat="1"/>
    <row r="6827" s="8" customFormat="1"/>
    <row r="6828" s="8" customFormat="1"/>
    <row r="6829" s="8" customFormat="1"/>
    <row r="6830" s="8" customFormat="1"/>
    <row r="6831" s="8" customFormat="1"/>
    <row r="6832" s="8" customFormat="1"/>
    <row r="6833" s="8" customFormat="1"/>
    <row r="6834" s="8" customFormat="1"/>
    <row r="6835" s="8" customFormat="1"/>
    <row r="6836" s="8" customFormat="1"/>
    <row r="6837" s="8" customFormat="1"/>
    <row r="6838" s="8" customFormat="1"/>
    <row r="6839" s="8" customFormat="1"/>
    <row r="6840" s="8" customFormat="1"/>
    <row r="6841" s="8" customFormat="1"/>
    <row r="6842" s="8" customFormat="1"/>
    <row r="6843" s="8" customFormat="1"/>
    <row r="6844" s="8" customFormat="1"/>
    <row r="6845" s="8" customFormat="1"/>
    <row r="6846" s="8" customFormat="1"/>
    <row r="6847" s="8" customFormat="1"/>
    <row r="6848" s="8" customFormat="1"/>
    <row r="6849" s="8" customFormat="1"/>
    <row r="6850" s="8" customFormat="1"/>
    <row r="6851" s="8" customFormat="1"/>
    <row r="6852" s="8" customFormat="1"/>
    <row r="6853" s="8" customFormat="1"/>
    <row r="6854" s="8" customFormat="1"/>
    <row r="6855" s="8" customFormat="1"/>
    <row r="6856" s="8" customFormat="1"/>
    <row r="6857" s="8" customFormat="1"/>
    <row r="6858" s="8" customFormat="1"/>
    <row r="6859" s="8" customFormat="1"/>
    <row r="6860" s="8" customFormat="1"/>
    <row r="6861" s="8" customFormat="1"/>
    <row r="6862" s="8" customFormat="1"/>
    <row r="6863" s="8" customFormat="1"/>
    <row r="6864" s="8" customFormat="1"/>
    <row r="6865" s="8" customFormat="1"/>
    <row r="6866" s="8" customFormat="1"/>
    <row r="6867" s="8" customFormat="1"/>
    <row r="6868" s="8" customFormat="1"/>
    <row r="6869" s="8" customFormat="1"/>
    <row r="6870" s="8" customFormat="1"/>
    <row r="6871" s="8" customFormat="1"/>
    <row r="6872" s="8" customFormat="1"/>
    <row r="6873" s="8" customFormat="1"/>
    <row r="6874" s="8" customFormat="1"/>
    <row r="6875" s="8" customFormat="1"/>
    <row r="6876" s="8" customFormat="1"/>
    <row r="6877" s="8" customFormat="1"/>
    <row r="6878" s="8" customFormat="1"/>
    <row r="6879" s="8" customFormat="1"/>
    <row r="6880" s="8" customFormat="1"/>
    <row r="6881" s="8" customFormat="1"/>
    <row r="6882" s="8" customFormat="1"/>
    <row r="6883" s="8" customFormat="1"/>
    <row r="6884" s="8" customFormat="1"/>
    <row r="6885" s="8" customFormat="1"/>
    <row r="6886" s="8" customFormat="1"/>
    <row r="6887" s="8" customFormat="1"/>
    <row r="6888" s="8" customFormat="1"/>
    <row r="6889" s="8" customFormat="1"/>
    <row r="6890" s="8" customFormat="1"/>
    <row r="6891" s="8" customFormat="1"/>
    <row r="6892" s="8" customFormat="1"/>
    <row r="6893" s="8" customFormat="1"/>
    <row r="6894" s="8" customFormat="1"/>
    <row r="6895" s="8" customFormat="1"/>
    <row r="6896" s="8" customFormat="1"/>
    <row r="6897" s="8" customFormat="1"/>
    <row r="6898" s="8" customFormat="1"/>
    <row r="6899" s="8" customFormat="1"/>
    <row r="6900" s="8" customFormat="1"/>
    <row r="6901" s="8" customFormat="1"/>
    <row r="6902" s="8" customFormat="1"/>
    <row r="6903" s="8" customFormat="1"/>
    <row r="6904" s="8" customFormat="1"/>
    <row r="6905" s="8" customFormat="1"/>
    <row r="6906" s="8" customFormat="1"/>
    <row r="6907" s="8" customFormat="1"/>
    <row r="6908" s="8" customFormat="1"/>
    <row r="6909" s="8" customFormat="1"/>
    <row r="6910" s="8" customFormat="1"/>
    <row r="6911" s="8" customFormat="1"/>
    <row r="6912" s="8" customFormat="1"/>
    <row r="6913" s="8" customFormat="1"/>
    <row r="6914" s="8" customFormat="1"/>
    <row r="6915" s="8" customFormat="1"/>
    <row r="6916" s="8" customFormat="1"/>
    <row r="6917" s="8" customFormat="1"/>
    <row r="6918" s="8" customFormat="1"/>
    <row r="6919" s="8" customFormat="1"/>
    <row r="6920" s="8" customFormat="1"/>
    <row r="6921" s="8" customFormat="1"/>
    <row r="6922" s="8" customFormat="1"/>
    <row r="6923" s="8" customFormat="1"/>
    <row r="6924" s="8" customFormat="1"/>
    <row r="6925" s="8" customFormat="1"/>
    <row r="6926" s="8" customFormat="1"/>
    <row r="6927" s="8" customFormat="1"/>
    <row r="6928" s="8" customFormat="1"/>
    <row r="6929" s="8" customFormat="1"/>
    <row r="6930" s="8" customFormat="1"/>
    <row r="6931" s="8" customFormat="1"/>
    <row r="6932" s="8" customFormat="1"/>
    <row r="6933" s="8" customFormat="1"/>
    <row r="6934" s="8" customFormat="1"/>
    <row r="6935" s="8" customFormat="1"/>
    <row r="6936" s="8" customFormat="1"/>
    <row r="6937" s="8" customFormat="1"/>
    <row r="6938" s="8" customFormat="1"/>
    <row r="6939" s="8" customFormat="1"/>
    <row r="6940" s="8" customFormat="1"/>
    <row r="6941" s="8" customFormat="1"/>
    <row r="6942" s="8" customFormat="1"/>
    <row r="6943" s="8" customFormat="1"/>
    <row r="6944" s="8" customFormat="1"/>
    <row r="6945" s="8" customFormat="1"/>
    <row r="6946" s="8" customFormat="1"/>
    <row r="6947" s="8" customFormat="1"/>
    <row r="6948" s="8" customFormat="1"/>
    <row r="6949" s="8" customFormat="1"/>
    <row r="6950" s="8" customFormat="1"/>
    <row r="6951" s="8" customFormat="1"/>
    <row r="6952" s="8" customFormat="1"/>
    <row r="6953" s="8" customFormat="1"/>
    <row r="6954" s="8" customFormat="1"/>
    <row r="6955" s="8" customFormat="1"/>
    <row r="6956" s="8" customFormat="1"/>
    <row r="6957" s="8" customFormat="1"/>
    <row r="6958" s="8" customFormat="1"/>
    <row r="6959" s="8" customFormat="1"/>
    <row r="6960" s="8" customFormat="1"/>
    <row r="6961" s="8" customFormat="1"/>
    <row r="6962" s="8" customFormat="1"/>
    <row r="6963" s="8" customFormat="1"/>
    <row r="6964" s="8" customFormat="1"/>
    <row r="6965" s="8" customFormat="1"/>
    <row r="6966" s="8" customFormat="1"/>
    <row r="6967" s="8" customFormat="1"/>
    <row r="6968" s="8" customFormat="1"/>
    <row r="6969" s="8" customFormat="1"/>
    <row r="6970" s="8" customFormat="1"/>
    <row r="6971" s="8" customFormat="1"/>
    <row r="6972" s="8" customFormat="1"/>
    <row r="6973" s="8" customFormat="1"/>
    <row r="6974" s="8" customFormat="1"/>
    <row r="6975" s="8" customFormat="1"/>
    <row r="6976" s="8" customFormat="1"/>
    <row r="6977" s="8" customFormat="1"/>
    <row r="6978" s="8" customFormat="1"/>
    <row r="6979" s="8" customFormat="1"/>
    <row r="6980" s="8" customFormat="1"/>
    <row r="6981" s="8" customFormat="1"/>
    <row r="6982" s="8" customFormat="1"/>
    <row r="6983" s="8" customFormat="1"/>
    <row r="6984" s="8" customFormat="1"/>
    <row r="6985" s="8" customFormat="1"/>
    <row r="6986" s="8" customFormat="1"/>
    <row r="6987" s="8" customFormat="1"/>
    <row r="6988" s="8" customFormat="1"/>
    <row r="6989" s="8" customFormat="1"/>
    <row r="6990" s="8" customFormat="1"/>
    <row r="6991" s="8" customFormat="1"/>
    <row r="6992" s="8" customFormat="1"/>
    <row r="6993" s="8" customFormat="1"/>
    <row r="6994" s="8" customFormat="1"/>
    <row r="6995" s="8" customFormat="1"/>
    <row r="6996" s="8" customFormat="1"/>
    <row r="6997" s="8" customFormat="1"/>
    <row r="6998" s="8" customFormat="1"/>
    <row r="6999" s="8" customFormat="1"/>
    <row r="7000" s="8" customFormat="1"/>
    <row r="7001" s="8" customFormat="1"/>
    <row r="7002" s="8" customFormat="1"/>
    <row r="7003" s="8" customFormat="1"/>
    <row r="7004" s="8" customFormat="1"/>
    <row r="7005" s="8" customFormat="1"/>
    <row r="7006" s="8" customFormat="1"/>
    <row r="7007" s="8" customFormat="1"/>
    <row r="7008" s="8" customFormat="1"/>
    <row r="7009" s="8" customFormat="1"/>
    <row r="7010" s="8" customFormat="1"/>
    <row r="7011" s="8" customFormat="1"/>
    <row r="7012" s="8" customFormat="1"/>
    <row r="7013" s="8" customFormat="1"/>
    <row r="7014" s="8" customFormat="1"/>
    <row r="7015" s="8" customFormat="1"/>
    <row r="7016" s="8" customFormat="1"/>
    <row r="7017" s="8" customFormat="1"/>
    <row r="7018" s="8" customFormat="1"/>
    <row r="7019" s="8" customFormat="1"/>
    <row r="7020" s="8" customFormat="1"/>
    <row r="7021" s="8" customFormat="1"/>
    <row r="7022" s="8" customFormat="1"/>
    <row r="7023" s="8" customFormat="1"/>
    <row r="7024" s="8" customFormat="1"/>
    <row r="7025" s="8" customFormat="1"/>
    <row r="7026" s="8" customFormat="1"/>
    <row r="7027" s="8" customFormat="1"/>
    <row r="7028" s="8" customFormat="1"/>
    <row r="7029" s="8" customFormat="1"/>
    <row r="7030" s="8" customFormat="1"/>
    <row r="7031" s="8" customFormat="1"/>
    <row r="7032" s="8" customFormat="1"/>
    <row r="7033" s="8" customFormat="1"/>
    <row r="7034" s="8" customFormat="1"/>
    <row r="7035" s="8" customFormat="1"/>
    <row r="7036" s="8" customFormat="1"/>
    <row r="7037" s="8" customFormat="1"/>
    <row r="7038" s="8" customFormat="1"/>
    <row r="7039" s="8" customFormat="1"/>
    <row r="7040" s="8" customFormat="1"/>
    <row r="7041" s="8" customFormat="1"/>
    <row r="7042" s="8" customFormat="1"/>
    <row r="7043" s="8" customFormat="1"/>
    <row r="7044" s="8" customFormat="1"/>
    <row r="7045" s="8" customFormat="1"/>
    <row r="7046" s="8" customFormat="1"/>
    <row r="7047" s="8" customFormat="1"/>
    <row r="7048" s="8" customFormat="1"/>
    <row r="7049" s="8" customFormat="1"/>
    <row r="7050" s="8" customFormat="1"/>
    <row r="7051" s="8" customFormat="1"/>
    <row r="7052" s="8" customFormat="1"/>
    <row r="7053" s="8" customFormat="1"/>
    <row r="7054" s="8" customFormat="1"/>
    <row r="7055" s="8" customFormat="1"/>
    <row r="7056" s="8" customFormat="1"/>
    <row r="7057" s="8" customFormat="1"/>
    <row r="7058" s="8" customFormat="1"/>
    <row r="7059" s="8" customFormat="1"/>
    <row r="7060" s="8" customFormat="1"/>
    <row r="7061" s="8" customFormat="1"/>
    <row r="7062" s="8" customFormat="1"/>
    <row r="7063" s="8" customFormat="1"/>
    <row r="7064" s="8" customFormat="1"/>
    <row r="7065" s="8" customFormat="1"/>
    <row r="7066" s="8" customFormat="1"/>
    <row r="7067" s="8" customFormat="1"/>
    <row r="7068" s="8" customFormat="1"/>
    <row r="7069" s="8" customFormat="1"/>
    <row r="7070" s="8" customFormat="1"/>
    <row r="7071" s="8" customFormat="1"/>
    <row r="7072" s="8" customFormat="1"/>
    <row r="7073" s="8" customFormat="1"/>
    <row r="7074" s="8" customFormat="1"/>
    <row r="7075" s="8" customFormat="1"/>
    <row r="7076" s="8" customFormat="1"/>
    <row r="7077" s="8" customFormat="1"/>
    <row r="7078" s="8" customFormat="1"/>
    <row r="7079" s="8" customFormat="1"/>
    <row r="7080" s="8" customFormat="1"/>
    <row r="7081" s="8" customFormat="1"/>
    <row r="7082" s="8" customFormat="1"/>
    <row r="7083" s="8" customFormat="1"/>
    <row r="7084" s="8" customFormat="1"/>
    <row r="7085" s="8" customFormat="1"/>
    <row r="7086" s="8" customFormat="1"/>
    <row r="7087" s="8" customFormat="1"/>
    <row r="7088" s="8" customFormat="1"/>
    <row r="7089" s="8" customFormat="1"/>
    <row r="7090" s="8" customFormat="1"/>
    <row r="7091" s="8" customFormat="1"/>
    <row r="7092" s="8" customFormat="1"/>
    <row r="7093" s="8" customFormat="1"/>
    <row r="7094" s="8" customFormat="1"/>
    <row r="7095" s="8" customFormat="1"/>
    <row r="7096" s="8" customFormat="1"/>
    <row r="7097" s="8" customFormat="1"/>
    <row r="7098" s="8" customFormat="1"/>
    <row r="7099" s="8" customFormat="1"/>
    <row r="7100" s="8" customFormat="1"/>
    <row r="7101" s="8" customFormat="1"/>
    <row r="7102" s="8" customFormat="1"/>
    <row r="7103" s="8" customFormat="1"/>
    <row r="7104" s="8" customFormat="1"/>
    <row r="7105" s="8" customFormat="1"/>
    <row r="7106" s="8" customFormat="1"/>
    <row r="7107" s="8" customFormat="1"/>
    <row r="7108" s="8" customFormat="1"/>
    <row r="7109" s="8" customFormat="1"/>
    <row r="7110" s="8" customFormat="1"/>
    <row r="7111" s="8" customFormat="1"/>
    <row r="7112" s="8" customFormat="1"/>
    <row r="7113" s="8" customFormat="1"/>
    <row r="7114" s="8" customFormat="1"/>
    <row r="7115" s="8" customFormat="1"/>
    <row r="7116" s="8" customFormat="1"/>
    <row r="7117" s="8" customFormat="1"/>
    <row r="7118" s="8" customFormat="1"/>
    <row r="7119" s="8" customFormat="1"/>
    <row r="7120" s="8" customFormat="1"/>
    <row r="7121" s="8" customFormat="1"/>
    <row r="7122" s="8" customFormat="1"/>
    <row r="7123" s="8" customFormat="1"/>
    <row r="7124" s="8" customFormat="1"/>
    <row r="7125" s="8" customFormat="1"/>
    <row r="7126" s="8" customFormat="1"/>
    <row r="7127" s="8" customFormat="1"/>
    <row r="7128" s="8" customFormat="1"/>
    <row r="7129" s="8" customFormat="1"/>
    <row r="7130" s="8" customFormat="1"/>
    <row r="7131" s="8" customFormat="1"/>
    <row r="7132" s="8" customFormat="1"/>
    <row r="7133" s="8" customFormat="1"/>
    <row r="7134" s="8" customFormat="1"/>
    <row r="7135" s="8" customFormat="1"/>
    <row r="7136" s="8" customFormat="1"/>
    <row r="7137" s="8" customFormat="1"/>
    <row r="7138" s="8" customFormat="1"/>
    <row r="7139" s="8" customFormat="1"/>
    <row r="7140" s="8" customFormat="1"/>
    <row r="7141" s="8" customFormat="1"/>
    <row r="7142" s="8" customFormat="1"/>
    <row r="7143" s="8" customFormat="1"/>
    <row r="7144" s="8" customFormat="1"/>
    <row r="7145" s="8" customFormat="1"/>
    <row r="7146" s="8" customFormat="1"/>
    <row r="7147" s="8" customFormat="1"/>
    <row r="7148" s="8" customFormat="1"/>
    <row r="7149" s="8" customFormat="1"/>
    <row r="7150" s="8" customFormat="1"/>
    <row r="7151" s="8" customFormat="1"/>
    <row r="7152" s="8" customFormat="1"/>
    <row r="7153" s="8" customFormat="1"/>
    <row r="7154" s="8" customFormat="1"/>
    <row r="7155" s="8" customFormat="1"/>
    <row r="7156" s="8" customFormat="1"/>
    <row r="7157" s="8" customFormat="1"/>
    <row r="7158" s="8" customFormat="1"/>
    <row r="7159" s="8" customFormat="1"/>
    <row r="7160" s="8" customFormat="1"/>
    <row r="7161" s="8" customFormat="1"/>
    <row r="7162" s="8" customFormat="1"/>
    <row r="7163" s="8" customFormat="1"/>
    <row r="7164" s="8" customFormat="1"/>
    <row r="7165" s="8" customFormat="1"/>
    <row r="7166" s="8" customFormat="1"/>
    <row r="7167" s="8" customFormat="1"/>
    <row r="7168" s="8" customFormat="1"/>
    <row r="7169" s="8" customFormat="1"/>
    <row r="7170" s="8" customFormat="1"/>
    <row r="7171" s="8" customFormat="1"/>
    <row r="7172" s="8" customFormat="1"/>
    <row r="7173" s="8" customFormat="1"/>
    <row r="7174" s="8" customFormat="1"/>
    <row r="7175" s="8" customFormat="1"/>
    <row r="7176" s="8" customFormat="1"/>
    <row r="7177" s="8" customFormat="1"/>
    <row r="7178" s="8" customFormat="1"/>
    <row r="7179" s="8" customFormat="1"/>
    <row r="7180" s="8" customFormat="1"/>
    <row r="7181" s="8" customFormat="1"/>
    <row r="7182" s="8" customFormat="1"/>
    <row r="7183" s="8" customFormat="1"/>
    <row r="7184" s="8" customFormat="1"/>
    <row r="7185" s="8" customFormat="1"/>
    <row r="7186" s="8" customFormat="1"/>
    <row r="7187" s="8" customFormat="1"/>
    <row r="7188" s="8" customFormat="1"/>
    <row r="7189" s="8" customFormat="1"/>
    <row r="7190" s="8" customFormat="1"/>
    <row r="7191" s="8" customFormat="1"/>
    <row r="7192" s="8" customFormat="1"/>
    <row r="7193" s="8" customFormat="1"/>
    <row r="7194" s="8" customFormat="1"/>
    <row r="7195" s="8" customFormat="1"/>
    <row r="7196" s="8" customFormat="1"/>
    <row r="7197" s="8" customFormat="1"/>
    <row r="7198" s="8" customFormat="1"/>
    <row r="7199" s="8" customFormat="1"/>
    <row r="7200" s="8" customFormat="1"/>
    <row r="7201" s="8" customFormat="1"/>
    <row r="7202" s="8" customFormat="1"/>
    <row r="7203" s="8" customFormat="1"/>
    <row r="7204" s="8" customFormat="1"/>
    <row r="7205" s="8" customFormat="1"/>
    <row r="7206" s="8" customFormat="1"/>
    <row r="7207" s="8" customFormat="1"/>
    <row r="7208" s="8" customFormat="1"/>
    <row r="7209" s="8" customFormat="1"/>
    <row r="7210" s="8" customFormat="1"/>
    <row r="7211" s="8" customFormat="1"/>
    <row r="7212" s="8" customFormat="1"/>
    <row r="7213" s="8" customFormat="1"/>
    <row r="7214" s="8" customFormat="1"/>
    <row r="7215" s="8" customFormat="1"/>
    <row r="7216" s="8" customFormat="1"/>
    <row r="7217" s="8" customFormat="1"/>
    <row r="7218" s="8" customFormat="1"/>
    <row r="7219" s="8" customFormat="1"/>
    <row r="7220" s="8" customFormat="1"/>
    <row r="7221" s="8" customFormat="1"/>
    <row r="7222" s="8" customFormat="1"/>
    <row r="7223" s="8" customFormat="1"/>
    <row r="7224" s="8" customFormat="1"/>
    <row r="7225" s="8" customFormat="1"/>
    <row r="7226" s="8" customFormat="1"/>
    <row r="7227" s="8" customFormat="1"/>
    <row r="7228" s="8" customFormat="1"/>
    <row r="7229" s="8" customFormat="1"/>
    <row r="7230" s="8" customFormat="1"/>
    <row r="7231" s="8" customFormat="1"/>
    <row r="7232" s="8" customFormat="1"/>
    <row r="7233" s="8" customFormat="1"/>
    <row r="7234" s="8" customFormat="1"/>
    <row r="7235" s="8" customFormat="1"/>
    <row r="7236" s="8" customFormat="1"/>
    <row r="7237" s="8" customFormat="1"/>
    <row r="7238" s="8" customFormat="1"/>
    <row r="7239" s="8" customFormat="1"/>
    <row r="7240" s="8" customFormat="1"/>
    <row r="7241" s="8" customFormat="1"/>
    <row r="7242" s="8" customFormat="1"/>
    <row r="7243" s="8" customFormat="1"/>
    <row r="7244" s="8" customFormat="1"/>
    <row r="7245" s="8" customFormat="1"/>
    <row r="7246" s="8" customFormat="1"/>
    <row r="7247" s="8" customFormat="1"/>
    <row r="7248" s="8" customFormat="1"/>
    <row r="7249" s="8" customFormat="1"/>
    <row r="7250" s="8" customFormat="1"/>
    <row r="7251" s="8" customFormat="1"/>
    <row r="7252" s="8" customFormat="1"/>
    <row r="7253" s="8" customFormat="1"/>
    <row r="7254" s="8" customFormat="1"/>
    <row r="7255" s="8" customFormat="1"/>
    <row r="7256" s="8" customFormat="1"/>
    <row r="7257" s="8" customFormat="1"/>
    <row r="7258" s="8" customFormat="1"/>
    <row r="7259" s="8" customFormat="1"/>
    <row r="7260" s="8" customFormat="1"/>
    <row r="7261" s="8" customFormat="1"/>
    <row r="7262" s="8" customFormat="1"/>
    <row r="7263" s="8" customFormat="1"/>
    <row r="7264" s="8" customFormat="1"/>
    <row r="7265" s="8" customFormat="1"/>
    <row r="7266" s="8" customFormat="1"/>
    <row r="7267" s="8" customFormat="1"/>
    <row r="7268" s="8" customFormat="1"/>
    <row r="7269" s="8" customFormat="1"/>
    <row r="7270" s="8" customFormat="1"/>
    <row r="7271" s="8" customFormat="1"/>
    <row r="7272" s="8" customFormat="1"/>
    <row r="7273" s="8" customFormat="1"/>
    <row r="7274" s="8" customFormat="1"/>
    <row r="7275" s="8" customFormat="1"/>
    <row r="7276" s="8" customFormat="1"/>
    <row r="7277" s="8" customFormat="1"/>
    <row r="7278" s="8" customFormat="1"/>
    <row r="7279" s="8" customFormat="1"/>
    <row r="7280" s="8" customFormat="1"/>
    <row r="7281" s="8" customFormat="1"/>
    <row r="7282" s="8" customFormat="1"/>
    <row r="7283" s="8" customFormat="1"/>
    <row r="7284" s="8" customFormat="1"/>
    <row r="7285" s="8" customFormat="1"/>
    <row r="7286" s="8" customFormat="1"/>
    <row r="7287" s="8" customFormat="1"/>
    <row r="7288" s="8" customFormat="1"/>
    <row r="7289" s="8" customFormat="1"/>
    <row r="7290" s="8" customFormat="1"/>
    <row r="7291" s="8" customFormat="1"/>
    <row r="7292" s="8" customFormat="1"/>
    <row r="7293" s="8" customFormat="1"/>
    <row r="7294" s="8" customFormat="1"/>
    <row r="7295" s="8" customFormat="1"/>
    <row r="7296" s="8" customFormat="1"/>
    <row r="7297" s="8" customFormat="1"/>
    <row r="7298" s="8" customFormat="1"/>
    <row r="7299" s="8" customFormat="1"/>
    <row r="7300" s="8" customFormat="1"/>
    <row r="7301" s="8" customFormat="1"/>
    <row r="7302" s="8" customFormat="1"/>
    <row r="7303" s="8" customFormat="1"/>
    <row r="7304" s="8" customFormat="1"/>
    <row r="7305" s="8" customFormat="1"/>
    <row r="7306" s="8" customFormat="1"/>
    <row r="7307" s="8" customFormat="1"/>
    <row r="7308" s="8" customFormat="1"/>
    <row r="7309" s="8" customFormat="1"/>
    <row r="7310" s="8" customFormat="1"/>
    <row r="7311" s="8" customFormat="1"/>
    <row r="7312" s="8" customFormat="1"/>
    <row r="7313" s="8" customFormat="1"/>
    <row r="7314" s="8" customFormat="1"/>
    <row r="7315" s="8" customFormat="1"/>
    <row r="7316" s="8" customFormat="1"/>
    <row r="7317" s="8" customFormat="1"/>
    <row r="7318" s="8" customFormat="1"/>
    <row r="7319" s="8" customFormat="1"/>
    <row r="7320" s="8" customFormat="1"/>
    <row r="7321" s="8" customFormat="1"/>
    <row r="7322" s="8" customFormat="1"/>
    <row r="7323" s="8" customFormat="1"/>
    <row r="7324" s="8" customFormat="1"/>
    <row r="7325" s="8" customFormat="1"/>
    <row r="7326" s="8" customFormat="1"/>
    <row r="7327" s="8" customFormat="1"/>
    <row r="7328" s="8" customFormat="1"/>
    <row r="7329" s="8" customFormat="1"/>
    <row r="7330" s="8" customFormat="1"/>
    <row r="7331" s="8" customFormat="1"/>
    <row r="7332" s="8" customFormat="1"/>
    <row r="7333" s="8" customFormat="1"/>
    <row r="7334" s="8" customFormat="1"/>
    <row r="7335" s="8" customFormat="1"/>
    <row r="7336" s="8" customFormat="1"/>
    <row r="7337" s="8" customFormat="1"/>
    <row r="7338" s="8" customFormat="1"/>
    <row r="7339" s="8" customFormat="1"/>
    <row r="7340" s="8" customFormat="1"/>
    <row r="7341" s="8" customFormat="1"/>
    <row r="7342" s="8" customFormat="1"/>
    <row r="7343" s="8" customFormat="1"/>
    <row r="7344" s="8" customFormat="1"/>
    <row r="7345" s="8" customFormat="1"/>
    <row r="7346" s="8" customFormat="1"/>
    <row r="7347" s="8" customFormat="1"/>
    <row r="7348" s="8" customFormat="1"/>
    <row r="7349" s="8" customFormat="1"/>
    <row r="7350" s="8" customFormat="1"/>
    <row r="7351" s="8" customFormat="1"/>
    <row r="7352" s="8" customFormat="1"/>
    <row r="7353" s="8" customFormat="1"/>
    <row r="7354" s="8" customFormat="1"/>
    <row r="7355" s="8" customFormat="1"/>
    <row r="7356" s="8" customFormat="1"/>
    <row r="7357" s="8" customFormat="1"/>
    <row r="7358" s="8" customFormat="1"/>
    <row r="7359" s="8" customFormat="1"/>
    <row r="7360" s="8" customFormat="1"/>
    <row r="7361" s="8" customFormat="1"/>
    <row r="7362" s="8" customFormat="1"/>
    <row r="7363" s="8" customFormat="1"/>
    <row r="7364" s="8" customFormat="1"/>
    <row r="7365" s="8" customFormat="1"/>
    <row r="7366" s="8" customFormat="1"/>
    <row r="7367" s="8" customFormat="1"/>
    <row r="7368" s="8" customFormat="1"/>
    <row r="7369" s="8" customFormat="1"/>
    <row r="7370" s="8" customFormat="1"/>
    <row r="7371" s="8" customFormat="1"/>
    <row r="7372" s="8" customFormat="1"/>
    <row r="7373" s="8" customFormat="1"/>
    <row r="7374" s="8" customFormat="1"/>
    <row r="7375" s="8" customFormat="1"/>
    <row r="7376" s="8" customFormat="1"/>
    <row r="7377" s="8" customFormat="1"/>
    <row r="7378" s="8" customFormat="1"/>
    <row r="7379" s="8" customFormat="1"/>
    <row r="7380" s="8" customFormat="1"/>
    <row r="7381" s="8" customFormat="1"/>
    <row r="7382" s="8" customFormat="1"/>
    <row r="7383" s="8" customFormat="1"/>
    <row r="7384" s="8" customFormat="1"/>
    <row r="7385" s="8" customFormat="1"/>
    <row r="7386" s="8" customFormat="1"/>
    <row r="7387" s="8" customFormat="1"/>
    <row r="7388" s="8" customFormat="1"/>
    <row r="7389" s="8" customFormat="1"/>
    <row r="7390" s="8" customFormat="1"/>
    <row r="7391" s="8" customFormat="1"/>
    <row r="7392" s="8" customFormat="1"/>
    <row r="7393" s="8" customFormat="1"/>
    <row r="7394" s="8" customFormat="1"/>
    <row r="7395" s="8" customFormat="1"/>
    <row r="7396" s="8" customFormat="1"/>
    <row r="7397" s="8" customFormat="1"/>
    <row r="7398" s="8" customFormat="1"/>
    <row r="7399" s="8" customFormat="1"/>
    <row r="7400" s="8" customFormat="1"/>
    <row r="7401" s="8" customFormat="1"/>
    <row r="7402" s="8" customFormat="1"/>
    <row r="7403" s="8" customFormat="1"/>
    <row r="7404" s="8" customFormat="1"/>
    <row r="7405" s="8" customFormat="1"/>
    <row r="7406" s="8" customFormat="1"/>
    <row r="7407" s="8" customFormat="1"/>
    <row r="7408" s="8" customFormat="1"/>
    <row r="7409" s="8" customFormat="1"/>
    <row r="7410" s="8" customFormat="1"/>
    <row r="7411" s="8" customFormat="1"/>
    <row r="7412" s="8" customFormat="1"/>
    <row r="7413" s="8" customFormat="1"/>
    <row r="7414" s="8" customFormat="1"/>
    <row r="7415" s="8" customFormat="1"/>
    <row r="7416" s="8" customFormat="1"/>
    <row r="7417" s="8" customFormat="1"/>
    <row r="7418" s="8" customFormat="1"/>
    <row r="7419" s="8" customFormat="1"/>
    <row r="7420" s="8" customFormat="1"/>
    <row r="7421" s="8" customFormat="1"/>
    <row r="7422" s="8" customFormat="1"/>
    <row r="7423" s="8" customFormat="1"/>
    <row r="7424" s="8" customFormat="1"/>
    <row r="7425" s="8" customFormat="1"/>
    <row r="7426" s="8" customFormat="1"/>
    <row r="7427" s="8" customFormat="1"/>
    <row r="7428" s="8" customFormat="1"/>
    <row r="7429" s="8" customFormat="1"/>
    <row r="7430" s="8" customFormat="1"/>
    <row r="7431" s="8" customFormat="1"/>
    <row r="7432" s="8" customFormat="1"/>
    <row r="7433" s="8" customFormat="1"/>
    <row r="7434" s="8" customFormat="1"/>
    <row r="7435" s="8" customFormat="1"/>
    <row r="7436" s="8" customFormat="1"/>
    <row r="7437" s="8" customFormat="1"/>
    <row r="7438" s="8" customFormat="1"/>
    <row r="7439" s="8" customFormat="1"/>
    <row r="7440" s="8" customFormat="1"/>
    <row r="7441" s="8" customFormat="1"/>
    <row r="7442" s="8" customFormat="1"/>
    <row r="7443" s="8" customFormat="1"/>
    <row r="7444" s="8" customFormat="1"/>
    <row r="7445" s="8" customFormat="1"/>
    <row r="7446" s="8" customFormat="1"/>
    <row r="7447" s="8" customFormat="1"/>
    <row r="7448" s="8" customFormat="1"/>
    <row r="7449" s="8" customFormat="1"/>
    <row r="7450" s="8" customFormat="1"/>
    <row r="7451" s="8" customFormat="1"/>
    <row r="7452" s="8" customFormat="1"/>
    <row r="7453" s="8" customFormat="1"/>
    <row r="7454" s="8" customFormat="1"/>
    <row r="7455" s="8" customFormat="1"/>
    <row r="7456" s="8" customFormat="1"/>
    <row r="7457" s="8" customFormat="1"/>
    <row r="7458" s="8" customFormat="1"/>
    <row r="7459" s="8" customFormat="1"/>
    <row r="7460" s="8" customFormat="1"/>
    <row r="7461" s="8" customFormat="1"/>
    <row r="7462" s="8" customFormat="1"/>
    <row r="7463" s="8" customFormat="1"/>
    <row r="7464" s="8" customFormat="1"/>
    <row r="7465" s="8" customFormat="1"/>
    <row r="7466" s="8" customFormat="1"/>
    <row r="7467" s="8" customFormat="1"/>
    <row r="7468" s="8" customFormat="1"/>
    <row r="7469" s="8" customFormat="1"/>
    <row r="7470" s="8" customFormat="1"/>
    <row r="7471" s="8" customFormat="1"/>
    <row r="7472" s="8" customFormat="1"/>
    <row r="7473" s="8" customFormat="1"/>
    <row r="7474" s="8" customFormat="1"/>
    <row r="7475" s="8" customFormat="1"/>
    <row r="7476" s="8" customFormat="1"/>
    <row r="7477" s="8" customFormat="1"/>
    <row r="7478" s="8" customFormat="1"/>
    <row r="7479" s="8" customFormat="1"/>
    <row r="7480" s="8" customFormat="1"/>
    <row r="7481" s="8" customFormat="1"/>
    <row r="7482" s="8" customFormat="1"/>
    <row r="7483" s="8" customFormat="1"/>
    <row r="7484" s="8" customFormat="1"/>
    <row r="7485" s="8" customFormat="1"/>
    <row r="7486" s="8" customFormat="1"/>
    <row r="7487" s="8" customFormat="1"/>
    <row r="7488" s="8" customFormat="1"/>
    <row r="7489" s="8" customFormat="1"/>
    <row r="7490" s="8" customFormat="1"/>
    <row r="7491" s="8" customFormat="1"/>
    <row r="7492" s="8" customFormat="1"/>
    <row r="7493" s="8" customFormat="1"/>
    <row r="7494" s="8" customFormat="1"/>
    <row r="7495" s="8" customFormat="1"/>
    <row r="7496" s="8" customFormat="1"/>
    <row r="7497" s="8" customFormat="1"/>
    <row r="7498" s="8" customFormat="1"/>
    <row r="7499" s="8" customFormat="1"/>
    <row r="7500" s="8" customFormat="1"/>
    <row r="7501" s="8" customFormat="1"/>
    <row r="7502" s="8" customFormat="1"/>
    <row r="7503" s="8" customFormat="1"/>
    <row r="7504" s="8" customFormat="1"/>
    <row r="7505" s="8" customFormat="1"/>
    <row r="7506" s="8" customFormat="1"/>
    <row r="7507" s="8" customFormat="1"/>
    <row r="7508" s="8" customFormat="1"/>
    <row r="7509" s="8" customFormat="1"/>
    <row r="7510" s="8" customFormat="1"/>
    <row r="7511" s="8" customFormat="1"/>
    <row r="7512" s="8" customFormat="1"/>
    <row r="7513" s="8" customFormat="1"/>
    <row r="7514" s="8" customFormat="1"/>
    <row r="7515" s="8" customFormat="1"/>
    <row r="7516" s="8" customFormat="1"/>
    <row r="7517" s="8" customFormat="1"/>
    <row r="7518" s="8" customFormat="1"/>
    <row r="7519" s="8" customFormat="1"/>
    <row r="7520" s="8" customFormat="1"/>
    <row r="7521" s="8" customFormat="1"/>
    <row r="7522" s="8" customFormat="1"/>
    <row r="7523" s="8" customFormat="1"/>
    <row r="7524" s="8" customFormat="1"/>
    <row r="7525" s="8" customFormat="1"/>
    <row r="7526" s="8" customFormat="1"/>
    <row r="7527" s="8" customFormat="1"/>
    <row r="7528" s="8" customFormat="1"/>
    <row r="7529" s="8" customFormat="1"/>
    <row r="7530" s="8" customFormat="1"/>
    <row r="7531" s="8" customFormat="1"/>
    <row r="7532" s="8" customFormat="1"/>
    <row r="7533" s="8" customFormat="1"/>
    <row r="7534" s="8" customFormat="1"/>
    <row r="7535" s="8" customFormat="1"/>
    <row r="7536" s="8" customFormat="1"/>
    <row r="7537" s="8" customFormat="1"/>
    <row r="7538" s="8" customFormat="1"/>
    <row r="7539" s="8" customFormat="1"/>
    <row r="7540" s="8" customFormat="1"/>
    <row r="7541" s="8" customFormat="1"/>
    <row r="7542" s="8" customFormat="1"/>
    <row r="7543" s="8" customFormat="1"/>
    <row r="7544" s="8" customFormat="1"/>
    <row r="7545" s="8" customFormat="1"/>
    <row r="7546" s="8" customFormat="1"/>
    <row r="7547" s="8" customFormat="1"/>
    <row r="7548" s="8" customFormat="1"/>
    <row r="7549" s="8" customFormat="1"/>
    <row r="7550" s="8" customFormat="1"/>
    <row r="7551" s="8" customFormat="1"/>
    <row r="7552" s="8" customFormat="1"/>
    <row r="7553" s="8" customFormat="1"/>
    <row r="7554" s="8" customFormat="1"/>
    <row r="7555" s="8" customFormat="1"/>
    <row r="7556" s="8" customFormat="1"/>
    <row r="7557" s="8" customFormat="1"/>
    <row r="7558" s="8" customFormat="1"/>
    <row r="7559" s="8" customFormat="1"/>
    <row r="7560" s="8" customFormat="1"/>
    <row r="7561" s="8" customFormat="1"/>
    <row r="7562" s="8" customFormat="1"/>
    <row r="7563" s="8" customFormat="1"/>
    <row r="7564" s="8" customFormat="1"/>
    <row r="7565" s="8" customFormat="1"/>
    <row r="7566" s="8" customFormat="1"/>
    <row r="7567" s="8" customFormat="1"/>
    <row r="7568" s="8" customFormat="1"/>
    <row r="7569" s="8" customFormat="1"/>
    <row r="7570" s="8" customFormat="1"/>
    <row r="7571" s="8" customFormat="1"/>
    <row r="7572" s="8" customFormat="1"/>
    <row r="7573" s="8" customFormat="1"/>
    <row r="7574" s="8" customFormat="1"/>
    <row r="7575" s="8" customFormat="1"/>
    <row r="7576" s="8" customFormat="1"/>
    <row r="7577" s="8" customFormat="1"/>
    <row r="7578" s="8" customFormat="1"/>
    <row r="7579" s="8" customFormat="1"/>
    <row r="7580" s="8" customFormat="1"/>
    <row r="7581" s="8" customFormat="1"/>
    <row r="7582" s="8" customFormat="1"/>
    <row r="7583" s="8" customFormat="1"/>
    <row r="7584" s="8" customFormat="1"/>
    <row r="7585" s="8" customFormat="1"/>
    <row r="7586" s="8" customFormat="1"/>
    <row r="7587" s="8" customFormat="1"/>
    <row r="7588" s="8" customFormat="1"/>
    <row r="7589" s="8" customFormat="1"/>
    <row r="7590" s="8" customFormat="1"/>
    <row r="7591" s="8" customFormat="1"/>
    <row r="7592" s="8" customFormat="1"/>
    <row r="7593" s="8" customFormat="1"/>
    <row r="7594" s="8" customFormat="1"/>
    <row r="7595" s="8" customFormat="1"/>
    <row r="7596" s="8" customFormat="1"/>
    <row r="7597" s="8" customFormat="1"/>
    <row r="7598" s="8" customFormat="1"/>
    <row r="7599" s="8" customFormat="1"/>
    <row r="7600" s="8" customFormat="1"/>
    <row r="7601" s="8" customFormat="1"/>
    <row r="7602" s="8" customFormat="1"/>
    <row r="7603" s="8" customFormat="1"/>
    <row r="7604" s="8" customFormat="1"/>
    <row r="7605" s="8" customFormat="1"/>
    <row r="7606" s="8" customFormat="1"/>
    <row r="7607" s="8" customFormat="1"/>
    <row r="7608" s="8" customFormat="1"/>
    <row r="7609" s="8" customFormat="1"/>
    <row r="7610" s="8" customFormat="1"/>
    <row r="7611" s="8" customFormat="1"/>
    <row r="7612" s="8" customFormat="1"/>
    <row r="7613" s="8" customFormat="1"/>
    <row r="7614" s="8" customFormat="1"/>
    <row r="7615" s="8" customFormat="1"/>
    <row r="7616" s="8" customFormat="1"/>
    <row r="7617" s="8" customFormat="1"/>
    <row r="7618" s="8" customFormat="1"/>
    <row r="7619" s="8" customFormat="1"/>
    <row r="7620" s="8" customFormat="1"/>
    <row r="7621" s="8" customFormat="1"/>
    <row r="7622" s="8" customFormat="1"/>
    <row r="7623" s="8" customFormat="1"/>
    <row r="7624" s="8" customFormat="1"/>
    <row r="7625" s="8" customFormat="1"/>
    <row r="7626" s="8" customFormat="1"/>
    <row r="7627" s="8" customFormat="1"/>
    <row r="7628" s="8" customFormat="1"/>
    <row r="7629" s="8" customFormat="1"/>
    <row r="7630" s="8" customFormat="1"/>
    <row r="7631" s="8" customFormat="1"/>
    <row r="7632" s="8" customFormat="1"/>
    <row r="7633" s="8" customFormat="1"/>
    <row r="7634" s="8" customFormat="1"/>
    <row r="7635" s="8" customFormat="1"/>
    <row r="7636" s="8" customFormat="1"/>
    <row r="7637" s="8" customFormat="1"/>
    <row r="7638" s="8" customFormat="1"/>
    <row r="7639" s="8" customFormat="1"/>
    <row r="7640" s="8" customFormat="1"/>
    <row r="7641" s="8" customFormat="1"/>
    <row r="7642" s="8" customFormat="1"/>
    <row r="7643" s="8" customFormat="1"/>
    <row r="7644" s="8" customFormat="1"/>
    <row r="7645" s="8" customFormat="1"/>
    <row r="7646" s="8" customFormat="1"/>
    <row r="7647" s="8" customFormat="1"/>
    <row r="7648" s="8" customFormat="1"/>
    <row r="7649" s="8" customFormat="1"/>
    <row r="7650" s="8" customFormat="1"/>
    <row r="7651" s="8" customFormat="1"/>
    <row r="7652" s="8" customFormat="1"/>
    <row r="7653" s="8" customFormat="1"/>
    <row r="7654" s="8" customFormat="1"/>
    <row r="7655" s="8" customFormat="1"/>
    <row r="7656" s="8" customFormat="1"/>
    <row r="7657" s="8" customFormat="1"/>
    <row r="7658" s="8" customFormat="1"/>
    <row r="7659" s="8" customFormat="1"/>
    <row r="7660" s="8" customFormat="1"/>
    <row r="7661" s="8" customFormat="1"/>
    <row r="7662" s="8" customFormat="1"/>
    <row r="7663" s="8" customFormat="1"/>
    <row r="7664" s="8" customFormat="1"/>
    <row r="7665" s="8" customFormat="1"/>
    <row r="7666" s="8" customFormat="1"/>
    <row r="7667" s="8" customFormat="1"/>
    <row r="7668" s="8" customFormat="1"/>
    <row r="7669" s="8" customFormat="1"/>
    <row r="7670" s="8" customFormat="1"/>
    <row r="7671" s="8" customFormat="1"/>
    <row r="7672" s="8" customFormat="1"/>
    <row r="7673" s="8" customFormat="1"/>
    <row r="7674" s="8" customFormat="1"/>
    <row r="7675" s="8" customFormat="1"/>
    <row r="7676" s="8" customFormat="1"/>
    <row r="7677" s="8" customFormat="1"/>
    <row r="7678" s="8" customFormat="1"/>
    <row r="7679" s="8" customFormat="1"/>
    <row r="7680" s="8" customFormat="1"/>
    <row r="7681" s="8" customFormat="1"/>
    <row r="7682" s="8" customFormat="1"/>
    <row r="7683" s="8" customFormat="1"/>
    <row r="7684" s="8" customFormat="1"/>
    <row r="7685" s="8" customFormat="1"/>
    <row r="7686" s="8" customFormat="1"/>
    <row r="7687" s="8" customFormat="1"/>
    <row r="7688" s="8" customFormat="1"/>
    <row r="7689" s="8" customFormat="1"/>
    <row r="7690" s="8" customFormat="1"/>
    <row r="7691" s="8" customFormat="1"/>
    <row r="7692" s="8" customFormat="1"/>
    <row r="7693" s="8" customFormat="1"/>
    <row r="7694" s="8" customFormat="1"/>
    <row r="7695" s="8" customFormat="1"/>
    <row r="7696" s="8" customFormat="1"/>
    <row r="7697" s="8" customFormat="1"/>
    <row r="7698" s="8" customFormat="1"/>
    <row r="7699" s="8" customFormat="1"/>
    <row r="7700" s="8" customFormat="1"/>
    <row r="7701" s="8" customFormat="1"/>
    <row r="7702" s="8" customFormat="1"/>
    <row r="7703" s="8" customFormat="1"/>
    <row r="7704" s="8" customFormat="1"/>
    <row r="7705" s="8" customFormat="1"/>
    <row r="7706" s="8" customFormat="1"/>
    <row r="7707" s="8" customFormat="1"/>
    <row r="7708" s="8" customFormat="1"/>
    <row r="7709" s="8" customFormat="1"/>
    <row r="7710" s="8" customFormat="1"/>
    <row r="7711" s="8" customFormat="1"/>
    <row r="7712" s="8" customFormat="1"/>
    <row r="7713" s="8" customFormat="1"/>
    <row r="7714" s="8" customFormat="1"/>
    <row r="7715" s="8" customFormat="1"/>
    <row r="7716" s="8" customFormat="1"/>
    <row r="7717" s="8" customFormat="1"/>
    <row r="7718" s="8" customFormat="1"/>
    <row r="7719" s="8" customFormat="1"/>
    <row r="7720" s="8" customFormat="1"/>
    <row r="7721" s="8" customFormat="1"/>
    <row r="7722" s="8" customFormat="1"/>
    <row r="7723" s="8" customFormat="1"/>
    <row r="7724" s="8" customFormat="1"/>
    <row r="7725" s="8" customFormat="1"/>
    <row r="7726" s="8" customFormat="1"/>
    <row r="7727" s="8" customFormat="1"/>
    <row r="7728" s="8" customFormat="1"/>
    <row r="7729" s="8" customFormat="1"/>
    <row r="7730" s="8" customFormat="1"/>
    <row r="7731" s="8" customFormat="1"/>
    <row r="7732" s="8" customFormat="1"/>
    <row r="7733" s="8" customFormat="1"/>
    <row r="7734" s="8" customFormat="1"/>
    <row r="7735" s="8" customFormat="1"/>
    <row r="7736" s="8" customFormat="1"/>
    <row r="7737" s="8" customFormat="1"/>
    <row r="7738" s="8" customFormat="1"/>
    <row r="7739" s="8" customFormat="1"/>
    <row r="7740" s="8" customFormat="1"/>
    <row r="7741" s="8" customFormat="1"/>
    <row r="7742" s="8" customFormat="1"/>
    <row r="7743" s="8" customFormat="1"/>
    <row r="7744" s="8" customFormat="1"/>
    <row r="7745" s="8" customFormat="1"/>
    <row r="7746" s="8" customFormat="1"/>
    <row r="7747" s="8" customFormat="1"/>
    <row r="7748" s="8" customFormat="1"/>
    <row r="7749" s="8" customFormat="1"/>
    <row r="7750" s="8" customFormat="1"/>
    <row r="7751" s="8" customFormat="1"/>
    <row r="7752" s="8" customFormat="1"/>
    <row r="7753" s="8" customFormat="1"/>
    <row r="7754" s="8" customFormat="1"/>
    <row r="7755" s="8" customFormat="1"/>
    <row r="7756" s="8" customFormat="1"/>
    <row r="7757" s="8" customFormat="1"/>
    <row r="7758" s="8" customFormat="1"/>
    <row r="7759" s="8" customFormat="1"/>
    <row r="7760" s="8" customFormat="1"/>
    <row r="7761" s="8" customFormat="1"/>
    <row r="7762" s="8" customFormat="1"/>
    <row r="7763" s="8" customFormat="1"/>
    <row r="7764" s="8" customFormat="1"/>
    <row r="7765" s="8" customFormat="1"/>
    <row r="7766" s="8" customFormat="1"/>
    <row r="7767" s="8" customFormat="1"/>
    <row r="7768" s="8" customFormat="1"/>
    <row r="7769" s="8" customFormat="1"/>
    <row r="7770" s="8" customFormat="1"/>
    <row r="7771" s="8" customFormat="1"/>
    <row r="7772" s="8" customFormat="1"/>
    <row r="7773" s="8" customFormat="1"/>
    <row r="7774" s="8" customFormat="1"/>
    <row r="7775" s="8" customFormat="1"/>
    <row r="7776" s="8" customFormat="1"/>
    <row r="7777" s="8" customFormat="1"/>
    <row r="7778" s="8" customFormat="1"/>
    <row r="7779" s="8" customFormat="1"/>
    <row r="7780" s="8" customFormat="1"/>
    <row r="7781" s="8" customFormat="1"/>
    <row r="7782" s="8" customFormat="1"/>
    <row r="7783" s="8" customFormat="1"/>
    <row r="7784" s="8" customFormat="1"/>
    <row r="7785" s="8" customFormat="1"/>
    <row r="7786" s="8" customFormat="1"/>
    <row r="7787" s="8" customFormat="1"/>
    <row r="7788" s="8" customFormat="1"/>
    <row r="7789" s="8" customFormat="1"/>
    <row r="7790" s="8" customFormat="1"/>
    <row r="7791" s="8" customFormat="1"/>
    <row r="7792" s="8" customFormat="1"/>
    <row r="7793" s="8" customFormat="1"/>
    <row r="7794" s="8" customFormat="1"/>
    <row r="7795" s="8" customFormat="1"/>
    <row r="7796" s="8" customFormat="1"/>
    <row r="7797" s="8" customFormat="1"/>
    <row r="7798" s="8" customFormat="1"/>
    <row r="7799" s="8" customFormat="1"/>
    <row r="7800" s="8" customFormat="1"/>
    <row r="7801" s="8" customFormat="1"/>
    <row r="7802" s="8" customFormat="1"/>
    <row r="7803" s="8" customFormat="1"/>
    <row r="7804" s="8" customFormat="1"/>
    <row r="7805" s="8" customFormat="1"/>
    <row r="7806" s="8" customFormat="1"/>
    <row r="7807" s="8" customFormat="1"/>
    <row r="7808" s="8" customFormat="1"/>
    <row r="7809" s="8" customFormat="1"/>
    <row r="7810" s="8" customFormat="1"/>
    <row r="7811" s="8" customFormat="1"/>
    <row r="7812" s="8" customFormat="1"/>
    <row r="7813" s="8" customFormat="1"/>
    <row r="7814" s="8" customFormat="1"/>
    <row r="7815" s="8" customFormat="1"/>
    <row r="7816" s="8" customFormat="1"/>
    <row r="7817" s="8" customFormat="1"/>
    <row r="7818" s="8" customFormat="1"/>
    <row r="7819" s="8" customFormat="1"/>
    <row r="7820" s="8" customFormat="1"/>
    <row r="7821" s="8" customFormat="1"/>
    <row r="7822" s="8" customFormat="1"/>
    <row r="7823" s="8" customFormat="1"/>
    <row r="7824" s="8" customFormat="1"/>
    <row r="7825" s="8" customFormat="1"/>
    <row r="7826" s="8" customFormat="1"/>
    <row r="7827" s="8" customFormat="1"/>
    <row r="7828" s="8" customFormat="1"/>
    <row r="7829" s="8" customFormat="1"/>
    <row r="7830" s="8" customFormat="1"/>
    <row r="7831" s="8" customFormat="1"/>
    <row r="7832" s="8" customFormat="1"/>
    <row r="7833" s="8" customFormat="1"/>
    <row r="7834" s="8" customFormat="1"/>
    <row r="7835" s="8" customFormat="1"/>
    <row r="7836" s="8" customFormat="1"/>
    <row r="7837" s="8" customFormat="1"/>
    <row r="7838" s="8" customFormat="1"/>
    <row r="7839" s="8" customFormat="1"/>
    <row r="7840" s="8" customFormat="1"/>
    <row r="7841" s="8" customFormat="1"/>
    <row r="7842" s="8" customFormat="1"/>
    <row r="7843" s="8" customFormat="1"/>
    <row r="7844" s="8" customFormat="1"/>
    <row r="7845" s="8" customFormat="1"/>
    <row r="7846" s="8" customFormat="1"/>
    <row r="7847" s="8" customFormat="1"/>
    <row r="7848" s="8" customFormat="1"/>
    <row r="7849" s="8" customFormat="1"/>
    <row r="7850" s="8" customFormat="1"/>
    <row r="7851" s="8" customFormat="1"/>
    <row r="7852" s="8" customFormat="1"/>
    <row r="7853" s="8" customFormat="1"/>
    <row r="7854" s="8" customFormat="1"/>
    <row r="7855" s="8" customFormat="1"/>
    <row r="7856" s="8" customFormat="1"/>
    <row r="7857" s="8" customFormat="1"/>
    <row r="7858" s="8" customFormat="1"/>
    <row r="7859" s="8" customFormat="1"/>
    <row r="7860" s="8" customFormat="1"/>
    <row r="7861" s="8" customFormat="1"/>
    <row r="7862" s="8" customFormat="1"/>
    <row r="7863" s="8" customFormat="1"/>
    <row r="7864" s="8" customFormat="1"/>
    <row r="7865" s="8" customFormat="1"/>
    <row r="7866" s="8" customFormat="1"/>
    <row r="7867" s="8" customFormat="1"/>
    <row r="7868" s="8" customFormat="1"/>
    <row r="7869" s="8" customFormat="1"/>
    <row r="7870" s="8" customFormat="1"/>
    <row r="7871" s="8" customFormat="1"/>
    <row r="7872" s="8" customFormat="1"/>
    <row r="7873" s="8" customFormat="1"/>
    <row r="7874" s="8" customFormat="1"/>
    <row r="7875" s="8" customFormat="1"/>
    <row r="7876" s="8" customFormat="1"/>
    <row r="7877" s="8" customFormat="1"/>
    <row r="7878" s="8" customFormat="1"/>
    <row r="7879" s="8" customFormat="1"/>
    <row r="7880" s="8" customFormat="1"/>
    <row r="7881" s="8" customFormat="1"/>
    <row r="7882" s="8" customFormat="1"/>
    <row r="7883" s="8" customFormat="1"/>
    <row r="7884" s="8" customFormat="1"/>
    <row r="7885" s="8" customFormat="1"/>
    <row r="7886" s="8" customFormat="1"/>
    <row r="7887" s="8" customFormat="1"/>
    <row r="7888" s="8" customFormat="1"/>
    <row r="7889" s="8" customFormat="1"/>
    <row r="7890" s="8" customFormat="1"/>
    <row r="7891" s="8" customFormat="1"/>
    <row r="7892" s="8" customFormat="1"/>
    <row r="7893" s="8" customFormat="1"/>
    <row r="7894" s="8" customFormat="1"/>
    <row r="7895" s="8" customFormat="1"/>
    <row r="7896" s="8" customFormat="1"/>
    <row r="7897" s="8" customFormat="1"/>
    <row r="7898" s="8" customFormat="1"/>
    <row r="7899" s="8" customFormat="1"/>
    <row r="7900" s="8" customFormat="1"/>
    <row r="7901" s="8" customFormat="1"/>
    <row r="7902" s="8" customFormat="1"/>
    <row r="7903" s="8" customFormat="1"/>
    <row r="7904" s="8" customFormat="1"/>
    <row r="7905" s="8" customFormat="1"/>
    <row r="7906" s="8" customFormat="1"/>
    <row r="7907" s="8" customFormat="1"/>
    <row r="7908" s="8" customFormat="1"/>
    <row r="7909" s="8" customFormat="1"/>
    <row r="7910" s="8" customFormat="1"/>
    <row r="7911" s="8" customFormat="1"/>
    <row r="7912" s="8" customFormat="1"/>
    <row r="7913" s="8" customFormat="1"/>
    <row r="7914" s="8" customFormat="1"/>
    <row r="7915" s="8" customFormat="1"/>
    <row r="7916" s="8" customFormat="1"/>
    <row r="7917" s="8" customFormat="1"/>
    <row r="7918" s="8" customFormat="1"/>
    <row r="7919" s="8" customFormat="1"/>
    <row r="7920" s="8" customFormat="1"/>
    <row r="7921" s="8" customFormat="1"/>
    <row r="7922" s="8" customFormat="1"/>
    <row r="7923" s="8" customFormat="1"/>
    <row r="7924" s="8" customFormat="1"/>
    <row r="7925" s="8" customFormat="1"/>
    <row r="7926" s="8" customFormat="1"/>
    <row r="7927" s="8" customFormat="1"/>
    <row r="7928" s="8" customFormat="1"/>
    <row r="7929" s="8" customFormat="1"/>
    <row r="7930" s="8" customFormat="1"/>
    <row r="7931" s="8" customFormat="1"/>
    <row r="7932" s="8" customFormat="1"/>
    <row r="7933" s="8" customFormat="1"/>
    <row r="7934" s="8" customFormat="1"/>
    <row r="7935" s="8" customFormat="1"/>
    <row r="7936" s="8" customFormat="1"/>
    <row r="7937" s="8" customFormat="1"/>
    <row r="7938" s="8" customFormat="1"/>
    <row r="7939" s="8" customFormat="1"/>
    <row r="7940" s="8" customFormat="1"/>
    <row r="7941" s="8" customFormat="1"/>
    <row r="7942" s="8" customFormat="1"/>
    <row r="7943" s="8" customFormat="1"/>
    <row r="7944" s="8" customFormat="1"/>
    <row r="7945" s="8" customFormat="1"/>
    <row r="7946" s="8" customFormat="1"/>
    <row r="7947" s="8" customFormat="1"/>
    <row r="7948" s="8" customFormat="1"/>
    <row r="7949" s="8" customFormat="1"/>
    <row r="7950" s="8" customFormat="1"/>
    <row r="7951" s="8" customFormat="1"/>
    <row r="7952" s="8" customFormat="1"/>
    <row r="7953" s="8" customFormat="1"/>
    <row r="7954" s="8" customFormat="1"/>
    <row r="7955" s="8" customFormat="1"/>
    <row r="7956" s="8" customFormat="1"/>
    <row r="7957" s="8" customFormat="1"/>
    <row r="7958" s="8" customFormat="1"/>
    <row r="7959" s="8" customFormat="1"/>
    <row r="7960" s="8" customFormat="1"/>
    <row r="7961" s="8" customFormat="1"/>
    <row r="7962" s="8" customFormat="1"/>
    <row r="7963" s="8" customFormat="1"/>
    <row r="7964" s="8" customFormat="1"/>
    <row r="7965" s="8" customFormat="1"/>
    <row r="7966" s="8" customFormat="1"/>
    <row r="7967" s="8" customFormat="1"/>
    <row r="7968" s="8" customFormat="1"/>
    <row r="7969" s="8" customFormat="1"/>
    <row r="7970" s="8" customFormat="1"/>
    <row r="7971" s="8" customFormat="1"/>
    <row r="7972" s="8" customFormat="1"/>
    <row r="7973" s="8" customFormat="1"/>
    <row r="7974" s="8" customFormat="1"/>
    <row r="7975" s="8" customFormat="1"/>
    <row r="7976" s="8" customFormat="1"/>
    <row r="7977" s="8" customFormat="1"/>
    <row r="7978" s="8" customFormat="1"/>
    <row r="7979" s="8" customFormat="1"/>
    <row r="7980" s="8" customFormat="1"/>
    <row r="7981" s="8" customFormat="1"/>
    <row r="7982" s="8" customFormat="1"/>
    <row r="7983" s="8" customFormat="1"/>
    <row r="7984" s="8" customFormat="1"/>
    <row r="7985" s="8" customFormat="1"/>
    <row r="7986" s="8" customFormat="1"/>
    <row r="7987" s="8" customFormat="1"/>
    <row r="7988" s="8" customFormat="1"/>
    <row r="7989" s="8" customFormat="1"/>
    <row r="7990" s="8" customFormat="1"/>
    <row r="7991" s="8" customFormat="1"/>
    <row r="7992" s="8" customFormat="1"/>
    <row r="7993" s="8" customFormat="1"/>
    <row r="7994" s="8" customFormat="1"/>
    <row r="7995" s="8" customFormat="1"/>
    <row r="7996" s="8" customFormat="1"/>
    <row r="7997" s="8" customFormat="1"/>
    <row r="7998" s="8" customFormat="1"/>
    <row r="7999" s="8" customFormat="1"/>
    <row r="8000" s="8" customFormat="1"/>
    <row r="8001" s="8" customFormat="1"/>
    <row r="8002" s="8" customFormat="1"/>
    <row r="8003" s="8" customFormat="1"/>
    <row r="8004" s="8" customFormat="1"/>
    <row r="8005" s="8" customFormat="1"/>
    <row r="8006" s="8" customFormat="1"/>
    <row r="8007" s="8" customFormat="1"/>
    <row r="8008" s="8" customFormat="1"/>
    <row r="8009" s="8" customFormat="1"/>
    <row r="8010" s="8" customFormat="1"/>
    <row r="8011" s="8" customFormat="1"/>
    <row r="8012" s="8" customFormat="1"/>
    <row r="8013" s="8" customFormat="1"/>
    <row r="8014" s="8" customFormat="1"/>
    <row r="8015" s="8" customFormat="1"/>
    <row r="8016" s="8" customFormat="1"/>
    <row r="8017" s="8" customFormat="1"/>
    <row r="8018" s="8" customFormat="1"/>
    <row r="8019" s="8" customFormat="1"/>
    <row r="8020" s="8" customFormat="1"/>
    <row r="8021" s="8" customFormat="1"/>
    <row r="8022" s="8" customFormat="1"/>
    <row r="8023" s="8" customFormat="1"/>
    <row r="8024" s="8" customFormat="1"/>
    <row r="8025" s="8" customFormat="1"/>
    <row r="8026" s="8" customFormat="1"/>
    <row r="8027" s="8" customFormat="1"/>
    <row r="8028" s="8" customFormat="1"/>
    <row r="8029" s="8" customFormat="1"/>
    <row r="8030" s="8" customFormat="1"/>
    <row r="8031" s="8" customFormat="1"/>
    <row r="8032" s="8" customFormat="1"/>
    <row r="8033" s="8" customFormat="1"/>
    <row r="8034" s="8" customFormat="1"/>
    <row r="8035" s="8" customFormat="1"/>
    <row r="8036" s="8" customFormat="1"/>
    <row r="8037" s="8" customFormat="1"/>
    <row r="8038" s="8" customFormat="1"/>
    <row r="8039" s="8" customFormat="1"/>
    <row r="8040" s="8" customFormat="1"/>
    <row r="8041" s="8" customFormat="1"/>
    <row r="8042" s="8" customFormat="1"/>
    <row r="8043" s="8" customFormat="1"/>
    <row r="8044" s="8" customFormat="1"/>
    <row r="8045" s="8" customFormat="1"/>
    <row r="8046" s="8" customFormat="1"/>
    <row r="8047" s="8" customFormat="1"/>
    <row r="8048" s="8" customFormat="1"/>
    <row r="8049" s="8" customFormat="1"/>
    <row r="8050" s="8" customFormat="1"/>
    <row r="8051" s="8" customFormat="1"/>
    <row r="8052" s="8" customFormat="1"/>
    <row r="8053" s="8" customFormat="1"/>
    <row r="8054" s="8" customFormat="1"/>
    <row r="8055" s="8" customFormat="1"/>
    <row r="8056" s="8" customFormat="1"/>
    <row r="8057" s="8" customFormat="1"/>
    <row r="8058" s="8" customFormat="1"/>
    <row r="8059" s="8" customFormat="1"/>
    <row r="8060" s="8" customFormat="1"/>
    <row r="8061" s="8" customFormat="1"/>
    <row r="8062" s="8" customFormat="1"/>
    <row r="8063" s="8" customFormat="1"/>
    <row r="8064" s="8" customFormat="1"/>
    <row r="8065" s="8" customFormat="1"/>
    <row r="8066" s="8" customFormat="1"/>
    <row r="8067" s="8" customFormat="1"/>
    <row r="8068" s="8" customFormat="1"/>
    <row r="8069" s="8" customFormat="1"/>
    <row r="8070" s="8" customFormat="1"/>
    <row r="8071" s="8" customFormat="1"/>
    <row r="8072" s="8" customFormat="1"/>
    <row r="8073" s="8" customFormat="1"/>
    <row r="8074" s="8" customFormat="1"/>
    <row r="8075" s="8" customFormat="1"/>
    <row r="8076" s="8" customFormat="1"/>
    <row r="8077" s="8" customFormat="1"/>
    <row r="8078" s="8" customFormat="1"/>
    <row r="8079" s="8" customFormat="1"/>
    <row r="8080" s="8" customFormat="1"/>
    <row r="8081" s="8" customFormat="1"/>
    <row r="8082" s="8" customFormat="1"/>
    <row r="8083" s="8" customFormat="1"/>
    <row r="8084" s="8" customFormat="1"/>
    <row r="8085" s="8" customFormat="1"/>
    <row r="8086" s="8" customFormat="1"/>
    <row r="8087" s="8" customFormat="1"/>
    <row r="8088" s="8" customFormat="1"/>
    <row r="8089" s="8" customFormat="1"/>
    <row r="8090" s="8" customFormat="1"/>
    <row r="8091" s="8" customFormat="1"/>
    <row r="8092" s="8" customFormat="1"/>
    <row r="8093" s="8" customFormat="1"/>
    <row r="8094" s="8" customFormat="1"/>
    <row r="8095" s="8" customFormat="1"/>
    <row r="8096" s="8" customFormat="1"/>
    <row r="8097" s="8" customFormat="1"/>
    <row r="8098" s="8" customFormat="1"/>
    <row r="8099" s="8" customFormat="1"/>
    <row r="8100" s="8" customFormat="1"/>
    <row r="8101" s="8" customFormat="1"/>
    <row r="8102" s="8" customFormat="1"/>
    <row r="8103" s="8" customFormat="1"/>
    <row r="8104" s="8" customFormat="1"/>
    <row r="8105" s="8" customFormat="1"/>
    <row r="8106" s="8" customFormat="1"/>
    <row r="8107" s="8" customFormat="1"/>
    <row r="8108" s="8" customFormat="1"/>
    <row r="8109" s="8" customFormat="1"/>
    <row r="8110" s="8" customFormat="1"/>
    <row r="8111" s="8" customFormat="1"/>
    <row r="8112" s="8" customFormat="1"/>
    <row r="8113" s="8" customFormat="1"/>
    <row r="8114" s="8" customFormat="1"/>
    <row r="8115" s="8" customFormat="1"/>
    <row r="8116" s="8" customFormat="1"/>
    <row r="8117" s="8" customFormat="1"/>
    <row r="8118" s="8" customFormat="1"/>
    <row r="8119" s="8" customFormat="1"/>
    <row r="8120" s="8" customFormat="1"/>
    <row r="8121" s="8" customFormat="1"/>
    <row r="8122" s="8" customFormat="1"/>
    <row r="8123" s="8" customFormat="1"/>
    <row r="8124" s="8" customFormat="1"/>
    <row r="8125" s="8" customFormat="1"/>
    <row r="8126" s="8" customFormat="1"/>
    <row r="8127" s="8" customFormat="1"/>
    <row r="8128" s="8" customFormat="1"/>
    <row r="8129" s="8" customFormat="1"/>
    <row r="8130" s="8" customFormat="1"/>
    <row r="8131" s="8" customFormat="1"/>
    <row r="8132" s="8" customFormat="1"/>
    <row r="8133" s="8" customFormat="1"/>
    <row r="8134" s="8" customFormat="1"/>
    <row r="8135" s="8" customFormat="1"/>
    <row r="8136" s="8" customFormat="1"/>
    <row r="8137" s="8" customFormat="1"/>
    <row r="8138" s="8" customFormat="1"/>
    <row r="8139" s="8" customFormat="1"/>
    <row r="8140" s="8" customFormat="1"/>
    <row r="8141" s="8" customFormat="1"/>
    <row r="8142" s="8" customFormat="1"/>
    <row r="8143" s="8" customFormat="1"/>
    <row r="8144" s="8" customFormat="1"/>
    <row r="8145" s="8" customFormat="1"/>
    <row r="8146" s="8" customFormat="1"/>
    <row r="8147" s="8" customFormat="1"/>
    <row r="8148" s="8" customFormat="1"/>
    <row r="8149" s="8" customFormat="1"/>
    <row r="8150" s="8" customFormat="1"/>
    <row r="8151" s="8" customFormat="1"/>
    <row r="8152" s="8" customFormat="1"/>
    <row r="8153" s="8" customFormat="1"/>
    <row r="8154" s="8" customFormat="1"/>
    <row r="8155" s="8" customFormat="1"/>
    <row r="8156" s="8" customFormat="1"/>
    <row r="8157" s="8" customFormat="1"/>
    <row r="8158" s="8" customFormat="1"/>
    <row r="8159" s="8" customFormat="1"/>
    <row r="8160" s="8" customFormat="1"/>
    <row r="8161" s="8" customFormat="1"/>
    <row r="8162" s="8" customFormat="1"/>
    <row r="8163" s="8" customFormat="1"/>
    <row r="8164" s="8" customFormat="1"/>
    <row r="8165" s="8" customFormat="1"/>
    <row r="8166" s="8" customFormat="1"/>
    <row r="8167" s="8" customFormat="1"/>
    <row r="8168" s="8" customFormat="1"/>
    <row r="8169" s="8" customFormat="1"/>
    <row r="8170" s="8" customFormat="1"/>
    <row r="8171" s="8" customFormat="1"/>
    <row r="8172" s="8" customFormat="1"/>
    <row r="8173" s="8" customFormat="1"/>
    <row r="8174" s="8" customFormat="1"/>
    <row r="8175" s="8" customFormat="1"/>
    <row r="8176" s="8" customFormat="1"/>
    <row r="8177" s="8" customFormat="1"/>
    <row r="8178" s="8" customFormat="1"/>
    <row r="8179" s="8" customFormat="1"/>
    <row r="8180" s="8" customFormat="1"/>
    <row r="8181" s="8" customFormat="1"/>
    <row r="8182" s="8" customFormat="1"/>
    <row r="8183" s="8" customFormat="1"/>
    <row r="8184" s="8" customFormat="1"/>
    <row r="8185" s="8" customFormat="1"/>
    <row r="8186" s="8" customFormat="1"/>
    <row r="8187" s="8" customFormat="1"/>
    <row r="8188" s="8" customFormat="1"/>
    <row r="8189" s="8" customFormat="1"/>
    <row r="8190" s="8" customFormat="1"/>
    <row r="8191" s="8" customFormat="1"/>
    <row r="8192" s="8" customFormat="1"/>
    <row r="8193" s="8" customFormat="1"/>
    <row r="8194" s="8" customFormat="1"/>
    <row r="8195" s="8" customFormat="1"/>
    <row r="8196" s="8" customFormat="1"/>
    <row r="8197" s="8" customFormat="1"/>
    <row r="8198" s="8" customFormat="1"/>
    <row r="8199" s="8" customFormat="1"/>
    <row r="8200" s="8" customFormat="1"/>
    <row r="8201" s="8" customFormat="1"/>
    <row r="8202" s="8" customFormat="1"/>
    <row r="8203" s="8" customFormat="1"/>
    <row r="8204" s="8" customFormat="1"/>
    <row r="8205" s="8" customFormat="1"/>
    <row r="8206" s="8" customFormat="1"/>
    <row r="8207" s="8" customFormat="1"/>
    <row r="8208" s="8" customFormat="1"/>
    <row r="8209" s="8" customFormat="1"/>
    <row r="8210" s="8" customFormat="1"/>
    <row r="8211" s="8" customFormat="1"/>
    <row r="8212" s="8" customFormat="1"/>
    <row r="8213" s="8" customFormat="1"/>
    <row r="8214" s="8" customFormat="1"/>
    <row r="8215" s="8" customFormat="1"/>
    <row r="8216" s="8" customFormat="1"/>
    <row r="8217" s="8" customFormat="1"/>
    <row r="8218" s="8" customFormat="1"/>
    <row r="8219" s="8" customFormat="1"/>
    <row r="8220" s="8" customFormat="1"/>
    <row r="8221" s="8" customFormat="1"/>
    <row r="8222" s="8" customFormat="1"/>
    <row r="8223" s="8" customFormat="1"/>
    <row r="8224" s="8" customFormat="1"/>
    <row r="8225" s="8" customFormat="1"/>
    <row r="8226" s="8" customFormat="1"/>
    <row r="8227" s="8" customFormat="1"/>
    <row r="8228" s="8" customFormat="1"/>
    <row r="8229" s="8" customFormat="1"/>
    <row r="8230" s="8" customFormat="1"/>
    <row r="8231" s="8" customFormat="1"/>
    <row r="8232" s="8" customFormat="1"/>
    <row r="8233" s="8" customFormat="1"/>
    <row r="8234" s="8" customFormat="1"/>
    <row r="8235" s="8" customFormat="1"/>
    <row r="8236" s="8" customFormat="1"/>
    <row r="8237" s="8" customFormat="1"/>
    <row r="8238" s="8" customFormat="1"/>
    <row r="8239" s="8" customFormat="1"/>
    <row r="8240" s="8" customFormat="1"/>
    <row r="8241" s="8" customFormat="1"/>
    <row r="8242" s="8" customFormat="1"/>
    <row r="8243" s="8" customFormat="1"/>
    <row r="8244" s="8" customFormat="1"/>
    <row r="8245" s="8" customFormat="1"/>
    <row r="8246" s="8" customFormat="1"/>
    <row r="8247" s="8" customFormat="1"/>
    <row r="8248" s="8" customFormat="1"/>
    <row r="8249" s="8" customFormat="1"/>
    <row r="8250" s="8" customFormat="1"/>
    <row r="8251" s="8" customFormat="1"/>
    <row r="8252" s="8" customFormat="1"/>
    <row r="8253" s="8" customFormat="1"/>
    <row r="8254" s="8" customFormat="1"/>
    <row r="8255" s="8" customFormat="1"/>
    <row r="8256" s="8" customFormat="1"/>
    <row r="8257" s="8" customFormat="1"/>
    <row r="8258" s="8" customFormat="1"/>
    <row r="8259" s="8" customFormat="1"/>
    <row r="8260" s="8" customFormat="1"/>
    <row r="8261" s="8" customFormat="1"/>
    <row r="8262" s="8" customFormat="1"/>
    <row r="8263" s="8" customFormat="1"/>
    <row r="8264" s="8" customFormat="1"/>
    <row r="8265" s="8" customFormat="1"/>
    <row r="8266" s="8" customFormat="1"/>
    <row r="8267" s="8" customFormat="1"/>
    <row r="8268" s="8" customFormat="1"/>
    <row r="8269" s="8" customFormat="1"/>
    <row r="8270" s="8" customFormat="1"/>
    <row r="8271" s="8" customFormat="1"/>
    <row r="8272" s="8" customFormat="1"/>
    <row r="8273" s="8" customFormat="1"/>
    <row r="8274" s="8" customFormat="1"/>
    <row r="8275" s="8" customFormat="1"/>
    <row r="8276" s="8" customFormat="1"/>
    <row r="8277" s="8" customFormat="1"/>
    <row r="8278" s="8" customFormat="1"/>
    <row r="8279" s="8" customFormat="1"/>
    <row r="8280" s="8" customFormat="1"/>
    <row r="8281" s="8" customFormat="1"/>
    <row r="8282" s="8" customFormat="1"/>
    <row r="8283" s="8" customFormat="1"/>
    <row r="8284" s="8" customFormat="1"/>
    <row r="8285" s="8" customFormat="1"/>
    <row r="8286" s="8" customFormat="1"/>
    <row r="8287" s="8" customFormat="1"/>
    <row r="8288" s="8" customFormat="1"/>
    <row r="8289" s="8" customFormat="1"/>
    <row r="8290" s="8" customFormat="1"/>
    <row r="8291" s="8" customFormat="1"/>
    <row r="8292" s="8" customFormat="1"/>
    <row r="8293" s="8" customFormat="1"/>
    <row r="8294" s="8" customFormat="1"/>
    <row r="8295" s="8" customFormat="1"/>
    <row r="8296" s="8" customFormat="1"/>
    <row r="8297" s="8" customFormat="1"/>
    <row r="8298" s="8" customFormat="1"/>
    <row r="8299" s="8" customFormat="1"/>
    <row r="8300" s="8" customFormat="1"/>
    <row r="8301" s="8" customFormat="1"/>
    <row r="8302" s="8" customFormat="1"/>
    <row r="8303" s="8" customFormat="1"/>
    <row r="8304" s="8" customFormat="1"/>
    <row r="8305" s="8" customFormat="1"/>
    <row r="8306" s="8" customFormat="1"/>
    <row r="8307" s="8" customFormat="1"/>
    <row r="8308" s="8" customFormat="1"/>
    <row r="8309" s="8" customFormat="1"/>
    <row r="8310" s="8" customFormat="1"/>
    <row r="8311" s="8" customFormat="1"/>
    <row r="8312" s="8" customFormat="1"/>
    <row r="8313" s="8" customFormat="1"/>
    <row r="8314" s="8" customFormat="1"/>
    <row r="8315" s="8" customFormat="1"/>
    <row r="8316" s="8" customFormat="1"/>
    <row r="8317" s="8" customFormat="1"/>
    <row r="8318" s="8" customFormat="1"/>
    <row r="8319" s="8" customFormat="1"/>
    <row r="8320" s="8" customFormat="1"/>
    <row r="8321" s="8" customFormat="1"/>
    <row r="8322" s="8" customFormat="1"/>
    <row r="8323" s="8" customFormat="1"/>
    <row r="8324" s="8" customFormat="1"/>
    <row r="8325" s="8" customFormat="1"/>
    <row r="8326" s="8" customFormat="1"/>
    <row r="8327" s="8" customFormat="1"/>
    <row r="8328" s="8" customFormat="1"/>
    <row r="8329" s="8" customFormat="1"/>
    <row r="8330" s="8" customFormat="1"/>
    <row r="8331" s="8" customFormat="1"/>
    <row r="8332" s="8" customFormat="1"/>
    <row r="8333" s="8" customFormat="1"/>
    <row r="8334" s="8" customFormat="1"/>
    <row r="8335" s="8" customFormat="1"/>
    <row r="8336" s="8" customFormat="1"/>
    <row r="8337" s="8" customFormat="1"/>
    <row r="8338" s="8" customFormat="1"/>
    <row r="8339" s="8" customFormat="1"/>
    <row r="8340" s="8" customFormat="1"/>
    <row r="8341" s="8" customFormat="1"/>
    <row r="8342" s="8" customFormat="1"/>
    <row r="8343" s="8" customFormat="1"/>
    <row r="8344" s="8" customFormat="1"/>
    <row r="8345" s="8" customFormat="1"/>
    <row r="8346" s="8" customFormat="1"/>
    <row r="8347" s="8" customFormat="1"/>
    <row r="8348" s="8" customFormat="1"/>
    <row r="8349" s="8" customFormat="1"/>
    <row r="8350" s="8" customFormat="1"/>
    <row r="8351" s="8" customFormat="1"/>
    <row r="8352" s="8" customFormat="1"/>
    <row r="8353" s="8" customFormat="1"/>
    <row r="8354" s="8" customFormat="1"/>
    <row r="8355" s="8" customFormat="1"/>
    <row r="8356" s="8" customFormat="1"/>
    <row r="8357" s="8" customFormat="1"/>
    <row r="8358" s="8" customFormat="1"/>
    <row r="8359" s="8" customFormat="1"/>
    <row r="8360" s="8" customFormat="1"/>
    <row r="8361" s="8" customFormat="1"/>
    <row r="8362" s="8" customFormat="1"/>
    <row r="8363" s="8" customFormat="1"/>
    <row r="8364" s="8" customFormat="1"/>
    <row r="8365" s="8" customFormat="1"/>
    <row r="8366" s="8" customFormat="1"/>
    <row r="8367" s="8" customFormat="1"/>
    <row r="8368" s="8" customFormat="1"/>
    <row r="8369" s="8" customFormat="1"/>
    <row r="8370" s="8" customFormat="1"/>
    <row r="8371" s="8" customFormat="1"/>
    <row r="8372" s="8" customFormat="1"/>
    <row r="8373" s="8" customFormat="1"/>
    <row r="8374" s="8" customFormat="1"/>
    <row r="8375" s="8" customFormat="1"/>
    <row r="8376" s="8" customFormat="1"/>
    <row r="8377" s="8" customFormat="1"/>
    <row r="8378" s="8" customFormat="1"/>
    <row r="8379" s="8" customFormat="1"/>
    <row r="8380" s="8" customFormat="1"/>
    <row r="8381" s="8" customFormat="1"/>
    <row r="8382" s="8" customFormat="1"/>
    <row r="8383" s="8" customFormat="1"/>
    <row r="8384" s="8" customFormat="1"/>
    <row r="8385" s="8" customFormat="1"/>
    <row r="8386" s="8" customFormat="1"/>
    <row r="8387" s="8" customFormat="1"/>
    <row r="8388" s="8" customFormat="1"/>
    <row r="8389" s="8" customFormat="1"/>
    <row r="8390" s="8" customFormat="1"/>
    <row r="8391" s="8" customFormat="1"/>
    <row r="8392" s="8" customFormat="1"/>
    <row r="8393" s="8" customFormat="1"/>
    <row r="8394" s="8" customFormat="1"/>
    <row r="8395" s="8" customFormat="1"/>
    <row r="8396" s="8" customFormat="1"/>
    <row r="8397" s="8" customFormat="1"/>
    <row r="8398" s="8" customFormat="1"/>
    <row r="8399" s="8" customFormat="1"/>
    <row r="8400" s="8" customFormat="1"/>
    <row r="8401" s="8" customFormat="1"/>
    <row r="8402" s="8" customFormat="1"/>
    <row r="8403" s="8" customFormat="1"/>
    <row r="8404" s="8" customFormat="1"/>
    <row r="8405" s="8" customFormat="1"/>
    <row r="8406" s="8" customFormat="1"/>
    <row r="8407" s="8" customFormat="1"/>
    <row r="8408" s="8" customFormat="1"/>
    <row r="8409" s="8" customFormat="1"/>
    <row r="8410" s="8" customFormat="1"/>
    <row r="8411" s="8" customFormat="1"/>
    <row r="8412" s="8" customFormat="1"/>
    <row r="8413" s="8" customFormat="1"/>
    <row r="8414" s="8" customFormat="1"/>
    <row r="8415" s="8" customFormat="1"/>
    <row r="8416" s="8" customFormat="1"/>
    <row r="8417" s="8" customFormat="1"/>
    <row r="8418" s="8" customFormat="1"/>
    <row r="8419" s="8" customFormat="1"/>
    <row r="8420" s="8" customFormat="1"/>
    <row r="8421" s="8" customFormat="1"/>
    <row r="8422" s="8" customFormat="1"/>
    <row r="8423" s="8" customFormat="1"/>
    <row r="8424" s="8" customFormat="1"/>
    <row r="8425" s="8" customFormat="1"/>
    <row r="8426" s="8" customFormat="1"/>
    <row r="8427" s="8" customFormat="1"/>
    <row r="8428" s="8" customFormat="1"/>
    <row r="8429" s="8" customFormat="1"/>
    <row r="8430" s="8" customFormat="1"/>
    <row r="8431" s="8" customFormat="1"/>
    <row r="8432" s="8" customFormat="1"/>
    <row r="8433" s="8" customFormat="1"/>
    <row r="8434" s="8" customFormat="1"/>
    <row r="8435" s="8" customFormat="1"/>
    <row r="8436" s="8" customFormat="1"/>
    <row r="8437" s="8" customFormat="1"/>
    <row r="8438" s="8" customFormat="1"/>
    <row r="8439" s="8" customFormat="1"/>
    <row r="8440" s="8" customFormat="1"/>
    <row r="8441" s="8" customFormat="1"/>
    <row r="8442" s="8" customFormat="1"/>
    <row r="8443" s="8" customFormat="1"/>
    <row r="8444" s="8" customFormat="1"/>
    <row r="8445" s="8" customFormat="1"/>
    <row r="8446" s="8" customFormat="1"/>
    <row r="8447" s="8" customFormat="1"/>
    <row r="8448" s="8" customFormat="1"/>
    <row r="8449" s="8" customFormat="1"/>
    <row r="8450" s="8" customFormat="1"/>
    <row r="8451" s="8" customFormat="1"/>
    <row r="8452" s="8" customFormat="1"/>
    <row r="8453" s="8" customFormat="1"/>
    <row r="8454" s="8" customFormat="1"/>
    <row r="8455" s="8" customFormat="1"/>
    <row r="8456" s="8" customFormat="1"/>
    <row r="8457" s="8" customFormat="1"/>
    <row r="8458" s="8" customFormat="1"/>
    <row r="8459" s="8" customFormat="1"/>
    <row r="8460" s="8" customFormat="1"/>
    <row r="8461" s="8" customFormat="1"/>
    <row r="8462" s="8" customFormat="1"/>
    <row r="8463" s="8" customFormat="1"/>
    <row r="8464" s="8" customFormat="1"/>
    <row r="8465" s="8" customFormat="1"/>
    <row r="8466" s="8" customFormat="1"/>
    <row r="8467" s="8" customFormat="1"/>
    <row r="8468" s="8" customFormat="1"/>
    <row r="8469" s="8" customFormat="1"/>
    <row r="8470" s="8" customFormat="1"/>
    <row r="8471" s="8" customFormat="1"/>
    <row r="8472" s="8" customFormat="1"/>
    <row r="8473" s="8" customFormat="1"/>
    <row r="8474" s="8" customFormat="1"/>
    <row r="8475" s="8" customFormat="1"/>
    <row r="8476" s="8" customFormat="1"/>
    <row r="8477" s="8" customFormat="1"/>
    <row r="8478" s="8" customFormat="1"/>
    <row r="8479" s="8" customFormat="1"/>
    <row r="8480" s="8" customFormat="1"/>
    <row r="8481" s="8" customFormat="1"/>
    <row r="8482" s="8" customFormat="1"/>
    <row r="8483" s="8" customFormat="1"/>
    <row r="8484" s="8" customFormat="1"/>
    <row r="8485" s="8" customFormat="1"/>
    <row r="8486" s="8" customFormat="1"/>
    <row r="8487" s="8" customFormat="1"/>
    <row r="8488" s="8" customFormat="1"/>
    <row r="8489" s="8" customFormat="1"/>
    <row r="8490" s="8" customFormat="1"/>
    <row r="8491" s="8" customFormat="1"/>
    <row r="8492" s="8" customFormat="1"/>
    <row r="8493" s="8" customFormat="1"/>
    <row r="8494" s="8" customFormat="1"/>
    <row r="8495" s="8" customFormat="1"/>
    <row r="8496" s="8" customFormat="1"/>
    <row r="8497" s="8" customFormat="1"/>
    <row r="8498" s="8" customFormat="1"/>
    <row r="8499" s="8" customFormat="1"/>
    <row r="8500" s="8" customFormat="1"/>
    <row r="8501" s="8" customFormat="1"/>
    <row r="8502" s="8" customFormat="1"/>
    <row r="8503" s="8" customFormat="1"/>
    <row r="8504" s="8" customFormat="1"/>
    <row r="8505" s="8" customFormat="1"/>
    <row r="8506" s="8" customFormat="1"/>
    <row r="8507" s="8" customFormat="1"/>
    <row r="8508" s="8" customFormat="1"/>
    <row r="8509" s="8" customFormat="1"/>
    <row r="8510" s="8" customFormat="1"/>
    <row r="8511" s="8" customFormat="1"/>
    <row r="8512" s="8" customFormat="1"/>
    <row r="8513" s="8" customFormat="1"/>
    <row r="8514" s="8" customFormat="1"/>
    <row r="8515" s="8" customFormat="1"/>
    <row r="8516" s="8" customFormat="1"/>
    <row r="8517" s="8" customFormat="1"/>
    <row r="8518" s="8" customFormat="1"/>
    <row r="8519" s="8" customFormat="1"/>
    <row r="8520" s="8" customFormat="1"/>
    <row r="8521" s="8" customFormat="1"/>
    <row r="8522" s="8" customFormat="1"/>
    <row r="8523" s="8" customFormat="1"/>
    <row r="8524" s="8" customFormat="1"/>
    <row r="8525" s="8" customFormat="1"/>
    <row r="8526" s="8" customFormat="1"/>
    <row r="8527" s="8" customFormat="1"/>
    <row r="8528" s="8" customFormat="1"/>
    <row r="8529" s="8" customFormat="1"/>
    <row r="8530" s="8" customFormat="1"/>
    <row r="8531" s="8" customFormat="1"/>
    <row r="8532" s="8" customFormat="1"/>
    <row r="8533" s="8" customFormat="1"/>
    <row r="8534" s="8" customFormat="1"/>
    <row r="8535" s="8" customFormat="1"/>
    <row r="8536" s="8" customFormat="1"/>
    <row r="8537" s="8" customFormat="1"/>
    <row r="8538" s="8" customFormat="1"/>
    <row r="8539" s="8" customFormat="1"/>
    <row r="8540" s="8" customFormat="1"/>
    <row r="8541" s="8" customFormat="1"/>
    <row r="8542" s="8" customFormat="1"/>
    <row r="8543" s="8" customFormat="1"/>
    <row r="8544" s="8" customFormat="1"/>
    <row r="8545" s="8" customFormat="1"/>
    <row r="8546" s="8" customFormat="1"/>
    <row r="8547" s="8" customFormat="1"/>
    <row r="8548" s="8" customFormat="1"/>
    <row r="8549" s="8" customFormat="1"/>
    <row r="8550" s="8" customFormat="1"/>
    <row r="8551" s="8" customFormat="1"/>
    <row r="8552" s="8" customFormat="1"/>
    <row r="8553" s="8" customFormat="1"/>
    <row r="8554" s="8" customFormat="1"/>
    <row r="8555" s="8" customFormat="1"/>
    <row r="8556" s="8" customFormat="1"/>
    <row r="8557" s="8" customFormat="1"/>
    <row r="8558" s="8" customFormat="1"/>
    <row r="8559" s="8" customFormat="1"/>
    <row r="8560" s="8" customFormat="1"/>
    <row r="8561" s="8" customFormat="1"/>
    <row r="8562" s="8" customFormat="1"/>
    <row r="8563" s="8" customFormat="1"/>
    <row r="8564" s="8" customFormat="1"/>
    <row r="8565" s="8" customFormat="1"/>
    <row r="8566" s="8" customFormat="1"/>
    <row r="8567" s="8" customFormat="1"/>
    <row r="8568" s="8" customFormat="1"/>
    <row r="8569" s="8" customFormat="1"/>
    <row r="8570" s="8" customFormat="1"/>
    <row r="8571" s="8" customFormat="1"/>
    <row r="8572" s="8" customFormat="1"/>
    <row r="8573" s="8" customFormat="1"/>
    <row r="8574" s="8" customFormat="1"/>
    <row r="8575" s="8" customFormat="1"/>
    <row r="8576" s="8" customFormat="1"/>
    <row r="8577" s="8" customFormat="1"/>
    <row r="8578" s="8" customFormat="1"/>
    <row r="8579" s="8" customFormat="1"/>
    <row r="8580" s="8" customFormat="1"/>
    <row r="8581" s="8" customFormat="1"/>
    <row r="8582" s="8" customFormat="1"/>
    <row r="8583" s="8" customFormat="1"/>
    <row r="8584" s="8" customFormat="1"/>
    <row r="8585" s="8" customFormat="1"/>
    <row r="8586" s="8" customFormat="1"/>
    <row r="8587" s="8" customFormat="1"/>
    <row r="8588" s="8" customFormat="1"/>
    <row r="8589" s="8" customFormat="1"/>
    <row r="8590" s="8" customFormat="1"/>
    <row r="8591" s="8" customFormat="1"/>
    <row r="8592" s="8" customFormat="1"/>
    <row r="8593" s="8" customFormat="1"/>
    <row r="8594" s="8" customFormat="1"/>
    <row r="8595" s="8" customFormat="1"/>
    <row r="8596" s="8" customFormat="1"/>
    <row r="8597" s="8" customFormat="1"/>
    <row r="8598" s="8" customFormat="1"/>
    <row r="8599" s="8" customFormat="1"/>
    <row r="8600" s="8" customFormat="1"/>
    <row r="8601" s="8" customFormat="1"/>
    <row r="8602" s="8" customFormat="1"/>
    <row r="8603" s="8" customFormat="1"/>
    <row r="8604" s="8" customFormat="1"/>
    <row r="8605" s="8" customFormat="1"/>
    <row r="8606" s="8" customFormat="1"/>
    <row r="8607" s="8" customFormat="1"/>
    <row r="8608" s="8" customFormat="1"/>
    <row r="8609" s="8" customFormat="1"/>
    <row r="8610" s="8" customFormat="1"/>
    <row r="8611" s="8" customFormat="1"/>
    <row r="8612" s="8" customFormat="1"/>
    <row r="8613" s="8" customFormat="1"/>
    <row r="8614" s="8" customFormat="1"/>
    <row r="8615" s="8" customFormat="1"/>
    <row r="8616" s="8" customFormat="1"/>
    <row r="8617" s="8" customFormat="1"/>
    <row r="8618" s="8" customFormat="1"/>
    <row r="8619" s="8" customFormat="1"/>
    <row r="8620" s="8" customFormat="1"/>
    <row r="8621" s="8" customFormat="1"/>
    <row r="8622" s="8" customFormat="1"/>
    <row r="8623" s="8" customFormat="1"/>
    <row r="8624" s="8" customFormat="1"/>
    <row r="8625" s="8" customFormat="1"/>
    <row r="8626" s="8" customFormat="1"/>
    <row r="8627" s="8" customFormat="1"/>
    <row r="8628" s="8" customFormat="1"/>
    <row r="8629" s="8" customFormat="1"/>
    <row r="8630" s="8" customFormat="1"/>
    <row r="8631" s="8" customFormat="1"/>
    <row r="8632" s="8" customFormat="1"/>
    <row r="8633" s="8" customFormat="1"/>
    <row r="8634" s="8" customFormat="1"/>
    <row r="8635" s="8" customFormat="1"/>
    <row r="8636" s="8" customFormat="1"/>
    <row r="8637" s="8" customFormat="1"/>
    <row r="8638" s="8" customFormat="1"/>
    <row r="8639" s="8" customFormat="1"/>
    <row r="8640" s="8" customFormat="1"/>
    <row r="8641" s="8" customFormat="1"/>
    <row r="8642" s="8" customFormat="1"/>
    <row r="8643" s="8" customFormat="1"/>
    <row r="8644" s="8" customFormat="1"/>
    <row r="8645" s="8" customFormat="1"/>
    <row r="8646" s="8" customFormat="1"/>
    <row r="8647" s="8" customFormat="1"/>
    <row r="8648" s="8" customFormat="1"/>
    <row r="8649" s="8" customFormat="1"/>
    <row r="8650" s="8" customFormat="1"/>
    <row r="8651" s="8" customFormat="1"/>
    <row r="8652" s="8" customFormat="1"/>
    <row r="8653" s="8" customFormat="1"/>
    <row r="8654" s="8" customFormat="1"/>
    <row r="8655" s="8" customFormat="1"/>
    <row r="8656" s="8" customFormat="1"/>
    <row r="8657" s="8" customFormat="1"/>
    <row r="8658" s="8" customFormat="1"/>
    <row r="8659" s="8" customFormat="1"/>
    <row r="8660" s="8" customFormat="1"/>
    <row r="8661" s="8" customFormat="1"/>
    <row r="8662" s="8" customFormat="1"/>
    <row r="8663" s="8" customFormat="1"/>
    <row r="8664" s="8" customFormat="1"/>
    <row r="8665" s="8" customFormat="1"/>
    <row r="8666" s="8" customFormat="1"/>
    <row r="8667" s="8" customFormat="1"/>
    <row r="8668" s="8" customFormat="1"/>
    <row r="8669" s="8" customFormat="1"/>
    <row r="8670" s="8" customFormat="1"/>
    <row r="8671" s="8" customFormat="1"/>
    <row r="8672" s="8" customFormat="1"/>
    <row r="8673" s="8" customFormat="1"/>
    <row r="8674" s="8" customFormat="1"/>
    <row r="8675" s="8" customFormat="1"/>
    <row r="8676" s="8" customFormat="1"/>
    <row r="8677" s="8" customFormat="1"/>
    <row r="8678" s="8" customFormat="1"/>
    <row r="8679" s="8" customFormat="1"/>
    <row r="8680" s="8" customFormat="1"/>
    <row r="8681" s="8" customFormat="1"/>
    <row r="8682" s="8" customFormat="1"/>
    <row r="8683" s="8" customFormat="1"/>
    <row r="8684" s="8" customFormat="1"/>
    <row r="8685" s="8" customFormat="1"/>
    <row r="8686" s="8" customFormat="1"/>
    <row r="8687" s="8" customFormat="1"/>
    <row r="8688" s="8" customFormat="1"/>
    <row r="8689" s="8" customFormat="1"/>
    <row r="8690" s="8" customFormat="1"/>
    <row r="8691" s="8" customFormat="1"/>
    <row r="8692" s="8" customFormat="1"/>
    <row r="8693" s="8" customFormat="1"/>
    <row r="8694" s="8" customFormat="1"/>
    <row r="8695" s="8" customFormat="1"/>
    <row r="8696" s="8" customFormat="1"/>
    <row r="8697" s="8" customFormat="1"/>
    <row r="8698" s="8" customFormat="1"/>
    <row r="8699" s="8" customFormat="1"/>
    <row r="8700" s="8" customFormat="1"/>
    <row r="8701" s="8" customFormat="1"/>
    <row r="8702" s="8" customFormat="1"/>
    <row r="8703" s="8" customFormat="1"/>
    <row r="8704" s="8" customFormat="1"/>
    <row r="8705" s="8" customFormat="1"/>
    <row r="8706" s="8" customFormat="1"/>
    <row r="8707" s="8" customFormat="1"/>
    <row r="8708" s="8" customFormat="1"/>
    <row r="8709" s="8" customFormat="1"/>
    <row r="8710" s="8" customFormat="1"/>
    <row r="8711" s="8" customFormat="1"/>
    <row r="8712" s="8" customFormat="1"/>
    <row r="8713" s="8" customFormat="1"/>
    <row r="8714" s="8" customFormat="1"/>
    <row r="8715" s="8" customFormat="1"/>
    <row r="8716" s="8" customFormat="1"/>
    <row r="8717" s="8" customFormat="1"/>
    <row r="8718" s="8" customFormat="1"/>
    <row r="8719" s="8" customFormat="1"/>
    <row r="8720" s="8" customFormat="1"/>
    <row r="8721" s="8" customFormat="1"/>
    <row r="8722" s="8" customFormat="1"/>
    <row r="8723" s="8" customFormat="1"/>
    <row r="8724" s="8" customFormat="1"/>
    <row r="8725" s="8" customFormat="1"/>
    <row r="8726" s="8" customFormat="1"/>
    <row r="8727" s="8" customFormat="1"/>
    <row r="8728" s="8" customFormat="1"/>
    <row r="8729" s="8" customFormat="1"/>
    <row r="8730" s="8" customFormat="1"/>
    <row r="8731" s="8" customFormat="1"/>
    <row r="8732" s="8" customFormat="1"/>
    <row r="8733" s="8" customFormat="1"/>
    <row r="8734" s="8" customFormat="1"/>
    <row r="8735" s="8" customFormat="1"/>
    <row r="8736" s="8" customFormat="1"/>
    <row r="8737" s="8" customFormat="1"/>
    <row r="8738" s="8" customFormat="1"/>
    <row r="8739" s="8" customFormat="1"/>
    <row r="8740" s="8" customFormat="1"/>
    <row r="8741" s="8" customFormat="1"/>
    <row r="8742" s="8" customFormat="1"/>
    <row r="8743" s="8" customFormat="1"/>
    <row r="8744" s="8" customFormat="1"/>
    <row r="8745" s="8" customFormat="1"/>
    <row r="8746" s="8" customFormat="1"/>
    <row r="8747" s="8" customFormat="1"/>
    <row r="8748" s="8" customFormat="1"/>
    <row r="8749" s="8" customFormat="1"/>
    <row r="8750" s="8" customFormat="1"/>
    <row r="8751" s="8" customFormat="1"/>
    <row r="8752" s="8" customFormat="1"/>
    <row r="8753" s="8" customFormat="1"/>
    <row r="8754" s="8" customFormat="1"/>
    <row r="8755" s="8" customFormat="1"/>
    <row r="8756" s="8" customFormat="1"/>
    <row r="8757" s="8" customFormat="1"/>
    <row r="8758" s="8" customFormat="1"/>
    <row r="8759" s="8" customFormat="1"/>
    <row r="8760" s="8" customFormat="1"/>
    <row r="8761" s="8" customFormat="1"/>
    <row r="8762" s="8" customFormat="1"/>
    <row r="8763" s="8" customFormat="1"/>
    <row r="8764" s="8" customFormat="1"/>
    <row r="8765" s="8" customFormat="1"/>
    <row r="8766" s="8" customFormat="1"/>
    <row r="8767" s="8" customFormat="1"/>
    <row r="8768" s="8" customFormat="1"/>
    <row r="8769" s="8" customFormat="1"/>
    <row r="8770" s="8" customFormat="1"/>
    <row r="8771" s="8" customFormat="1"/>
    <row r="8772" s="8" customFormat="1"/>
    <row r="8773" s="8" customFormat="1"/>
    <row r="8774" s="8" customFormat="1"/>
    <row r="8775" s="8" customFormat="1"/>
    <row r="8776" s="8" customFormat="1"/>
    <row r="8777" s="8" customFormat="1"/>
    <row r="8778" s="8" customFormat="1"/>
    <row r="8779" s="8" customFormat="1"/>
    <row r="8780" s="8" customFormat="1"/>
    <row r="8781" s="8" customFormat="1"/>
    <row r="8782" s="8" customFormat="1"/>
    <row r="8783" s="8" customFormat="1"/>
    <row r="8784" s="8" customFormat="1"/>
    <row r="8785" s="8" customFormat="1"/>
    <row r="8786" s="8" customFormat="1"/>
    <row r="8787" s="8" customFormat="1"/>
    <row r="8788" s="8" customFormat="1"/>
    <row r="8789" s="8" customFormat="1"/>
    <row r="8790" s="8" customFormat="1"/>
    <row r="8791" s="8" customFormat="1"/>
    <row r="8792" s="8" customFormat="1"/>
    <row r="8793" s="8" customFormat="1"/>
    <row r="8794" s="8" customFormat="1"/>
    <row r="8795" s="8" customFormat="1"/>
    <row r="8796" s="8" customFormat="1"/>
    <row r="8797" s="8" customFormat="1"/>
    <row r="8798" s="8" customFormat="1"/>
    <row r="8799" s="8" customFormat="1"/>
    <row r="8800" s="8" customFormat="1"/>
    <row r="8801" s="8" customFormat="1"/>
    <row r="8802" s="8" customFormat="1"/>
    <row r="8803" s="8" customFormat="1"/>
    <row r="8804" s="8" customFormat="1"/>
    <row r="8805" s="8" customFormat="1"/>
    <row r="8806" s="8" customFormat="1"/>
    <row r="8807" s="8" customFormat="1"/>
    <row r="8808" s="8" customFormat="1"/>
    <row r="8809" s="8" customFormat="1"/>
    <row r="8810" s="8" customFormat="1"/>
    <row r="8811" s="8" customFormat="1"/>
    <row r="8812" s="8" customFormat="1"/>
    <row r="8813" s="8" customFormat="1"/>
    <row r="8814" s="8" customFormat="1"/>
    <row r="8815" s="8" customFormat="1"/>
    <row r="8816" s="8" customFormat="1"/>
    <row r="8817" s="8" customFormat="1"/>
    <row r="8818" s="8" customFormat="1"/>
    <row r="8819" s="8" customFormat="1"/>
    <row r="8820" s="8" customFormat="1"/>
    <row r="8821" s="8" customFormat="1"/>
    <row r="8822" s="8" customFormat="1"/>
    <row r="8823" s="8" customFormat="1"/>
    <row r="8824" s="8" customFormat="1"/>
    <row r="8825" s="8" customFormat="1"/>
    <row r="8826" s="8" customFormat="1"/>
    <row r="8827" s="8" customFormat="1"/>
    <row r="8828" s="8" customFormat="1"/>
    <row r="8829" s="8" customFormat="1"/>
    <row r="8830" s="8" customFormat="1"/>
    <row r="8831" s="8" customFormat="1"/>
    <row r="8832" s="8" customFormat="1"/>
    <row r="8833" s="8" customFormat="1"/>
    <row r="8834" s="8" customFormat="1"/>
    <row r="8835" s="8" customFormat="1"/>
    <row r="8836" s="8" customFormat="1"/>
    <row r="8837" s="8" customFormat="1"/>
    <row r="8838" s="8" customFormat="1"/>
    <row r="8839" s="8" customFormat="1"/>
    <row r="8840" s="8" customFormat="1"/>
    <row r="8841" s="8" customFormat="1"/>
    <row r="8842" s="8" customFormat="1"/>
    <row r="8843" s="8" customFormat="1"/>
    <row r="8844" s="8" customFormat="1"/>
    <row r="8845" s="8" customFormat="1"/>
    <row r="8846" s="8" customFormat="1"/>
    <row r="8847" s="8" customFormat="1"/>
    <row r="8848" s="8" customFormat="1"/>
    <row r="8849" s="8" customFormat="1"/>
    <row r="8850" s="8" customFormat="1"/>
    <row r="8851" s="8" customFormat="1"/>
    <row r="8852" s="8" customFormat="1"/>
    <row r="8853" s="8" customFormat="1"/>
    <row r="8854" s="8" customFormat="1"/>
    <row r="8855" s="8" customFormat="1"/>
    <row r="8856" s="8" customFormat="1"/>
    <row r="8857" s="8" customFormat="1"/>
    <row r="8858" s="8" customFormat="1"/>
    <row r="8859" s="8" customFormat="1"/>
    <row r="8860" s="8" customFormat="1"/>
    <row r="8861" s="8" customFormat="1"/>
    <row r="8862" s="8" customFormat="1"/>
    <row r="8863" s="8" customFormat="1"/>
    <row r="8864" s="8" customFormat="1"/>
    <row r="8865" s="8" customFormat="1"/>
    <row r="8866" s="8" customFormat="1"/>
    <row r="8867" s="8" customFormat="1"/>
    <row r="8868" s="8" customFormat="1"/>
    <row r="8869" s="8" customFormat="1"/>
    <row r="8870" s="8" customFormat="1"/>
    <row r="8871" s="8" customFormat="1"/>
    <row r="8872" s="8" customFormat="1"/>
    <row r="8873" s="8" customFormat="1"/>
    <row r="8874" s="8" customFormat="1"/>
    <row r="8875" s="8" customFormat="1"/>
    <row r="8876" s="8" customFormat="1"/>
    <row r="8877" s="8" customFormat="1"/>
    <row r="8878" s="8" customFormat="1"/>
    <row r="8879" s="8" customFormat="1"/>
    <row r="8880" s="8" customFormat="1"/>
    <row r="8881" s="8" customFormat="1"/>
    <row r="8882" s="8" customFormat="1"/>
    <row r="8883" s="8" customFormat="1"/>
    <row r="8884" s="8" customFormat="1"/>
    <row r="8885" s="8" customFormat="1"/>
    <row r="8886" s="8" customFormat="1"/>
    <row r="8887" s="8" customFormat="1"/>
    <row r="8888" s="8" customFormat="1"/>
    <row r="8889" s="8" customFormat="1"/>
    <row r="8890" s="8" customFormat="1"/>
    <row r="8891" s="8" customFormat="1"/>
    <row r="8892" s="8" customFormat="1"/>
    <row r="8893" s="8" customFormat="1"/>
    <row r="8894" s="8" customFormat="1"/>
    <row r="8895" s="8" customFormat="1"/>
    <row r="8896" s="8" customFormat="1"/>
    <row r="8897" s="8" customFormat="1"/>
    <row r="8898" s="8" customFormat="1"/>
    <row r="8899" s="8" customFormat="1"/>
    <row r="8900" s="8" customFormat="1"/>
    <row r="8901" s="8" customFormat="1"/>
    <row r="8902" s="8" customFormat="1"/>
    <row r="8903" s="8" customFormat="1"/>
    <row r="8904" s="8" customFormat="1"/>
    <row r="8905" s="8" customFormat="1"/>
    <row r="8906" s="8" customFormat="1"/>
    <row r="8907" s="8" customFormat="1"/>
    <row r="8908" s="8" customFormat="1"/>
    <row r="8909" s="8" customFormat="1"/>
    <row r="8910" s="8" customFormat="1"/>
    <row r="8911" s="8" customFormat="1"/>
    <row r="8912" s="8" customFormat="1"/>
    <row r="8913" s="8" customFormat="1"/>
    <row r="8914" s="8" customFormat="1"/>
    <row r="8915" s="8" customFormat="1"/>
    <row r="8916" s="8" customFormat="1"/>
    <row r="8917" s="8" customFormat="1"/>
    <row r="8918" s="8" customFormat="1"/>
    <row r="8919" s="8" customFormat="1"/>
    <row r="8920" s="8" customFormat="1"/>
    <row r="8921" s="8" customFormat="1"/>
    <row r="8922" s="8" customFormat="1"/>
    <row r="8923" s="8" customFormat="1"/>
    <row r="8924" s="8" customFormat="1"/>
    <row r="8925" s="8" customFormat="1"/>
    <row r="8926" s="8" customFormat="1"/>
    <row r="8927" s="8" customFormat="1"/>
    <row r="8928" s="8" customFormat="1"/>
    <row r="8929" s="8" customFormat="1"/>
    <row r="8930" s="8" customFormat="1"/>
    <row r="8931" s="8" customFormat="1"/>
    <row r="8932" s="8" customFormat="1"/>
    <row r="8933" s="8" customFormat="1"/>
    <row r="8934" s="8" customFormat="1"/>
    <row r="8935" s="8" customFormat="1"/>
    <row r="8936" s="8" customFormat="1"/>
    <row r="8937" s="8" customFormat="1"/>
    <row r="8938" s="8" customFormat="1"/>
    <row r="8939" s="8" customFormat="1"/>
    <row r="8940" s="8" customFormat="1"/>
    <row r="8941" s="8" customFormat="1"/>
    <row r="8942" s="8" customFormat="1"/>
    <row r="8943" s="8" customFormat="1"/>
    <row r="8944" s="8" customFormat="1"/>
    <row r="8945" s="8" customFormat="1"/>
    <row r="8946" s="8" customFormat="1"/>
    <row r="8947" s="8" customFormat="1"/>
    <row r="8948" s="8" customFormat="1"/>
    <row r="8949" s="8" customFormat="1"/>
    <row r="8950" s="8" customFormat="1"/>
    <row r="8951" s="8" customFormat="1"/>
    <row r="8952" s="8" customFormat="1"/>
    <row r="8953" s="8" customFormat="1"/>
    <row r="8954" s="8" customFormat="1"/>
    <row r="8955" s="8" customFormat="1"/>
    <row r="8956" s="8" customFormat="1"/>
    <row r="8957" s="8" customFormat="1"/>
    <row r="8958" s="8" customFormat="1"/>
    <row r="8959" s="8" customFormat="1"/>
    <row r="8960" s="8" customFormat="1"/>
    <row r="8961" s="8" customFormat="1"/>
    <row r="8962" s="8" customFormat="1"/>
    <row r="8963" s="8" customFormat="1"/>
    <row r="8964" s="8" customFormat="1"/>
    <row r="8965" s="8" customFormat="1"/>
    <row r="8966" s="8" customFormat="1"/>
    <row r="8967" s="8" customFormat="1"/>
    <row r="8968" s="8" customFormat="1"/>
    <row r="8969" s="8" customFormat="1"/>
    <row r="8970" s="8" customFormat="1"/>
    <row r="8971" s="8" customFormat="1"/>
    <row r="8972" s="8" customFormat="1"/>
    <row r="8973" s="8" customFormat="1"/>
    <row r="8974" s="8" customFormat="1"/>
    <row r="8975" s="8" customFormat="1"/>
    <row r="8976" s="8" customFormat="1"/>
    <row r="8977" s="8" customFormat="1"/>
    <row r="8978" s="8" customFormat="1"/>
    <row r="8979" s="8" customFormat="1"/>
    <row r="8980" s="8" customFormat="1"/>
    <row r="8981" s="8" customFormat="1"/>
    <row r="8982" s="8" customFormat="1"/>
    <row r="8983" s="8" customFormat="1"/>
    <row r="8984" s="8" customFormat="1"/>
    <row r="8985" s="8" customFormat="1"/>
    <row r="8986" s="8" customFormat="1"/>
    <row r="8987" s="8" customFormat="1"/>
    <row r="8988" s="8" customFormat="1"/>
    <row r="8989" s="8" customFormat="1"/>
    <row r="8990" s="8" customFormat="1"/>
    <row r="8991" s="8" customFormat="1"/>
    <row r="8992" s="8" customFormat="1"/>
    <row r="8993" s="8" customFormat="1"/>
    <row r="8994" s="8" customFormat="1"/>
    <row r="8995" s="8" customFormat="1"/>
    <row r="8996" s="8" customFormat="1"/>
    <row r="8997" s="8" customFormat="1"/>
    <row r="8998" s="8" customFormat="1"/>
    <row r="8999" s="8" customFormat="1"/>
    <row r="9000" s="8" customFormat="1"/>
    <row r="9001" s="8" customFormat="1"/>
    <row r="9002" s="8" customFormat="1"/>
    <row r="9003" s="8" customFormat="1"/>
    <row r="9004" s="8" customFormat="1"/>
    <row r="9005" s="8" customFormat="1"/>
    <row r="9006" s="8" customFormat="1"/>
    <row r="9007" s="8" customFormat="1"/>
    <row r="9008" s="8" customFormat="1"/>
    <row r="9009" s="8" customFormat="1"/>
    <row r="9010" s="8" customFormat="1"/>
    <row r="9011" s="8" customFormat="1"/>
    <row r="9012" s="8" customFormat="1"/>
    <row r="9013" s="8" customFormat="1"/>
    <row r="9014" s="8" customFormat="1"/>
    <row r="9015" s="8" customFormat="1"/>
    <row r="9016" s="8" customFormat="1"/>
    <row r="9017" s="8" customFormat="1"/>
    <row r="9018" s="8" customFormat="1"/>
    <row r="9019" s="8" customFormat="1"/>
    <row r="9020" s="8" customFormat="1"/>
    <row r="9021" s="8" customFormat="1"/>
    <row r="9022" s="8" customFormat="1"/>
    <row r="9023" s="8" customFormat="1"/>
    <row r="9024" s="8" customFormat="1"/>
    <row r="9025" s="8" customFormat="1"/>
    <row r="9026" s="8" customFormat="1"/>
    <row r="9027" s="8" customFormat="1"/>
    <row r="9028" s="8" customFormat="1"/>
    <row r="9029" s="8" customFormat="1"/>
    <row r="9030" s="8" customFormat="1"/>
    <row r="9031" s="8" customFormat="1"/>
    <row r="9032" s="8" customFormat="1"/>
    <row r="9033" s="8" customFormat="1"/>
    <row r="9034" s="8" customFormat="1"/>
    <row r="9035" s="8" customFormat="1"/>
    <row r="9036" s="8" customFormat="1"/>
    <row r="9037" s="8" customFormat="1"/>
    <row r="9038" s="8" customFormat="1"/>
    <row r="9039" s="8" customFormat="1"/>
    <row r="9040" s="8" customFormat="1"/>
    <row r="9041" s="8" customFormat="1"/>
    <row r="9042" s="8" customFormat="1"/>
    <row r="9043" s="8" customFormat="1"/>
    <row r="9044" s="8" customFormat="1"/>
    <row r="9045" s="8" customFormat="1"/>
    <row r="9046" s="8" customFormat="1"/>
    <row r="9047" s="8" customFormat="1"/>
    <row r="9048" s="8" customFormat="1"/>
    <row r="9049" s="8" customFormat="1"/>
    <row r="9050" s="8" customFormat="1"/>
    <row r="9051" s="8" customFormat="1"/>
    <row r="9052" s="8" customFormat="1"/>
    <row r="9053" s="8" customFormat="1"/>
    <row r="9054" s="8" customFormat="1"/>
    <row r="9055" s="8" customFormat="1"/>
    <row r="9056" s="8" customFormat="1"/>
    <row r="9057" s="8" customFormat="1"/>
    <row r="9058" s="8" customFormat="1"/>
    <row r="9059" s="8" customFormat="1"/>
    <row r="9060" s="8" customFormat="1"/>
    <row r="9061" s="8" customFormat="1"/>
    <row r="9062" s="8" customFormat="1"/>
    <row r="9063" s="8" customFormat="1"/>
    <row r="9064" s="8" customFormat="1"/>
    <row r="9065" s="8" customFormat="1"/>
    <row r="9066" s="8" customFormat="1"/>
    <row r="9067" s="8" customFormat="1"/>
    <row r="9068" s="8" customFormat="1"/>
    <row r="9069" s="8" customFormat="1"/>
    <row r="9070" s="8" customFormat="1"/>
    <row r="9071" s="8" customFormat="1"/>
    <row r="9072" s="8" customFormat="1"/>
    <row r="9073" s="8" customFormat="1"/>
    <row r="9074" s="8" customFormat="1"/>
    <row r="9075" s="8" customFormat="1"/>
    <row r="9076" s="8" customFormat="1"/>
    <row r="9077" s="8" customFormat="1"/>
    <row r="9078" s="8" customFormat="1"/>
    <row r="9079" s="8" customFormat="1"/>
    <row r="9080" s="8" customFormat="1"/>
    <row r="9081" s="8" customFormat="1"/>
    <row r="9082" s="8" customFormat="1"/>
    <row r="9083" s="8" customFormat="1"/>
    <row r="9084" s="8" customFormat="1"/>
    <row r="9085" s="8" customFormat="1"/>
    <row r="9086" s="8" customFormat="1"/>
    <row r="9087" s="8" customFormat="1"/>
    <row r="9088" s="8" customFormat="1"/>
    <row r="9089" s="8" customFormat="1"/>
    <row r="9090" s="8" customFormat="1"/>
    <row r="9091" s="8" customFormat="1"/>
    <row r="9092" s="8" customFormat="1"/>
    <row r="9093" s="8" customFormat="1"/>
    <row r="9094" s="8" customFormat="1"/>
    <row r="9095" s="8" customFormat="1"/>
    <row r="9096" s="8" customFormat="1"/>
    <row r="9097" s="8" customFormat="1"/>
    <row r="9098" s="8" customFormat="1"/>
    <row r="9099" s="8" customFormat="1"/>
    <row r="9100" s="8" customFormat="1"/>
    <row r="9101" s="8" customFormat="1"/>
    <row r="9102" s="8" customFormat="1"/>
    <row r="9103" s="8" customFormat="1"/>
    <row r="9104" s="8" customFormat="1"/>
    <row r="9105" s="8" customFormat="1"/>
    <row r="9106" s="8" customFormat="1"/>
    <row r="9107" s="8" customFormat="1"/>
    <row r="9108" s="8" customFormat="1"/>
    <row r="9109" s="8" customFormat="1"/>
    <row r="9110" s="8" customFormat="1"/>
    <row r="9111" s="8" customFormat="1"/>
    <row r="9112" s="8" customFormat="1"/>
    <row r="9113" s="8" customFormat="1"/>
    <row r="9114" s="8" customFormat="1"/>
    <row r="9115" s="8" customFormat="1"/>
    <row r="9116" s="8" customFormat="1"/>
    <row r="9117" s="8" customFormat="1"/>
    <row r="9118" s="8" customFormat="1"/>
    <row r="9119" s="8" customFormat="1"/>
    <row r="9120" s="8" customFormat="1"/>
    <row r="9121" s="8" customFormat="1"/>
    <row r="9122" s="8" customFormat="1"/>
    <row r="9123" s="8" customFormat="1"/>
    <row r="9124" s="8" customFormat="1"/>
    <row r="9125" s="8" customFormat="1"/>
    <row r="9126" s="8" customFormat="1"/>
    <row r="9127" s="8" customFormat="1"/>
    <row r="9128" s="8" customFormat="1"/>
    <row r="9129" s="8" customFormat="1"/>
    <row r="9130" s="8" customFormat="1"/>
    <row r="9131" s="8" customFormat="1"/>
    <row r="9132" s="8" customFormat="1"/>
    <row r="9133" s="8" customFormat="1"/>
    <row r="9134" s="8" customFormat="1"/>
    <row r="9135" s="8" customFormat="1"/>
    <row r="9136" s="8" customFormat="1"/>
    <row r="9137" s="8" customFormat="1"/>
    <row r="9138" s="8" customFormat="1"/>
    <row r="9139" s="8" customFormat="1"/>
    <row r="9140" s="8" customFormat="1"/>
    <row r="9141" s="8" customFormat="1"/>
    <row r="9142" s="8" customFormat="1"/>
    <row r="9143" s="8" customFormat="1"/>
    <row r="9144" s="8" customFormat="1"/>
    <row r="9145" s="8" customFormat="1"/>
    <row r="9146" s="8" customFormat="1"/>
    <row r="9147" s="8" customFormat="1"/>
    <row r="9148" s="8" customFormat="1"/>
    <row r="9149" s="8" customFormat="1"/>
    <row r="9150" s="8" customFormat="1"/>
    <row r="9151" s="8" customFormat="1"/>
    <row r="9152" s="8" customFormat="1"/>
    <row r="9153" s="8" customFormat="1"/>
    <row r="9154" s="8" customFormat="1"/>
    <row r="9155" s="8" customFormat="1"/>
    <row r="9156" s="8" customFormat="1"/>
    <row r="9157" s="8" customFormat="1"/>
    <row r="9158" s="8" customFormat="1"/>
    <row r="9159" s="8" customFormat="1"/>
    <row r="9160" s="8" customFormat="1"/>
    <row r="9161" s="8" customFormat="1"/>
    <row r="9162" s="8" customFormat="1"/>
    <row r="9163" s="8" customFormat="1"/>
    <row r="9164" s="8" customFormat="1"/>
    <row r="9165" s="8" customFormat="1"/>
    <row r="9166" s="8" customFormat="1"/>
    <row r="9167" s="8" customFormat="1"/>
    <row r="9168" s="8" customFormat="1"/>
    <row r="9169" s="8" customFormat="1"/>
    <row r="9170" s="8" customFormat="1"/>
    <row r="9171" s="8" customFormat="1"/>
    <row r="9172" s="8" customFormat="1"/>
    <row r="9173" s="8" customFormat="1"/>
    <row r="9174" s="8" customFormat="1"/>
    <row r="9175" s="8" customFormat="1"/>
    <row r="9176" s="8" customFormat="1"/>
    <row r="9177" s="8" customFormat="1"/>
    <row r="9178" s="8" customFormat="1"/>
    <row r="9179" s="8" customFormat="1"/>
    <row r="9180" s="8" customFormat="1"/>
    <row r="9181" s="8" customFormat="1"/>
    <row r="9182" s="8" customFormat="1"/>
    <row r="9183" s="8" customFormat="1"/>
    <row r="9184" s="8" customFormat="1"/>
    <row r="9185" s="8" customFormat="1"/>
    <row r="9186" s="8" customFormat="1"/>
    <row r="9187" s="8" customFormat="1"/>
    <row r="9188" s="8" customFormat="1"/>
    <row r="9189" s="8" customFormat="1"/>
    <row r="9190" s="8" customFormat="1"/>
    <row r="9191" s="8" customFormat="1"/>
    <row r="9192" s="8" customFormat="1"/>
    <row r="9193" s="8" customFormat="1"/>
    <row r="9194" s="8" customFormat="1"/>
    <row r="9195" s="8" customFormat="1"/>
    <row r="9196" s="8" customFormat="1"/>
    <row r="9197" s="8" customFormat="1"/>
    <row r="9198" s="8" customFormat="1"/>
    <row r="9199" s="8" customFormat="1"/>
    <row r="9200" s="8" customFormat="1"/>
    <row r="9201" s="8" customFormat="1"/>
    <row r="9202" s="8" customFormat="1"/>
    <row r="9203" s="8" customFormat="1"/>
    <row r="9204" s="8" customFormat="1"/>
    <row r="9205" s="8" customFormat="1"/>
    <row r="9206" s="8" customFormat="1"/>
    <row r="9207" s="8" customFormat="1"/>
    <row r="9208" s="8" customFormat="1"/>
    <row r="9209" s="8" customFormat="1"/>
    <row r="9210" s="8" customFormat="1"/>
    <row r="9211" s="8" customFormat="1"/>
    <row r="9212" s="8" customFormat="1"/>
    <row r="9213" s="8" customFormat="1"/>
    <row r="9214" s="8" customFormat="1"/>
    <row r="9215" s="8" customFormat="1"/>
    <row r="9216" s="8" customFormat="1"/>
    <row r="9217" s="8" customFormat="1"/>
    <row r="9218" s="8" customFormat="1"/>
    <row r="9219" s="8" customFormat="1"/>
    <row r="9220" s="8" customFormat="1"/>
    <row r="9221" s="8" customFormat="1"/>
    <row r="9222" s="8" customFormat="1"/>
    <row r="9223" s="8" customFormat="1"/>
    <row r="9224" s="8" customFormat="1"/>
    <row r="9225" s="8" customFormat="1"/>
    <row r="9226" s="8" customFormat="1"/>
    <row r="9227" s="8" customFormat="1"/>
    <row r="9228" s="8" customFormat="1"/>
    <row r="9229" s="8" customFormat="1"/>
    <row r="9230" s="8" customFormat="1"/>
    <row r="9231" s="8" customFormat="1"/>
    <row r="9232" s="8" customFormat="1"/>
    <row r="9233" s="8" customFormat="1"/>
    <row r="9234" s="8" customFormat="1"/>
    <row r="9235" s="8" customFormat="1"/>
    <row r="9236" s="8" customFormat="1"/>
    <row r="9237" s="8" customFormat="1"/>
    <row r="9238" s="8" customFormat="1"/>
    <row r="9239" s="8" customFormat="1"/>
    <row r="9240" s="8" customFormat="1"/>
    <row r="9241" s="8" customFormat="1"/>
    <row r="9242" s="8" customFormat="1"/>
    <row r="9243" s="8" customFormat="1"/>
    <row r="9244" s="8" customFormat="1"/>
    <row r="9245" s="8" customFormat="1"/>
    <row r="9246" s="8" customFormat="1"/>
    <row r="9247" s="8" customFormat="1"/>
    <row r="9248" s="8" customFormat="1"/>
    <row r="9249" s="8" customFormat="1"/>
    <row r="9250" s="8" customFormat="1"/>
    <row r="9251" s="8" customFormat="1"/>
    <row r="9252" s="8" customFormat="1"/>
    <row r="9253" s="8" customFormat="1"/>
    <row r="9254" s="8" customFormat="1"/>
    <row r="9255" s="8" customFormat="1"/>
    <row r="9256" s="8" customFormat="1"/>
    <row r="9257" s="8" customFormat="1"/>
    <row r="9258" s="8" customFormat="1"/>
    <row r="9259" s="8" customFormat="1"/>
    <row r="9260" s="8" customFormat="1"/>
    <row r="9261" s="8" customFormat="1"/>
    <row r="9262" s="8" customFormat="1"/>
    <row r="9263" s="8" customFormat="1"/>
    <row r="9264" s="8" customFormat="1"/>
    <row r="9265" s="8" customFormat="1"/>
    <row r="9266" s="8" customFormat="1"/>
    <row r="9267" s="8" customFormat="1"/>
    <row r="9268" s="8" customFormat="1"/>
    <row r="9269" s="8" customFormat="1"/>
    <row r="9270" s="8" customFormat="1"/>
    <row r="9271" s="8" customFormat="1"/>
    <row r="9272" s="8" customFormat="1"/>
    <row r="9273" s="8" customFormat="1"/>
    <row r="9274" s="8" customFormat="1"/>
    <row r="9275" s="8" customFormat="1"/>
    <row r="9276" s="8" customFormat="1"/>
    <row r="9277" s="8" customFormat="1"/>
    <row r="9278" s="8" customFormat="1"/>
    <row r="9279" s="8" customFormat="1"/>
    <row r="9280" s="8" customFormat="1"/>
    <row r="9281" s="8" customFormat="1"/>
    <row r="9282" s="8" customFormat="1"/>
    <row r="9283" s="8" customFormat="1"/>
    <row r="9284" s="8" customFormat="1"/>
    <row r="9285" s="8" customFormat="1"/>
    <row r="9286" s="8" customFormat="1"/>
    <row r="9287" s="8" customFormat="1"/>
    <row r="9288" s="8" customFormat="1"/>
    <row r="9289" s="8" customFormat="1"/>
    <row r="9290" s="8" customFormat="1"/>
    <row r="9291" s="8" customFormat="1"/>
    <row r="9292" s="8" customFormat="1"/>
    <row r="9293" s="8" customFormat="1"/>
    <row r="9294" s="8" customFormat="1"/>
    <row r="9295" s="8" customFormat="1"/>
    <row r="9296" s="8" customFormat="1"/>
    <row r="9297" s="8" customFormat="1"/>
    <row r="9298" s="8" customFormat="1"/>
    <row r="9299" s="8" customFormat="1"/>
    <row r="9300" s="8" customFormat="1"/>
    <row r="9301" s="8" customFormat="1"/>
    <row r="9302" s="8" customFormat="1"/>
    <row r="9303" s="8" customFormat="1"/>
    <row r="9304" s="8" customFormat="1"/>
    <row r="9305" s="8" customFormat="1"/>
    <row r="9306" s="8" customFormat="1"/>
    <row r="9307" s="8" customFormat="1"/>
    <row r="9308" s="8" customFormat="1"/>
    <row r="9309" s="8" customFormat="1"/>
    <row r="9310" s="8" customFormat="1"/>
    <row r="9311" s="8" customFormat="1"/>
    <row r="9312" s="8" customFormat="1"/>
    <row r="9313" s="8" customFormat="1"/>
    <row r="9314" s="8" customFormat="1"/>
    <row r="9315" s="8" customFormat="1"/>
    <row r="9316" s="8" customFormat="1"/>
    <row r="9317" s="8" customFormat="1"/>
    <row r="9318" s="8" customFormat="1"/>
    <row r="9319" s="8" customFormat="1"/>
    <row r="9320" s="8" customFormat="1"/>
    <row r="9321" s="8" customFormat="1"/>
    <row r="9322" s="8" customFormat="1"/>
    <row r="9323" s="8" customFormat="1"/>
    <row r="9324" s="8" customFormat="1"/>
    <row r="9325" s="8" customFormat="1"/>
    <row r="9326" s="8" customFormat="1"/>
    <row r="9327" s="8" customFormat="1"/>
    <row r="9328" s="8" customFormat="1"/>
    <row r="9329" s="8" customFormat="1"/>
    <row r="9330" s="8" customFormat="1"/>
    <row r="9331" s="8" customFormat="1"/>
    <row r="9332" s="8" customFormat="1"/>
    <row r="9333" s="8" customFormat="1"/>
    <row r="9334" s="8" customFormat="1"/>
    <row r="9335" s="8" customFormat="1"/>
    <row r="9336" s="8" customFormat="1"/>
    <row r="9337" s="8" customFormat="1"/>
    <row r="9338" s="8" customFormat="1"/>
    <row r="9339" s="8" customFormat="1"/>
    <row r="9340" s="8" customFormat="1"/>
    <row r="9341" s="8" customFormat="1"/>
    <row r="9342" s="8" customFormat="1"/>
    <row r="9343" s="8" customFormat="1"/>
    <row r="9344" s="8" customFormat="1"/>
    <row r="9345" s="8" customFormat="1"/>
    <row r="9346" s="8" customFormat="1"/>
    <row r="9347" s="8" customFormat="1"/>
    <row r="9348" s="8" customFormat="1"/>
    <row r="9349" s="8" customFormat="1"/>
    <row r="9350" s="8" customFormat="1"/>
    <row r="9351" s="8" customFormat="1"/>
    <row r="9352" s="8" customFormat="1"/>
    <row r="9353" s="8" customFormat="1"/>
    <row r="9354" s="8" customFormat="1"/>
    <row r="9355" s="8" customFormat="1"/>
    <row r="9356" s="8" customFormat="1"/>
    <row r="9357" s="8" customFormat="1"/>
    <row r="9358" s="8" customFormat="1"/>
    <row r="9359" s="8" customFormat="1"/>
    <row r="9360" s="8" customFormat="1"/>
    <row r="9361" s="8" customFormat="1"/>
    <row r="9362" s="8" customFormat="1"/>
    <row r="9363" s="8" customFormat="1"/>
    <row r="9364" s="8" customFormat="1"/>
    <row r="9365" s="8" customFormat="1"/>
    <row r="9366" s="8" customFormat="1"/>
    <row r="9367" s="8" customFormat="1"/>
    <row r="9368" s="8" customFormat="1"/>
    <row r="9369" s="8" customFormat="1"/>
    <row r="9370" s="8" customFormat="1"/>
    <row r="9371" s="8" customFormat="1"/>
    <row r="9372" s="8" customFormat="1"/>
    <row r="9373" s="8" customFormat="1"/>
    <row r="9374" s="8" customFormat="1"/>
    <row r="9375" s="8" customFormat="1"/>
    <row r="9376" s="8" customFormat="1"/>
    <row r="9377" s="8" customFormat="1"/>
    <row r="9378" s="8" customFormat="1"/>
    <row r="9379" s="8" customFormat="1"/>
    <row r="9380" s="8" customFormat="1"/>
    <row r="9381" s="8" customFormat="1"/>
    <row r="9382" s="8" customFormat="1"/>
    <row r="9383" s="8" customFormat="1"/>
    <row r="9384" s="8" customFormat="1"/>
    <row r="9385" s="8" customFormat="1"/>
    <row r="9386" s="8" customFormat="1"/>
    <row r="9387" s="8" customFormat="1"/>
    <row r="9388" s="8" customFormat="1"/>
    <row r="9389" s="8" customFormat="1"/>
    <row r="9390" s="8" customFormat="1"/>
    <row r="9391" s="8" customFormat="1"/>
    <row r="9392" s="8" customFormat="1"/>
    <row r="9393" s="8" customFormat="1"/>
    <row r="9394" s="8" customFormat="1"/>
    <row r="9395" s="8" customFormat="1"/>
    <row r="9396" s="8" customFormat="1"/>
    <row r="9397" s="8" customFormat="1"/>
    <row r="9398" s="8" customFormat="1"/>
    <row r="9399" s="8" customFormat="1"/>
    <row r="9400" s="8" customFormat="1"/>
    <row r="9401" s="8" customFormat="1"/>
    <row r="9402" s="8" customFormat="1"/>
    <row r="9403" s="8" customFormat="1"/>
    <row r="9404" s="8" customFormat="1"/>
    <row r="9405" s="8" customFormat="1"/>
    <row r="9406" s="8" customFormat="1"/>
    <row r="9407" s="8" customFormat="1"/>
    <row r="9408" s="8" customFormat="1"/>
    <row r="9409" s="8" customFormat="1"/>
    <row r="9410" s="8" customFormat="1"/>
    <row r="9411" s="8" customFormat="1"/>
    <row r="9412" s="8" customFormat="1"/>
    <row r="9413" s="8" customFormat="1"/>
    <row r="9414" s="8" customFormat="1"/>
    <row r="9415" s="8" customFormat="1"/>
    <row r="9416" s="8" customFormat="1"/>
    <row r="9417" s="8" customFormat="1"/>
    <row r="9418" s="8" customFormat="1"/>
    <row r="9419" s="8" customFormat="1"/>
    <row r="9420" s="8" customFormat="1"/>
    <row r="9421" s="8" customFormat="1"/>
    <row r="9422" s="8" customFormat="1"/>
    <row r="9423" s="8" customFormat="1"/>
    <row r="9424" s="8" customFormat="1"/>
    <row r="9425" s="8" customFormat="1"/>
    <row r="9426" s="8" customFormat="1"/>
    <row r="9427" s="8" customFormat="1"/>
    <row r="9428" s="8" customFormat="1"/>
    <row r="9429" s="8" customFormat="1"/>
    <row r="9430" s="8" customFormat="1"/>
    <row r="9431" s="8" customFormat="1"/>
    <row r="9432" s="8" customFormat="1"/>
    <row r="9433" s="8" customFormat="1"/>
    <row r="9434" s="8" customFormat="1"/>
    <row r="9435" s="8" customFormat="1"/>
    <row r="9436" s="8" customFormat="1"/>
    <row r="9437" s="8" customFormat="1"/>
    <row r="9438" s="8" customFormat="1"/>
    <row r="9439" s="8" customFormat="1"/>
    <row r="9440" s="8" customFormat="1"/>
    <row r="9441" s="8" customFormat="1"/>
    <row r="9442" s="8" customFormat="1"/>
    <row r="9443" s="8" customFormat="1"/>
    <row r="9444" s="8" customFormat="1"/>
    <row r="9445" s="8" customFormat="1"/>
    <row r="9446" s="8" customFormat="1"/>
    <row r="9447" s="8" customFormat="1"/>
    <row r="9448" s="8" customFormat="1"/>
    <row r="9449" s="8" customFormat="1"/>
    <row r="9450" s="8" customFormat="1"/>
    <row r="9451" s="8" customFormat="1"/>
    <row r="9452" s="8" customFormat="1"/>
    <row r="9453" s="8" customFormat="1"/>
    <row r="9454" s="8" customFormat="1"/>
    <row r="9455" s="8" customFormat="1"/>
    <row r="9456" s="8" customFormat="1"/>
    <row r="9457" s="8" customFormat="1"/>
    <row r="9458" s="8" customFormat="1"/>
    <row r="9459" s="8" customFormat="1"/>
    <row r="9460" s="8" customFormat="1"/>
    <row r="9461" s="8" customFormat="1"/>
    <row r="9462" s="8" customFormat="1"/>
    <row r="9463" s="8" customFormat="1"/>
    <row r="9464" s="8" customFormat="1"/>
    <row r="9465" s="8" customFormat="1"/>
    <row r="9466" s="8" customFormat="1"/>
    <row r="9467" s="8" customFormat="1"/>
    <row r="9468" s="8" customFormat="1"/>
    <row r="9469" s="8" customFormat="1"/>
    <row r="9470" s="8" customFormat="1"/>
    <row r="9471" s="8" customFormat="1"/>
    <row r="9472" s="8" customFormat="1"/>
    <row r="9473" s="8" customFormat="1"/>
    <row r="9474" s="8" customFormat="1"/>
    <row r="9475" s="8" customFormat="1"/>
    <row r="9476" s="8" customFormat="1"/>
    <row r="9477" s="8" customFormat="1"/>
    <row r="9478" s="8" customFormat="1"/>
    <row r="9479" s="8" customFormat="1"/>
    <row r="9480" s="8" customFormat="1"/>
    <row r="9481" s="8" customFormat="1"/>
    <row r="9482" s="8" customFormat="1"/>
    <row r="9483" s="8" customFormat="1"/>
    <row r="9484" s="8" customFormat="1"/>
    <row r="9485" s="8" customFormat="1"/>
    <row r="9486" s="8" customFormat="1"/>
    <row r="9487" s="8" customFormat="1"/>
    <row r="9488" s="8" customFormat="1"/>
    <row r="9489" s="8" customFormat="1"/>
    <row r="9490" s="8" customFormat="1"/>
    <row r="9491" s="8" customFormat="1"/>
    <row r="9492" s="8" customFormat="1"/>
    <row r="9493" s="8" customFormat="1"/>
    <row r="9494" s="8" customFormat="1"/>
    <row r="9495" s="8" customFormat="1"/>
    <row r="9496" s="8" customFormat="1"/>
    <row r="9497" s="8" customFormat="1"/>
    <row r="9498" s="8" customFormat="1"/>
    <row r="9499" s="8" customFormat="1"/>
    <row r="9500" s="8" customFormat="1"/>
    <row r="9501" s="8" customFormat="1"/>
    <row r="9502" s="8" customFormat="1"/>
    <row r="9503" s="8" customFormat="1"/>
    <row r="9504" s="8" customFormat="1"/>
    <row r="9505" s="8" customFormat="1"/>
    <row r="9506" s="8" customFormat="1"/>
    <row r="9507" s="8" customFormat="1"/>
    <row r="9508" s="8" customFormat="1"/>
    <row r="9509" s="8" customFormat="1"/>
    <row r="9510" s="8" customFormat="1"/>
    <row r="9511" s="8" customFormat="1"/>
    <row r="9512" s="8" customFormat="1"/>
    <row r="9513" s="8" customFormat="1"/>
    <row r="9514" s="8" customFormat="1"/>
    <row r="9515" s="8" customFormat="1"/>
    <row r="9516" s="8" customFormat="1"/>
    <row r="9517" s="8" customFormat="1"/>
    <row r="9518" s="8" customFormat="1"/>
    <row r="9519" s="8" customFormat="1"/>
    <row r="9520" s="8" customFormat="1"/>
    <row r="9521" s="8" customFormat="1"/>
    <row r="9522" s="8" customFormat="1"/>
    <row r="9523" s="8" customFormat="1"/>
    <row r="9524" s="8" customFormat="1"/>
    <row r="9525" s="8" customFormat="1"/>
    <row r="9526" s="8" customFormat="1"/>
    <row r="9527" s="8" customFormat="1"/>
    <row r="9528" s="8" customFormat="1"/>
    <row r="9529" s="8" customFormat="1"/>
    <row r="9530" s="8" customFormat="1"/>
    <row r="9531" s="8" customFormat="1"/>
    <row r="9532" s="8" customFormat="1"/>
    <row r="9533" s="8" customFormat="1"/>
    <row r="9534" s="8" customFormat="1"/>
    <row r="9535" s="8" customFormat="1"/>
    <row r="9536" s="8" customFormat="1"/>
    <row r="9537" s="8" customFormat="1"/>
    <row r="9538" s="8" customFormat="1"/>
    <row r="9539" s="8" customFormat="1"/>
    <row r="9540" s="8" customFormat="1"/>
    <row r="9541" s="8" customFormat="1"/>
    <row r="9542" s="8" customFormat="1"/>
    <row r="9543" s="8" customFormat="1"/>
    <row r="9544" s="8" customFormat="1"/>
    <row r="9545" s="8" customFormat="1"/>
    <row r="9546" s="8" customFormat="1"/>
    <row r="9547" s="8" customFormat="1"/>
    <row r="9548" s="8" customFormat="1"/>
    <row r="9549" s="8" customFormat="1"/>
    <row r="9550" s="8" customFormat="1"/>
    <row r="9551" s="8" customFormat="1"/>
    <row r="9552" s="8" customFormat="1"/>
    <row r="9553" s="8" customFormat="1"/>
    <row r="9554" s="8" customFormat="1"/>
    <row r="9555" s="8" customFormat="1"/>
    <row r="9556" s="8" customFormat="1"/>
    <row r="9557" s="8" customFormat="1"/>
    <row r="9558" s="8" customFormat="1"/>
    <row r="9559" s="8" customFormat="1"/>
    <row r="9560" s="8" customFormat="1"/>
    <row r="9561" s="8" customFormat="1"/>
    <row r="9562" s="8" customFormat="1"/>
    <row r="9563" s="8" customFormat="1"/>
    <row r="9564" s="8" customFormat="1"/>
    <row r="9565" s="8" customFormat="1"/>
    <row r="9566" s="8" customFormat="1"/>
    <row r="9567" s="8" customFormat="1"/>
    <row r="9568" s="8" customFormat="1"/>
    <row r="9569" s="8" customFormat="1"/>
    <row r="9570" s="8" customFormat="1"/>
    <row r="9571" s="8" customFormat="1"/>
    <row r="9572" s="8" customFormat="1"/>
    <row r="9573" s="8" customFormat="1"/>
    <row r="9574" s="8" customFormat="1"/>
    <row r="9575" s="8" customFormat="1"/>
    <row r="9576" s="8" customFormat="1"/>
    <row r="9577" s="8" customFormat="1"/>
    <row r="9578" s="8" customFormat="1"/>
    <row r="9579" s="8" customFormat="1"/>
    <row r="9580" s="8" customFormat="1"/>
    <row r="9581" s="8" customFormat="1"/>
    <row r="9582" s="8" customFormat="1"/>
    <row r="9583" s="8" customFormat="1"/>
    <row r="9584" s="8" customFormat="1"/>
    <row r="9585" s="8" customFormat="1"/>
    <row r="9586" s="8" customFormat="1"/>
    <row r="9587" s="8" customFormat="1"/>
    <row r="9588" s="8" customFormat="1"/>
    <row r="9589" s="8" customFormat="1"/>
    <row r="9590" s="8" customFormat="1"/>
    <row r="9591" s="8" customFormat="1"/>
    <row r="9592" s="8" customFormat="1"/>
    <row r="9593" s="8" customFormat="1"/>
    <row r="9594" s="8" customFormat="1"/>
    <row r="9595" s="8" customFormat="1"/>
    <row r="9596" s="8" customFormat="1"/>
    <row r="9597" s="8" customFormat="1"/>
    <row r="9598" s="8" customFormat="1"/>
    <row r="9599" s="8" customFormat="1"/>
    <row r="9600" s="8" customFormat="1"/>
    <row r="9601" s="8" customFormat="1"/>
    <row r="9602" s="8" customFormat="1"/>
    <row r="9603" s="8" customFormat="1"/>
    <row r="9604" s="8" customFormat="1"/>
    <row r="9605" s="8" customFormat="1"/>
    <row r="9606" s="8" customFormat="1"/>
    <row r="9607" s="8" customFormat="1"/>
    <row r="9608" s="8" customFormat="1"/>
    <row r="9609" s="8" customFormat="1"/>
    <row r="9610" s="8" customFormat="1"/>
    <row r="9611" s="8" customFormat="1"/>
    <row r="9612" s="8" customFormat="1"/>
    <row r="9613" s="8" customFormat="1"/>
    <row r="9614" s="8" customFormat="1"/>
    <row r="9615" s="8" customFormat="1"/>
    <row r="9616" s="8" customFormat="1"/>
    <row r="9617" s="8" customFormat="1"/>
    <row r="9618" s="8" customFormat="1"/>
    <row r="9619" s="8" customFormat="1"/>
    <row r="9620" s="8" customFormat="1"/>
    <row r="9621" s="8" customFormat="1"/>
    <row r="9622" s="8" customFormat="1"/>
    <row r="9623" s="8" customFormat="1"/>
    <row r="9624" s="8" customFormat="1"/>
    <row r="9625" s="8" customFormat="1"/>
    <row r="9626" s="8" customFormat="1"/>
    <row r="9627" s="8" customFormat="1"/>
    <row r="9628" s="8" customFormat="1"/>
    <row r="9629" s="8" customFormat="1"/>
    <row r="9630" s="8" customFormat="1"/>
    <row r="9631" s="8" customFormat="1"/>
    <row r="9632" s="8" customFormat="1"/>
    <row r="9633" s="8" customFormat="1"/>
    <row r="9634" s="8" customFormat="1"/>
    <row r="9635" s="8" customFormat="1"/>
    <row r="9636" s="8" customFormat="1"/>
    <row r="9637" s="8" customFormat="1"/>
    <row r="9638" s="8" customFormat="1"/>
    <row r="9639" s="8" customFormat="1"/>
    <row r="9640" s="8" customFormat="1"/>
    <row r="9641" s="8" customFormat="1"/>
    <row r="9642" s="8" customFormat="1"/>
    <row r="9643" s="8" customFormat="1"/>
    <row r="9644" s="8" customFormat="1"/>
    <row r="9645" s="8" customFormat="1"/>
    <row r="9646" s="8" customFormat="1"/>
    <row r="9647" s="8" customFormat="1"/>
    <row r="9648" s="8" customFormat="1"/>
    <row r="9649" s="8" customFormat="1"/>
    <row r="9650" s="8" customFormat="1"/>
    <row r="9651" s="8" customFormat="1"/>
    <row r="9652" s="8" customFormat="1"/>
    <row r="9653" s="8" customFormat="1"/>
    <row r="9654" s="8" customFormat="1"/>
    <row r="9655" s="8" customFormat="1"/>
    <row r="9656" s="8" customFormat="1"/>
    <row r="9657" s="8" customFormat="1"/>
    <row r="9658" s="8" customFormat="1"/>
    <row r="9659" s="8" customFormat="1"/>
    <row r="9660" s="8" customFormat="1"/>
    <row r="9661" s="8" customFormat="1"/>
    <row r="9662" s="8" customFormat="1"/>
    <row r="9663" s="8" customFormat="1"/>
    <row r="9664" s="8" customFormat="1"/>
    <row r="9665" s="8" customFormat="1"/>
    <row r="9666" s="8" customFormat="1"/>
    <row r="9667" s="8" customFormat="1"/>
    <row r="9668" s="8" customFormat="1"/>
    <row r="9669" s="8" customFormat="1"/>
    <row r="9670" s="8" customFormat="1"/>
    <row r="9671" s="8" customFormat="1"/>
    <row r="9672" s="8" customFormat="1"/>
    <row r="9673" s="8" customFormat="1"/>
    <row r="9674" s="8" customFormat="1"/>
    <row r="9675" s="8" customFormat="1"/>
    <row r="9676" s="8" customFormat="1"/>
    <row r="9677" s="8" customFormat="1"/>
    <row r="9678" s="8" customFormat="1"/>
    <row r="9679" s="8" customFormat="1"/>
    <row r="9680" s="8" customFormat="1"/>
    <row r="9681" s="8" customFormat="1"/>
    <row r="9682" s="8" customFormat="1"/>
    <row r="9683" s="8" customFormat="1"/>
    <row r="9684" s="8" customFormat="1"/>
    <row r="9685" s="8" customFormat="1"/>
    <row r="9686" s="8" customFormat="1"/>
    <row r="9687" s="8" customFormat="1"/>
    <row r="9688" s="8" customFormat="1"/>
    <row r="9689" s="8" customFormat="1"/>
    <row r="9690" s="8" customFormat="1"/>
    <row r="9691" s="8" customFormat="1"/>
    <row r="9692" s="8" customFormat="1"/>
    <row r="9693" s="8" customFormat="1"/>
    <row r="9694" s="8" customFormat="1"/>
    <row r="9695" s="8" customFormat="1"/>
    <row r="9696" s="8" customFormat="1"/>
    <row r="9697" s="8" customFormat="1"/>
    <row r="9698" s="8" customFormat="1"/>
    <row r="9699" s="8" customFormat="1"/>
    <row r="9700" s="8" customFormat="1"/>
    <row r="9701" s="8" customFormat="1"/>
    <row r="9702" s="8" customFormat="1"/>
    <row r="9703" s="8" customFormat="1"/>
    <row r="9704" s="8" customFormat="1"/>
    <row r="9705" s="8" customFormat="1"/>
    <row r="9706" s="8" customFormat="1"/>
    <row r="9707" s="8" customFormat="1"/>
    <row r="9708" s="8" customFormat="1"/>
    <row r="9709" s="8" customFormat="1"/>
    <row r="9710" s="8" customFormat="1"/>
    <row r="9711" s="8" customFormat="1"/>
    <row r="9712" s="8" customFormat="1"/>
    <row r="9713" s="8" customFormat="1"/>
    <row r="9714" s="8" customFormat="1"/>
    <row r="9715" s="8" customFormat="1"/>
    <row r="9716" s="8" customFormat="1"/>
    <row r="9717" s="8" customFormat="1"/>
    <row r="9718" s="8" customFormat="1"/>
    <row r="9719" s="8" customFormat="1"/>
    <row r="9720" s="8" customFormat="1"/>
    <row r="9721" s="8" customFormat="1"/>
    <row r="9722" s="8" customFormat="1"/>
    <row r="9723" s="8" customFormat="1"/>
    <row r="9724" s="8" customFormat="1"/>
    <row r="9725" s="8" customFormat="1"/>
    <row r="9726" s="8" customFormat="1"/>
    <row r="9727" s="8" customFormat="1"/>
    <row r="9728" s="8" customFormat="1"/>
    <row r="9729" s="8" customFormat="1"/>
    <row r="9730" s="8" customFormat="1"/>
    <row r="9731" s="8" customFormat="1"/>
    <row r="9732" s="8" customFormat="1"/>
    <row r="9733" s="8" customFormat="1"/>
    <row r="9734" s="8" customFormat="1"/>
    <row r="9735" s="8" customFormat="1"/>
    <row r="9736" s="8" customFormat="1"/>
    <row r="9737" s="8" customFormat="1"/>
    <row r="9738" s="8" customFormat="1"/>
    <row r="9739" s="8" customFormat="1"/>
    <row r="9740" s="8" customFormat="1"/>
    <row r="9741" s="8" customFormat="1"/>
    <row r="9742" s="8" customFormat="1"/>
    <row r="9743" s="8" customFormat="1"/>
    <row r="9744" s="8" customFormat="1"/>
    <row r="9745" s="8" customFormat="1"/>
    <row r="9746" s="8" customFormat="1"/>
    <row r="9747" s="8" customFormat="1"/>
    <row r="9748" s="8" customFormat="1"/>
    <row r="9749" s="8" customFormat="1"/>
    <row r="9750" s="8" customFormat="1"/>
    <row r="9751" s="8" customFormat="1"/>
    <row r="9752" s="8" customFormat="1"/>
    <row r="9753" s="8" customFormat="1"/>
    <row r="9754" s="8" customFormat="1"/>
    <row r="9755" s="8" customFormat="1"/>
    <row r="9756" s="8" customFormat="1"/>
    <row r="9757" s="8" customFormat="1"/>
    <row r="9758" s="8" customFormat="1"/>
    <row r="9759" s="8" customFormat="1"/>
    <row r="9760" s="8" customFormat="1"/>
    <row r="9761" s="8" customFormat="1"/>
    <row r="9762" s="8" customFormat="1"/>
    <row r="9763" s="8" customFormat="1"/>
    <row r="9764" s="8" customFormat="1"/>
    <row r="9765" s="8" customFormat="1"/>
    <row r="9766" s="8" customFormat="1"/>
    <row r="9767" s="8" customFormat="1"/>
    <row r="9768" s="8" customFormat="1"/>
    <row r="9769" s="8" customFormat="1"/>
    <row r="9770" s="8" customFormat="1"/>
    <row r="9771" s="8" customFormat="1"/>
    <row r="9772" s="8" customFormat="1"/>
    <row r="9773" s="8" customFormat="1"/>
    <row r="9774" s="8" customFormat="1"/>
    <row r="9775" s="8" customFormat="1"/>
    <row r="9776" s="8" customFormat="1"/>
    <row r="9777" s="8" customFormat="1"/>
    <row r="9778" s="8" customFormat="1"/>
    <row r="9779" s="8" customFormat="1"/>
    <row r="9780" s="8" customFormat="1"/>
    <row r="9781" s="8" customFormat="1"/>
    <row r="9782" s="8" customFormat="1"/>
    <row r="9783" s="8" customFormat="1"/>
    <row r="9784" s="8" customFormat="1"/>
    <row r="9785" s="8" customFormat="1"/>
    <row r="9786" s="8" customFormat="1"/>
    <row r="9787" s="8" customFormat="1"/>
    <row r="9788" s="8" customFormat="1"/>
    <row r="9789" s="8" customFormat="1"/>
    <row r="9790" s="8" customFormat="1"/>
    <row r="9791" s="8" customFormat="1"/>
    <row r="9792" s="8" customFormat="1"/>
    <row r="9793" s="8" customFormat="1"/>
    <row r="9794" s="8" customFormat="1"/>
    <row r="9795" s="8" customFormat="1"/>
    <row r="9796" s="8" customFormat="1"/>
    <row r="9797" s="8" customFormat="1"/>
    <row r="9798" s="8" customFormat="1"/>
    <row r="9799" s="8" customFormat="1"/>
    <row r="9800" s="8" customFormat="1"/>
    <row r="9801" s="8" customFormat="1"/>
    <row r="9802" s="8" customFormat="1"/>
    <row r="9803" s="8" customFormat="1"/>
    <row r="9804" s="8" customFormat="1"/>
    <row r="9805" s="8" customFormat="1"/>
    <row r="9806" s="8" customFormat="1"/>
    <row r="9807" s="8" customFormat="1"/>
    <row r="9808" s="8" customFormat="1"/>
    <row r="9809" s="8" customFormat="1"/>
    <row r="9810" s="8" customFormat="1"/>
    <row r="9811" s="8" customFormat="1"/>
    <row r="9812" s="8" customFormat="1"/>
    <row r="9813" s="8" customFormat="1"/>
    <row r="9814" s="8" customFormat="1"/>
    <row r="9815" s="8" customFormat="1"/>
    <row r="9816" s="8" customFormat="1"/>
    <row r="9817" s="8" customFormat="1"/>
    <row r="9818" s="8" customFormat="1"/>
    <row r="9819" s="8" customFormat="1"/>
    <row r="9820" s="8" customFormat="1"/>
    <row r="9821" s="8" customFormat="1"/>
    <row r="9822" s="8" customFormat="1"/>
    <row r="9823" s="8" customFormat="1"/>
    <row r="9824" s="8" customFormat="1"/>
    <row r="9825" s="8" customFormat="1"/>
    <row r="9826" s="8" customFormat="1"/>
    <row r="9827" s="8" customFormat="1"/>
    <row r="9828" s="8" customFormat="1"/>
    <row r="9829" s="8" customFormat="1"/>
    <row r="9830" s="8" customFormat="1"/>
    <row r="9831" s="8" customFormat="1"/>
    <row r="9832" s="8" customFormat="1"/>
    <row r="9833" s="8" customFormat="1"/>
    <row r="9834" s="8" customFormat="1"/>
    <row r="9835" s="8" customFormat="1"/>
    <row r="9836" s="8" customFormat="1"/>
    <row r="9837" s="8" customFormat="1"/>
    <row r="9838" s="8" customFormat="1"/>
    <row r="9839" s="8" customFormat="1"/>
    <row r="9840" s="8" customFormat="1"/>
    <row r="9841" s="8" customFormat="1"/>
    <row r="9842" s="8" customFormat="1"/>
    <row r="9843" s="8" customFormat="1"/>
    <row r="9844" s="8" customFormat="1"/>
    <row r="9845" s="8" customFormat="1"/>
    <row r="9846" s="8" customFormat="1"/>
    <row r="9847" s="8" customFormat="1"/>
    <row r="9848" s="8" customFormat="1"/>
    <row r="9849" s="8" customFormat="1"/>
    <row r="9850" s="8" customFormat="1"/>
    <row r="9851" s="8" customFormat="1"/>
    <row r="9852" s="8" customFormat="1"/>
    <row r="9853" s="8" customFormat="1"/>
    <row r="9854" s="8" customFormat="1"/>
    <row r="9855" s="8" customFormat="1"/>
    <row r="9856" s="8" customFormat="1"/>
    <row r="9857" s="8" customFormat="1"/>
    <row r="9858" s="8" customFormat="1"/>
    <row r="9859" s="8" customFormat="1"/>
    <row r="9860" s="8" customFormat="1"/>
    <row r="9861" s="8" customFormat="1"/>
    <row r="9862" s="8" customFormat="1"/>
    <row r="9863" s="8" customFormat="1"/>
    <row r="9864" s="8" customFormat="1"/>
    <row r="9865" s="8" customFormat="1"/>
    <row r="9866" s="8" customFormat="1"/>
    <row r="9867" s="8" customFormat="1"/>
    <row r="9868" s="8" customFormat="1"/>
    <row r="9869" s="8" customFormat="1"/>
    <row r="9870" s="8" customFormat="1"/>
    <row r="9871" s="8" customFormat="1"/>
    <row r="9872" s="8" customFormat="1"/>
    <row r="9873" s="8" customFormat="1"/>
    <row r="9874" s="8" customFormat="1"/>
    <row r="9875" s="8" customFormat="1"/>
    <row r="9876" s="8" customFormat="1"/>
    <row r="9877" s="8" customFormat="1"/>
    <row r="9878" s="8" customFormat="1"/>
    <row r="9879" s="8" customFormat="1"/>
    <row r="9880" s="8" customFormat="1"/>
    <row r="9881" s="8" customFormat="1"/>
    <row r="9882" s="8" customFormat="1"/>
    <row r="9883" s="8" customFormat="1"/>
    <row r="9884" s="8" customFormat="1"/>
    <row r="9885" s="8" customFormat="1"/>
    <row r="9886" s="8" customFormat="1"/>
    <row r="9887" s="8" customFormat="1"/>
    <row r="9888" s="8" customFormat="1"/>
    <row r="9889" s="8" customFormat="1"/>
    <row r="9890" s="8" customFormat="1"/>
    <row r="9891" s="8" customFormat="1"/>
    <row r="9892" s="8" customFormat="1"/>
    <row r="9893" s="8" customFormat="1"/>
    <row r="9894" s="8" customFormat="1"/>
    <row r="9895" s="8" customFormat="1"/>
    <row r="9896" s="8" customFormat="1"/>
    <row r="9897" s="8" customFormat="1"/>
    <row r="9898" s="8" customFormat="1"/>
    <row r="9899" s="8" customFormat="1"/>
    <row r="9900" s="8" customFormat="1"/>
    <row r="9901" s="8" customFormat="1"/>
    <row r="9902" s="8" customFormat="1"/>
    <row r="9903" s="8" customFormat="1"/>
    <row r="9904" s="8" customFormat="1"/>
    <row r="9905" s="8" customFormat="1"/>
    <row r="9906" s="8" customFormat="1"/>
    <row r="9907" s="8" customFormat="1"/>
    <row r="9908" s="8" customFormat="1"/>
    <row r="9909" s="8" customFormat="1"/>
    <row r="9910" s="8" customFormat="1"/>
    <row r="9911" s="8" customFormat="1"/>
    <row r="9912" s="8" customFormat="1"/>
    <row r="9913" s="8" customFormat="1"/>
    <row r="9914" s="8" customFormat="1"/>
    <row r="9915" s="8" customFormat="1"/>
    <row r="9916" s="8" customFormat="1"/>
    <row r="9917" s="8" customFormat="1"/>
    <row r="9918" s="8" customFormat="1"/>
    <row r="9919" s="8" customFormat="1"/>
    <row r="9920" s="8" customFormat="1"/>
    <row r="9921" s="8" customFormat="1"/>
    <row r="9922" s="8" customFormat="1"/>
    <row r="9923" s="8" customFormat="1"/>
    <row r="9924" s="8" customFormat="1"/>
    <row r="9925" s="8" customFormat="1"/>
    <row r="9926" s="8" customFormat="1"/>
    <row r="9927" s="8" customFormat="1"/>
    <row r="9928" s="8" customFormat="1"/>
    <row r="9929" s="8" customFormat="1"/>
    <row r="9930" s="8" customFormat="1"/>
    <row r="9931" s="8" customFormat="1"/>
    <row r="9932" s="8" customFormat="1"/>
    <row r="9933" s="8" customFormat="1"/>
    <row r="9934" s="8" customFormat="1"/>
    <row r="9935" s="8" customFormat="1"/>
    <row r="9936" s="8" customFormat="1"/>
    <row r="9937" s="8" customFormat="1"/>
    <row r="9938" s="8" customFormat="1"/>
    <row r="9939" s="8" customFormat="1"/>
    <row r="9940" s="8" customFormat="1"/>
    <row r="9941" s="8" customFormat="1"/>
    <row r="9942" s="8" customFormat="1"/>
    <row r="9943" s="8" customFormat="1"/>
    <row r="9944" s="8" customFormat="1"/>
    <row r="9945" s="8" customFormat="1"/>
    <row r="9946" s="8" customFormat="1"/>
    <row r="9947" s="8" customFormat="1"/>
    <row r="9948" s="8" customFormat="1"/>
    <row r="9949" s="8" customFormat="1"/>
    <row r="9950" s="8" customFormat="1"/>
    <row r="9951" s="8" customFormat="1"/>
    <row r="9952" s="8" customFormat="1"/>
    <row r="9953" s="8" customFormat="1"/>
    <row r="9954" s="8" customFormat="1"/>
    <row r="9955" s="8" customFormat="1"/>
    <row r="9956" s="8" customFormat="1"/>
    <row r="9957" s="8" customFormat="1"/>
    <row r="9958" s="8" customFormat="1"/>
    <row r="9959" s="8" customFormat="1"/>
    <row r="9960" s="8" customFormat="1"/>
    <row r="9961" s="8" customFormat="1"/>
    <row r="9962" s="8" customFormat="1"/>
    <row r="9963" s="8" customFormat="1"/>
    <row r="9964" s="8" customFormat="1"/>
    <row r="9965" s="8" customFormat="1"/>
    <row r="9966" s="8" customFormat="1"/>
    <row r="9967" s="8" customFormat="1"/>
    <row r="9968" s="8" customFormat="1"/>
    <row r="9969" s="8" customFormat="1"/>
    <row r="9970" s="8" customFormat="1"/>
    <row r="9971" s="8" customFormat="1"/>
    <row r="9972" s="8" customFormat="1"/>
    <row r="9973" s="8" customFormat="1"/>
    <row r="9974" s="8" customFormat="1"/>
    <row r="9975" s="8" customFormat="1"/>
    <row r="9976" s="8" customFormat="1"/>
    <row r="9977" s="8" customFormat="1"/>
    <row r="9978" s="8" customFormat="1"/>
    <row r="9979" s="8" customFormat="1"/>
    <row r="9980" s="8" customFormat="1"/>
    <row r="9981" s="8" customFormat="1"/>
    <row r="9982" s="8" customFormat="1"/>
    <row r="9983" s="8" customFormat="1"/>
    <row r="9984" s="8" customFormat="1"/>
    <row r="9985" s="8" customFormat="1"/>
    <row r="9986" s="8" customFormat="1"/>
    <row r="9987" s="8" customFormat="1"/>
    <row r="9988" s="8" customFormat="1"/>
    <row r="9989" s="8" customFormat="1"/>
    <row r="9990" s="8" customFormat="1"/>
    <row r="9991" s="8" customFormat="1"/>
    <row r="9992" s="8" customFormat="1"/>
    <row r="9993" s="8" customFormat="1"/>
    <row r="9994" s="8" customFormat="1"/>
    <row r="9995" s="8" customFormat="1"/>
    <row r="9996" s="8" customFormat="1"/>
    <row r="9997" s="8" customFormat="1"/>
    <row r="9998" s="8" customFormat="1"/>
    <row r="9999" s="8" customFormat="1"/>
    <row r="10000" s="8" customFormat="1"/>
    <row r="10001" s="8" customFormat="1"/>
    <row r="10002" s="8" customFormat="1"/>
    <row r="10003" s="8" customFormat="1"/>
    <row r="10004" s="8" customFormat="1"/>
    <row r="10005" s="8" customFormat="1"/>
    <row r="10006" s="8" customFormat="1"/>
    <row r="10007" s="8" customFormat="1"/>
    <row r="10008" s="8" customFormat="1"/>
    <row r="10009" s="8" customFormat="1"/>
    <row r="10010" s="8" customFormat="1"/>
    <row r="10011" s="8" customFormat="1"/>
    <row r="10012" s="8" customFormat="1"/>
    <row r="10013" s="8" customFormat="1"/>
    <row r="10014" s="8" customFormat="1"/>
    <row r="10015" s="8" customFormat="1"/>
    <row r="10016" s="8" customFormat="1"/>
    <row r="10017" s="8" customFormat="1"/>
    <row r="10018" s="8" customFormat="1"/>
    <row r="10019" s="8" customFormat="1"/>
    <row r="10020" s="8" customFormat="1"/>
    <row r="10021" s="8" customFormat="1"/>
    <row r="10022" s="8" customFormat="1"/>
    <row r="10023" s="8" customFormat="1"/>
    <row r="10024" s="8" customFormat="1"/>
    <row r="10025" s="8" customFormat="1"/>
    <row r="10026" s="8" customFormat="1"/>
    <row r="10027" s="8" customFormat="1"/>
    <row r="10028" s="8" customFormat="1"/>
    <row r="10029" s="8" customFormat="1"/>
    <row r="10030" s="8" customFormat="1"/>
    <row r="10031" s="8" customFormat="1"/>
    <row r="10032" s="8" customFormat="1"/>
    <row r="10033" s="8" customFormat="1"/>
    <row r="10034" s="8" customFormat="1"/>
    <row r="10035" s="8" customFormat="1"/>
    <row r="10036" s="8" customFormat="1"/>
    <row r="10037" s="8" customFormat="1"/>
    <row r="10038" s="8" customFormat="1"/>
    <row r="10039" s="8" customFormat="1"/>
    <row r="10040" s="8" customFormat="1"/>
    <row r="10041" s="8" customFormat="1"/>
    <row r="10042" s="8" customFormat="1"/>
    <row r="10043" s="8" customFormat="1"/>
    <row r="10044" s="8" customFormat="1"/>
    <row r="10045" s="8" customFormat="1"/>
    <row r="10046" s="8" customFormat="1"/>
    <row r="10047" s="8" customFormat="1"/>
    <row r="10048" s="8" customFormat="1"/>
    <row r="10049" s="8" customFormat="1"/>
    <row r="10050" s="8" customFormat="1"/>
    <row r="10051" s="8" customFormat="1"/>
    <row r="10052" s="8" customFormat="1"/>
    <row r="10053" s="8" customFormat="1"/>
    <row r="10054" s="8" customFormat="1"/>
    <row r="10055" s="8" customFormat="1"/>
    <row r="10056" s="8" customFormat="1"/>
    <row r="10057" s="8" customFormat="1"/>
    <row r="10058" s="8" customFormat="1"/>
    <row r="10059" s="8" customFormat="1"/>
    <row r="10060" s="8" customFormat="1"/>
    <row r="10061" s="8" customFormat="1"/>
    <row r="10062" s="8" customFormat="1"/>
    <row r="10063" s="8" customFormat="1"/>
    <row r="10064" s="8" customFormat="1"/>
    <row r="10065" s="8" customFormat="1"/>
    <row r="10066" s="8" customFormat="1"/>
    <row r="10067" s="8" customFormat="1"/>
    <row r="10068" s="8" customFormat="1"/>
    <row r="10069" s="8" customFormat="1"/>
    <row r="10070" s="8" customFormat="1"/>
    <row r="10071" s="8" customFormat="1"/>
    <row r="10072" s="8" customFormat="1"/>
    <row r="10073" s="8" customFormat="1"/>
    <row r="10074" s="8" customFormat="1"/>
    <row r="10075" s="8" customFormat="1"/>
    <row r="10076" s="8" customFormat="1"/>
    <row r="10077" s="8" customFormat="1"/>
    <row r="10078" s="8" customFormat="1"/>
    <row r="10079" s="8" customFormat="1"/>
    <row r="10080" s="8" customFormat="1"/>
    <row r="10081" s="8" customFormat="1"/>
    <row r="10082" s="8" customFormat="1"/>
    <row r="10083" s="8" customFormat="1"/>
    <row r="10084" s="8" customFormat="1"/>
    <row r="10085" s="8" customFormat="1"/>
    <row r="10086" s="8" customFormat="1"/>
    <row r="10087" s="8" customFormat="1"/>
    <row r="10088" s="8" customFormat="1"/>
    <row r="10089" s="8" customFormat="1"/>
    <row r="10090" s="8" customFormat="1"/>
    <row r="10091" s="8" customFormat="1"/>
    <row r="10092" s="8" customFormat="1"/>
    <row r="10093" s="8" customFormat="1"/>
    <row r="10094" s="8" customFormat="1"/>
    <row r="10095" s="8" customFormat="1"/>
    <row r="10096" s="8" customFormat="1"/>
    <row r="10097" s="8" customFormat="1"/>
    <row r="10098" s="8" customFormat="1"/>
    <row r="10099" s="8" customFormat="1"/>
    <row r="10100" s="8" customFormat="1"/>
    <row r="10101" s="8" customFormat="1"/>
    <row r="10102" s="8" customFormat="1"/>
    <row r="10103" s="8" customFormat="1"/>
    <row r="10104" s="8" customFormat="1"/>
    <row r="10105" s="8" customFormat="1"/>
    <row r="10106" s="8" customFormat="1"/>
    <row r="10107" s="8" customFormat="1"/>
    <row r="10108" s="8" customFormat="1"/>
    <row r="10109" s="8" customFormat="1"/>
    <row r="10110" s="8" customFormat="1"/>
    <row r="10111" s="8" customFormat="1"/>
    <row r="10112" s="8" customFormat="1"/>
    <row r="10113" s="8" customFormat="1"/>
    <row r="10114" s="8" customFormat="1"/>
    <row r="10115" s="8" customFormat="1"/>
    <row r="10116" s="8" customFormat="1"/>
    <row r="10117" s="8" customFormat="1"/>
    <row r="10118" s="8" customFormat="1"/>
    <row r="10119" s="8" customFormat="1"/>
    <row r="10120" s="8" customFormat="1"/>
    <row r="10121" s="8" customFormat="1"/>
    <row r="10122" s="8" customFormat="1"/>
    <row r="10123" s="8" customFormat="1"/>
    <row r="10124" s="8" customFormat="1"/>
    <row r="10125" s="8" customFormat="1"/>
    <row r="10126" s="8" customFormat="1"/>
    <row r="10127" s="8" customFormat="1"/>
    <row r="10128" s="8" customFormat="1"/>
    <row r="10129" s="8" customFormat="1"/>
    <row r="10130" s="8" customFormat="1"/>
    <row r="10131" s="8" customFormat="1"/>
    <row r="10132" s="8" customFormat="1"/>
    <row r="10133" s="8" customFormat="1"/>
    <row r="10134" s="8" customFormat="1"/>
    <row r="10135" s="8" customFormat="1"/>
    <row r="10136" s="8" customFormat="1"/>
    <row r="10137" s="8" customFormat="1"/>
    <row r="10138" s="8" customFormat="1"/>
    <row r="10139" s="8" customFormat="1"/>
    <row r="10140" s="8" customFormat="1"/>
    <row r="10141" s="8" customFormat="1"/>
    <row r="10142" s="8" customFormat="1"/>
    <row r="10143" s="8" customFormat="1"/>
    <row r="10144" s="8" customFormat="1"/>
    <row r="10145" s="8" customFormat="1"/>
    <row r="10146" s="8" customFormat="1"/>
    <row r="10147" s="8" customFormat="1"/>
    <row r="10148" s="8" customFormat="1"/>
    <row r="10149" s="8" customFormat="1"/>
    <row r="10150" s="8" customFormat="1"/>
    <row r="10151" s="8" customFormat="1"/>
    <row r="10152" s="8" customFormat="1"/>
    <row r="10153" s="8" customFormat="1"/>
    <row r="10154" s="8" customFormat="1"/>
    <row r="10155" s="8" customFormat="1"/>
    <row r="10156" s="8" customFormat="1"/>
    <row r="10157" s="8" customFormat="1"/>
    <row r="10158" s="8" customFormat="1"/>
    <row r="10159" s="8" customFormat="1"/>
    <row r="10160" s="8" customFormat="1"/>
    <row r="10161" s="8" customFormat="1"/>
    <row r="10162" s="8" customFormat="1"/>
    <row r="10163" s="8" customFormat="1"/>
    <row r="10164" s="8" customFormat="1"/>
    <row r="10165" s="8" customFormat="1"/>
    <row r="10166" s="8" customFormat="1"/>
    <row r="10167" s="8" customFormat="1"/>
    <row r="10168" s="8" customFormat="1"/>
    <row r="10169" s="8" customFormat="1"/>
    <row r="10170" s="8" customFormat="1"/>
    <row r="10171" s="8" customFormat="1"/>
    <row r="10172" s="8" customFormat="1"/>
    <row r="10173" s="8" customFormat="1"/>
    <row r="10174" s="8" customFormat="1"/>
    <row r="10175" s="8" customFormat="1"/>
    <row r="10176" s="8" customFormat="1"/>
    <row r="10177" s="8" customFormat="1"/>
    <row r="10178" s="8" customFormat="1"/>
    <row r="10179" s="8" customFormat="1"/>
    <row r="10180" s="8" customFormat="1"/>
    <row r="10181" s="8" customFormat="1"/>
    <row r="10182" s="8" customFormat="1"/>
    <row r="10183" s="8" customFormat="1"/>
    <row r="10184" s="8" customFormat="1"/>
    <row r="10185" s="8" customFormat="1"/>
    <row r="10186" s="8" customFormat="1"/>
    <row r="10187" s="8" customFormat="1"/>
    <row r="10188" s="8" customFormat="1"/>
    <row r="10189" s="8" customFormat="1"/>
    <row r="10190" s="8" customFormat="1"/>
    <row r="10191" s="8" customFormat="1"/>
    <row r="10192" s="8" customFormat="1"/>
    <row r="10193" s="8" customFormat="1"/>
    <row r="10194" s="8" customFormat="1"/>
    <row r="10195" s="8" customFormat="1"/>
    <row r="10196" s="8" customFormat="1"/>
    <row r="10197" s="8" customFormat="1"/>
    <row r="10198" s="8" customFormat="1"/>
    <row r="10199" s="8" customFormat="1"/>
    <row r="10200" s="8" customFormat="1"/>
    <row r="10201" s="8" customFormat="1"/>
    <row r="10202" s="8" customFormat="1"/>
    <row r="10203" s="8" customFormat="1"/>
    <row r="10204" s="8" customFormat="1"/>
    <row r="10205" s="8" customFormat="1"/>
    <row r="10206" s="8" customFormat="1"/>
    <row r="10207" s="8" customFormat="1"/>
    <row r="10208" s="8" customFormat="1"/>
    <row r="10209" s="8" customFormat="1"/>
    <row r="10210" s="8" customFormat="1"/>
    <row r="10211" s="8" customFormat="1"/>
    <row r="10212" s="8" customFormat="1"/>
    <row r="10213" s="8" customFormat="1"/>
    <row r="10214" s="8" customFormat="1"/>
    <row r="10215" s="8" customFormat="1"/>
    <row r="10216" s="8" customFormat="1"/>
    <row r="10217" s="8" customFormat="1"/>
    <row r="10218" s="8" customFormat="1"/>
    <row r="10219" s="8" customFormat="1"/>
    <row r="10220" s="8" customFormat="1"/>
    <row r="10221" s="8" customFormat="1"/>
    <row r="10222" s="8" customFormat="1"/>
    <row r="10223" s="8" customFormat="1"/>
    <row r="10224" s="8" customFormat="1"/>
    <row r="10225" s="8" customFormat="1"/>
    <row r="10226" s="8" customFormat="1"/>
    <row r="10227" s="8" customFormat="1"/>
    <row r="10228" s="8" customFormat="1"/>
    <row r="10229" s="8" customFormat="1"/>
    <row r="10230" s="8" customFormat="1"/>
    <row r="10231" s="8" customFormat="1"/>
    <row r="10232" s="8" customFormat="1"/>
    <row r="10233" s="8" customFormat="1"/>
    <row r="10234" s="8" customFormat="1"/>
    <row r="10235" s="8" customFormat="1"/>
    <row r="10236" s="8" customFormat="1"/>
    <row r="10237" s="8" customFormat="1"/>
    <row r="10238" s="8" customFormat="1"/>
    <row r="10239" s="8" customFormat="1"/>
    <row r="10240" s="8" customFormat="1"/>
    <row r="10241" s="8" customFormat="1"/>
    <row r="10242" s="8" customFormat="1"/>
    <row r="10243" s="8" customFormat="1"/>
    <row r="10244" s="8" customFormat="1"/>
    <row r="10245" s="8" customFormat="1"/>
    <row r="10246" s="8" customFormat="1"/>
    <row r="10247" s="8" customFormat="1"/>
    <row r="10248" s="8" customFormat="1"/>
    <row r="10249" s="8" customFormat="1"/>
    <row r="10250" s="8" customFormat="1"/>
    <row r="10251" s="8" customFormat="1"/>
    <row r="10252" s="8" customFormat="1"/>
    <row r="10253" s="8" customFormat="1"/>
    <row r="10254" s="8" customFormat="1"/>
    <row r="10255" s="8" customFormat="1"/>
    <row r="10256" s="8" customFormat="1"/>
    <row r="10257" s="8" customFormat="1"/>
    <row r="10258" s="8" customFormat="1"/>
    <row r="10259" s="8" customFormat="1"/>
    <row r="10260" s="8" customFormat="1"/>
    <row r="10261" s="8" customFormat="1"/>
    <row r="10262" s="8" customFormat="1"/>
    <row r="10263" s="8" customFormat="1"/>
    <row r="10264" s="8" customFormat="1"/>
    <row r="10265" s="8" customFormat="1"/>
    <row r="10266" s="8" customFormat="1"/>
    <row r="10267" s="8" customFormat="1"/>
    <row r="10268" s="8" customFormat="1"/>
    <row r="10269" s="8" customFormat="1"/>
    <row r="10270" s="8" customFormat="1"/>
    <row r="10271" s="8" customFormat="1"/>
    <row r="10272" s="8" customFormat="1"/>
    <row r="10273" s="8" customFormat="1"/>
    <row r="10274" s="8" customFormat="1"/>
    <row r="10275" s="8" customFormat="1"/>
    <row r="10276" s="8" customFormat="1"/>
    <row r="10277" s="8" customFormat="1"/>
    <row r="10278" s="8" customFormat="1"/>
    <row r="10279" s="8" customFormat="1"/>
    <row r="10280" s="8" customFormat="1"/>
    <row r="10281" s="8" customFormat="1"/>
    <row r="10282" s="8" customFormat="1"/>
    <row r="10283" s="8" customFormat="1"/>
    <row r="10284" s="8" customFormat="1"/>
    <row r="10285" s="8" customFormat="1"/>
    <row r="10286" s="8" customFormat="1"/>
    <row r="10287" s="8" customFormat="1"/>
    <row r="10288" s="8" customFormat="1"/>
    <row r="10289" s="8" customFormat="1"/>
    <row r="10290" s="8" customFormat="1"/>
    <row r="10291" s="8" customFormat="1"/>
    <row r="10292" s="8" customFormat="1"/>
    <row r="10293" s="8" customFormat="1"/>
    <row r="10294" s="8" customFormat="1"/>
    <row r="10295" s="8" customFormat="1"/>
    <row r="10296" s="8" customFormat="1"/>
    <row r="10297" s="8" customFormat="1"/>
    <row r="10298" s="8" customFormat="1"/>
    <row r="10299" s="8" customFormat="1"/>
    <row r="10300" s="8" customFormat="1"/>
    <row r="10301" s="8" customFormat="1"/>
    <row r="10302" s="8" customFormat="1"/>
    <row r="10303" s="8" customFormat="1"/>
    <row r="10304" s="8" customFormat="1"/>
    <row r="10305" s="8" customFormat="1"/>
    <row r="10306" s="8" customFormat="1"/>
    <row r="10307" s="8" customFormat="1"/>
    <row r="10308" s="8" customFormat="1"/>
    <row r="10309" s="8" customFormat="1"/>
    <row r="10310" s="8" customFormat="1"/>
    <row r="10311" s="8" customFormat="1"/>
    <row r="10312" s="8" customFormat="1"/>
    <row r="10313" s="8" customFormat="1"/>
    <row r="10314" s="8" customFormat="1"/>
    <row r="10315" s="8" customFormat="1"/>
    <row r="10316" s="8" customFormat="1"/>
    <row r="10317" s="8" customFormat="1"/>
    <row r="10318" s="8" customFormat="1"/>
    <row r="10319" s="8" customFormat="1"/>
    <row r="10320" s="8" customFormat="1"/>
    <row r="10321" s="8" customFormat="1"/>
    <row r="10322" s="8" customFormat="1"/>
    <row r="10323" s="8" customFormat="1"/>
    <row r="10324" s="8" customFormat="1"/>
    <row r="10325" s="8" customFormat="1"/>
    <row r="10326" s="8" customFormat="1"/>
    <row r="10327" s="8" customFormat="1"/>
    <row r="10328" s="8" customFormat="1"/>
    <row r="10329" s="8" customFormat="1"/>
    <row r="10330" s="8" customFormat="1"/>
    <row r="10331" s="8" customFormat="1"/>
    <row r="10332" s="8" customFormat="1"/>
    <row r="10333" s="8" customFormat="1"/>
    <row r="10334" s="8" customFormat="1"/>
    <row r="10335" s="8" customFormat="1"/>
    <row r="10336" s="8" customFormat="1"/>
    <row r="10337" s="8" customFormat="1"/>
    <row r="10338" s="8" customFormat="1"/>
    <row r="10339" s="8" customFormat="1"/>
    <row r="10340" s="8" customFormat="1"/>
    <row r="10341" s="8" customFormat="1"/>
    <row r="10342" s="8" customFormat="1"/>
    <row r="10343" s="8" customFormat="1"/>
    <row r="10344" s="8" customFormat="1"/>
    <row r="10345" s="8" customFormat="1"/>
    <row r="10346" s="8" customFormat="1"/>
    <row r="10347" s="8" customFormat="1"/>
    <row r="10348" s="8" customFormat="1"/>
    <row r="10349" s="8" customFormat="1"/>
    <row r="10350" s="8" customFormat="1"/>
    <row r="10351" s="8" customFormat="1"/>
    <row r="10352" s="8" customFormat="1"/>
    <row r="10353" s="8" customFormat="1"/>
    <row r="10354" s="8" customFormat="1"/>
    <row r="10355" s="8" customFormat="1"/>
    <row r="10356" s="8" customFormat="1"/>
    <row r="10357" s="8" customFormat="1"/>
    <row r="10358" s="8" customFormat="1"/>
    <row r="10359" s="8" customFormat="1"/>
    <row r="10360" s="8" customFormat="1"/>
    <row r="10361" s="8" customFormat="1"/>
    <row r="10362" s="8" customFormat="1"/>
    <row r="10363" s="8" customFormat="1"/>
    <row r="10364" s="8" customFormat="1"/>
    <row r="10365" s="8" customFormat="1"/>
    <row r="10366" s="8" customFormat="1"/>
    <row r="10367" s="8" customFormat="1"/>
    <row r="10368" s="8" customFormat="1"/>
    <row r="10369" s="8" customFormat="1"/>
    <row r="10370" s="8" customFormat="1"/>
    <row r="10371" s="8" customFormat="1"/>
    <row r="10372" s="8" customFormat="1"/>
    <row r="10373" s="8" customFormat="1"/>
    <row r="10374" s="8" customFormat="1"/>
    <row r="10375" s="8" customFormat="1"/>
    <row r="10376" s="8" customFormat="1"/>
    <row r="10377" s="8" customFormat="1"/>
    <row r="10378" s="8" customFormat="1"/>
    <row r="10379" s="8" customFormat="1"/>
    <row r="10380" s="8" customFormat="1"/>
    <row r="10381" s="8" customFormat="1"/>
    <row r="10382" s="8" customFormat="1"/>
    <row r="10383" s="8" customFormat="1"/>
    <row r="10384" s="8" customFormat="1"/>
    <row r="10385" s="8" customFormat="1"/>
    <row r="10386" s="8" customFormat="1"/>
    <row r="10387" s="8" customFormat="1"/>
    <row r="10388" s="8" customFormat="1"/>
    <row r="10389" s="8" customFormat="1"/>
    <row r="10390" s="8" customFormat="1"/>
    <row r="10391" s="8" customFormat="1"/>
    <row r="10392" s="8" customFormat="1"/>
    <row r="10393" s="8" customFormat="1"/>
    <row r="10394" s="8" customFormat="1"/>
    <row r="10395" s="8" customFormat="1"/>
    <row r="10396" s="8" customFormat="1"/>
    <row r="10397" s="8" customFormat="1"/>
    <row r="10398" s="8" customFormat="1"/>
    <row r="10399" s="8" customFormat="1"/>
    <row r="10400" s="8" customFormat="1"/>
    <row r="10401" s="8" customFormat="1"/>
    <row r="10402" s="8" customFormat="1"/>
    <row r="10403" s="8" customFormat="1"/>
    <row r="10404" s="8" customFormat="1"/>
    <row r="10405" s="8" customFormat="1"/>
    <row r="10406" s="8" customFormat="1"/>
    <row r="10407" s="8" customFormat="1"/>
    <row r="10408" s="8" customFormat="1"/>
    <row r="10409" s="8" customFormat="1"/>
    <row r="10410" s="8" customFormat="1"/>
    <row r="10411" s="8" customFormat="1"/>
    <row r="10412" s="8" customFormat="1"/>
    <row r="10413" s="8" customFormat="1"/>
    <row r="10414" s="8" customFormat="1"/>
    <row r="10415" s="8" customFormat="1"/>
    <row r="10416" s="8" customFormat="1"/>
    <row r="10417" s="8" customFormat="1"/>
    <row r="10418" s="8" customFormat="1"/>
    <row r="10419" s="8" customFormat="1"/>
    <row r="10420" s="8" customFormat="1"/>
    <row r="10421" s="8" customFormat="1"/>
    <row r="10422" s="8" customFormat="1"/>
    <row r="10423" s="8" customFormat="1"/>
    <row r="10424" s="8" customFormat="1"/>
    <row r="10425" s="8" customFormat="1"/>
    <row r="10426" s="8" customFormat="1"/>
    <row r="10427" s="8" customFormat="1"/>
    <row r="10428" s="8" customFormat="1"/>
    <row r="10429" s="8" customFormat="1"/>
    <row r="10430" s="8" customFormat="1"/>
    <row r="10431" s="8" customFormat="1"/>
    <row r="10432" s="8" customFormat="1"/>
    <row r="10433" s="8" customFormat="1"/>
    <row r="10434" s="8" customFormat="1"/>
    <row r="10435" s="8" customFormat="1"/>
    <row r="10436" s="8" customFormat="1"/>
    <row r="10437" s="8" customFormat="1"/>
    <row r="10438" s="8" customFormat="1"/>
    <row r="10439" s="8" customFormat="1"/>
    <row r="10440" s="8" customFormat="1"/>
    <row r="10441" s="8" customFormat="1"/>
    <row r="10442" s="8" customFormat="1"/>
    <row r="10443" s="8" customFormat="1"/>
    <row r="10444" s="8" customFormat="1"/>
    <row r="10445" s="8" customFormat="1"/>
    <row r="10446" s="8" customFormat="1"/>
    <row r="10447" s="8" customFormat="1"/>
    <row r="10448" s="8" customFormat="1"/>
    <row r="10449" s="8" customFormat="1"/>
    <row r="10450" s="8" customFormat="1"/>
    <row r="10451" s="8" customFormat="1"/>
    <row r="10452" s="8" customFormat="1"/>
    <row r="10453" s="8" customFormat="1"/>
    <row r="10454" s="8" customFormat="1"/>
    <row r="10455" s="8" customFormat="1"/>
    <row r="10456" s="8" customFormat="1"/>
    <row r="10457" s="8" customFormat="1"/>
    <row r="10458" s="8" customFormat="1"/>
    <row r="10459" s="8" customFormat="1"/>
    <row r="10460" s="8" customFormat="1"/>
    <row r="10461" s="8" customFormat="1"/>
    <row r="10462" s="8" customFormat="1"/>
    <row r="10463" s="8" customFormat="1"/>
    <row r="10464" s="8" customFormat="1"/>
    <row r="10465" s="8" customFormat="1"/>
    <row r="10466" s="8" customFormat="1"/>
    <row r="10467" s="8" customFormat="1"/>
    <row r="10468" s="8" customFormat="1"/>
    <row r="10469" s="8" customFormat="1"/>
    <row r="10470" s="8" customFormat="1"/>
    <row r="10471" s="8" customFormat="1"/>
    <row r="10472" s="8" customFormat="1"/>
    <row r="10473" s="8" customFormat="1"/>
    <row r="10474" s="8" customFormat="1"/>
    <row r="10475" s="8" customFormat="1"/>
    <row r="10476" s="8" customFormat="1"/>
    <row r="10477" s="8" customFormat="1"/>
    <row r="10478" s="8" customFormat="1"/>
    <row r="10479" s="8" customFormat="1"/>
    <row r="10480" s="8" customFormat="1"/>
    <row r="10481" s="8" customFormat="1"/>
    <row r="10482" s="8" customFormat="1"/>
    <row r="10483" s="8" customFormat="1"/>
    <row r="10484" s="8" customFormat="1"/>
    <row r="10485" s="8" customFormat="1"/>
    <row r="10486" s="8" customFormat="1"/>
    <row r="10487" s="8" customFormat="1"/>
    <row r="10488" s="8" customFormat="1"/>
    <row r="10489" s="8" customFormat="1"/>
    <row r="10490" s="8" customFormat="1"/>
    <row r="10491" s="8" customFormat="1"/>
    <row r="10492" s="8" customFormat="1"/>
    <row r="10493" s="8" customFormat="1"/>
    <row r="10494" s="8" customFormat="1"/>
    <row r="10495" s="8" customFormat="1"/>
    <row r="10496" s="8" customFormat="1"/>
    <row r="10497" s="8" customFormat="1"/>
    <row r="10498" s="8" customFormat="1"/>
    <row r="10499" s="8" customFormat="1"/>
    <row r="10500" s="8" customFormat="1"/>
    <row r="10501" s="8" customFormat="1"/>
    <row r="10502" s="8" customFormat="1"/>
    <row r="10503" s="8" customFormat="1"/>
    <row r="10504" s="8" customFormat="1"/>
    <row r="10505" s="8" customFormat="1"/>
    <row r="10506" s="8" customFormat="1"/>
    <row r="10507" s="8" customFormat="1"/>
    <row r="10508" s="8" customFormat="1"/>
    <row r="10509" s="8" customFormat="1"/>
    <row r="10510" s="8" customFormat="1"/>
    <row r="10511" s="8" customFormat="1"/>
    <row r="10512" s="8" customFormat="1"/>
    <row r="10513" s="8" customFormat="1"/>
    <row r="10514" s="8" customFormat="1"/>
    <row r="10515" s="8" customFormat="1"/>
    <row r="10516" s="8" customFormat="1"/>
    <row r="10517" s="8" customFormat="1"/>
    <row r="10518" s="8" customFormat="1"/>
    <row r="10519" s="8" customFormat="1"/>
    <row r="10520" s="8" customFormat="1"/>
    <row r="10521" s="8" customFormat="1"/>
    <row r="10522" s="8" customFormat="1"/>
    <row r="10523" s="8" customFormat="1"/>
    <row r="10524" s="8" customFormat="1"/>
    <row r="10525" s="8" customFormat="1"/>
    <row r="10526" s="8" customFormat="1"/>
    <row r="10527" s="8" customFormat="1"/>
    <row r="10528" s="8" customFormat="1"/>
    <row r="10529" s="8" customFormat="1"/>
    <row r="10530" s="8" customFormat="1"/>
    <row r="10531" s="8" customFormat="1"/>
    <row r="10532" s="8" customFormat="1"/>
    <row r="10533" s="8" customFormat="1"/>
    <row r="10534" s="8" customFormat="1"/>
    <row r="10535" s="8" customFormat="1"/>
    <row r="10536" s="8" customFormat="1"/>
    <row r="10537" s="8" customFormat="1"/>
    <row r="10538" s="8" customFormat="1"/>
    <row r="10539" s="8" customFormat="1"/>
    <row r="10540" s="8" customFormat="1"/>
    <row r="10541" s="8" customFormat="1"/>
    <row r="10542" s="8" customFormat="1"/>
    <row r="10543" s="8" customFormat="1"/>
    <row r="10544" s="8" customFormat="1"/>
    <row r="10545" s="8" customFormat="1"/>
    <row r="10546" s="8" customFormat="1"/>
    <row r="10547" s="8" customFormat="1"/>
    <row r="10548" s="8" customFormat="1"/>
    <row r="10549" s="8" customFormat="1"/>
    <row r="10550" s="8" customFormat="1"/>
    <row r="10551" s="8" customFormat="1"/>
    <row r="10552" s="8" customFormat="1"/>
    <row r="10553" s="8" customFormat="1"/>
    <row r="10554" s="8" customFormat="1"/>
    <row r="10555" s="8" customFormat="1"/>
    <row r="10556" s="8" customFormat="1"/>
    <row r="10557" s="8" customFormat="1"/>
    <row r="10558" s="8" customFormat="1"/>
    <row r="10559" s="8" customFormat="1"/>
    <row r="10560" s="8" customFormat="1"/>
    <row r="10561" s="8" customFormat="1"/>
    <row r="10562" s="8" customFormat="1"/>
    <row r="10563" s="8" customFormat="1"/>
    <row r="10564" s="8" customFormat="1"/>
    <row r="10565" s="8" customFormat="1"/>
    <row r="10566" s="8" customFormat="1"/>
    <row r="10567" s="8" customFormat="1"/>
    <row r="10568" s="8" customFormat="1"/>
    <row r="10569" s="8" customFormat="1"/>
    <row r="10570" s="8" customFormat="1"/>
    <row r="10571" s="8" customFormat="1"/>
    <row r="10572" s="8" customFormat="1"/>
    <row r="10573" s="8" customFormat="1"/>
    <row r="10574" s="8" customFormat="1"/>
    <row r="10575" s="8" customFormat="1"/>
    <row r="10576" s="8" customFormat="1"/>
    <row r="10577" s="8" customFormat="1"/>
    <row r="10578" s="8" customFormat="1"/>
    <row r="10579" s="8" customFormat="1"/>
    <row r="10580" s="8" customFormat="1"/>
    <row r="10581" s="8" customFormat="1"/>
    <row r="10582" s="8" customFormat="1"/>
    <row r="10583" s="8" customFormat="1"/>
    <row r="10584" s="8" customFormat="1"/>
    <row r="10585" s="8" customFormat="1"/>
    <row r="10586" s="8" customFormat="1"/>
    <row r="10587" s="8" customFormat="1"/>
    <row r="10588" s="8" customFormat="1"/>
    <row r="10589" s="8" customFormat="1"/>
    <row r="10590" s="8" customFormat="1"/>
    <row r="10591" s="8" customFormat="1"/>
    <row r="10592" s="8" customFormat="1"/>
    <row r="10593" s="8" customFormat="1"/>
    <row r="10594" s="8" customFormat="1"/>
    <row r="10595" s="8" customFormat="1"/>
    <row r="10596" s="8" customFormat="1"/>
    <row r="10597" s="8" customFormat="1"/>
    <row r="10598" s="8" customFormat="1"/>
    <row r="10599" s="8" customFormat="1"/>
    <row r="10600" s="8" customFormat="1"/>
    <row r="10601" s="8" customFormat="1"/>
    <row r="10602" s="8" customFormat="1"/>
    <row r="10603" s="8" customFormat="1"/>
    <row r="10604" s="8" customFormat="1"/>
    <row r="10605" s="8" customFormat="1"/>
    <row r="10606" s="8" customFormat="1"/>
    <row r="10607" s="8" customFormat="1"/>
    <row r="10608" s="8" customFormat="1"/>
    <row r="10609" s="8" customFormat="1"/>
    <row r="10610" s="8" customFormat="1"/>
    <row r="10611" s="8" customFormat="1"/>
    <row r="10612" s="8" customFormat="1"/>
    <row r="10613" s="8" customFormat="1"/>
    <row r="10614" s="8" customFormat="1"/>
    <row r="10615" s="8" customFormat="1"/>
    <row r="10616" s="8" customFormat="1"/>
    <row r="10617" s="8" customFormat="1"/>
    <row r="10618" s="8" customFormat="1"/>
    <row r="10619" s="8" customFormat="1"/>
    <row r="10620" s="8" customFormat="1"/>
    <row r="10621" s="8" customFormat="1"/>
    <row r="10622" s="8" customFormat="1"/>
    <row r="10623" s="8" customFormat="1"/>
    <row r="10624" s="8" customFormat="1"/>
    <row r="10625" s="8" customFormat="1"/>
    <row r="10626" s="8" customFormat="1"/>
    <row r="10627" s="8" customFormat="1"/>
    <row r="10628" s="8" customFormat="1"/>
    <row r="10629" s="8" customFormat="1"/>
    <row r="10630" s="8" customFormat="1"/>
    <row r="10631" s="8" customFormat="1"/>
    <row r="10632" s="8" customFormat="1"/>
    <row r="10633" s="8" customFormat="1"/>
    <row r="10634" s="8" customFormat="1"/>
    <row r="10635" s="8" customFormat="1"/>
    <row r="10636" s="8" customFormat="1"/>
    <row r="10637" s="8" customFormat="1"/>
    <row r="10638" s="8" customFormat="1"/>
    <row r="10639" s="8" customFormat="1"/>
    <row r="10640" s="8" customFormat="1"/>
    <row r="10641" s="8" customFormat="1"/>
    <row r="10642" s="8" customFormat="1"/>
    <row r="10643" s="8" customFormat="1"/>
    <row r="10644" s="8" customFormat="1"/>
    <row r="10645" s="8" customFormat="1"/>
    <row r="10646" s="8" customFormat="1"/>
    <row r="10647" s="8" customFormat="1"/>
    <row r="10648" s="8" customFormat="1"/>
    <row r="10649" s="8" customFormat="1"/>
    <row r="10650" s="8" customFormat="1"/>
    <row r="10651" s="8" customFormat="1"/>
    <row r="10652" s="8" customFormat="1"/>
    <row r="10653" s="8" customFormat="1"/>
    <row r="10654" s="8" customFormat="1"/>
    <row r="10655" s="8" customFormat="1"/>
    <row r="10656" s="8" customFormat="1"/>
    <row r="10657" s="8" customFormat="1"/>
    <row r="10658" s="8" customFormat="1"/>
    <row r="10659" s="8" customFormat="1"/>
    <row r="10660" s="8" customFormat="1"/>
    <row r="10661" s="8" customFormat="1"/>
    <row r="10662" s="8" customFormat="1"/>
    <row r="10663" s="8" customFormat="1"/>
    <row r="10664" s="8" customFormat="1"/>
    <row r="10665" s="8" customFormat="1"/>
    <row r="10666" s="8" customFormat="1"/>
    <row r="10667" s="8" customFormat="1"/>
    <row r="10668" s="8" customFormat="1"/>
    <row r="10669" s="8" customFormat="1"/>
    <row r="10670" s="8" customFormat="1"/>
    <row r="10671" s="8" customFormat="1"/>
    <row r="10672" s="8" customFormat="1"/>
    <row r="10673" s="8" customFormat="1"/>
    <row r="10674" s="8" customFormat="1"/>
    <row r="10675" s="8" customFormat="1"/>
    <row r="10676" s="8" customFormat="1"/>
    <row r="10677" s="8" customFormat="1"/>
    <row r="10678" s="8" customFormat="1"/>
    <row r="10679" s="8" customFormat="1"/>
    <row r="10680" s="8" customFormat="1"/>
    <row r="10681" s="8" customFormat="1"/>
    <row r="10682" s="8" customFormat="1"/>
    <row r="10683" s="8" customFormat="1"/>
    <row r="10684" s="8" customFormat="1"/>
    <row r="10685" s="8" customFormat="1"/>
    <row r="10686" s="8" customFormat="1"/>
    <row r="10687" s="8" customFormat="1"/>
    <row r="10688" s="8" customFormat="1"/>
    <row r="10689" s="8" customFormat="1"/>
    <row r="10690" s="8" customFormat="1"/>
    <row r="10691" s="8" customFormat="1"/>
    <row r="10692" s="8" customFormat="1"/>
    <row r="10693" s="8" customFormat="1"/>
    <row r="10694" s="8" customFormat="1"/>
    <row r="10695" s="8" customFormat="1"/>
    <row r="10696" s="8" customFormat="1"/>
    <row r="10697" s="8" customFormat="1"/>
    <row r="10698" s="8" customFormat="1"/>
    <row r="10699" s="8" customFormat="1"/>
    <row r="10700" s="8" customFormat="1"/>
    <row r="10701" s="8" customFormat="1"/>
    <row r="10702" s="8" customFormat="1"/>
    <row r="10703" s="8" customFormat="1"/>
    <row r="10704" s="8" customFormat="1"/>
    <row r="10705" s="8" customFormat="1"/>
    <row r="10706" s="8" customFormat="1"/>
    <row r="10707" s="8" customFormat="1"/>
    <row r="10708" s="8" customFormat="1"/>
    <row r="10709" s="8" customFormat="1"/>
    <row r="10710" s="8" customFormat="1"/>
    <row r="10711" s="8" customFormat="1"/>
    <row r="10712" s="8" customFormat="1"/>
    <row r="10713" s="8" customFormat="1"/>
    <row r="10714" s="8" customFormat="1"/>
    <row r="10715" s="8" customFormat="1"/>
    <row r="10716" s="8" customFormat="1"/>
    <row r="10717" s="8" customFormat="1"/>
    <row r="10718" s="8" customFormat="1"/>
    <row r="10719" s="8" customFormat="1"/>
    <row r="10720" s="8" customFormat="1"/>
    <row r="10721" s="8" customFormat="1"/>
    <row r="10722" s="8" customFormat="1"/>
    <row r="10723" s="8" customFormat="1"/>
    <row r="10724" s="8" customFormat="1"/>
    <row r="10725" s="8" customFormat="1"/>
    <row r="10726" s="8" customFormat="1"/>
    <row r="10727" s="8" customFormat="1"/>
    <row r="10728" s="8" customFormat="1"/>
    <row r="10729" s="8" customFormat="1"/>
    <row r="10730" s="8" customFormat="1"/>
    <row r="10731" s="8" customFormat="1"/>
    <row r="10732" s="8" customFormat="1"/>
    <row r="10733" s="8" customFormat="1"/>
    <row r="10734" s="8" customFormat="1"/>
    <row r="10735" s="8" customFormat="1"/>
    <row r="10736" s="8" customFormat="1"/>
    <row r="10737" s="8" customFormat="1"/>
    <row r="10738" s="8" customFormat="1"/>
    <row r="10739" s="8" customFormat="1"/>
    <row r="10740" s="8" customFormat="1"/>
    <row r="10741" s="8" customFormat="1"/>
    <row r="10742" s="8" customFormat="1"/>
    <row r="10743" s="8" customFormat="1"/>
    <row r="10744" s="8" customFormat="1"/>
    <row r="10745" s="8" customFormat="1"/>
    <row r="10746" s="8" customFormat="1"/>
    <row r="10747" s="8" customFormat="1"/>
    <row r="10748" s="8" customFormat="1"/>
    <row r="10749" s="8" customFormat="1"/>
    <row r="10750" s="8" customFormat="1"/>
    <row r="10751" s="8" customFormat="1"/>
    <row r="10752" s="8" customFormat="1"/>
    <row r="10753" s="8" customFormat="1"/>
    <row r="10754" s="8" customFormat="1"/>
    <row r="10755" s="8" customFormat="1"/>
    <row r="10756" s="8" customFormat="1"/>
    <row r="10757" s="8" customFormat="1"/>
    <row r="10758" s="8" customFormat="1"/>
    <row r="10759" s="8" customFormat="1"/>
    <row r="10760" s="8" customFormat="1"/>
    <row r="10761" s="8" customFormat="1"/>
    <row r="10762" s="8" customFormat="1"/>
    <row r="10763" s="8" customFormat="1"/>
    <row r="10764" s="8" customFormat="1"/>
    <row r="10765" s="8" customFormat="1"/>
    <row r="10766" s="8" customFormat="1"/>
    <row r="10767" s="8" customFormat="1"/>
    <row r="10768" s="8" customFormat="1"/>
    <row r="10769" s="8" customFormat="1"/>
    <row r="10770" s="8" customFormat="1"/>
    <row r="10771" s="8" customFormat="1"/>
    <row r="10772" s="8" customFormat="1"/>
    <row r="10773" s="8" customFormat="1"/>
    <row r="10774" s="8" customFormat="1"/>
    <row r="10775" s="8" customFormat="1"/>
    <row r="10776" s="8" customFormat="1"/>
    <row r="10777" s="8" customFormat="1"/>
    <row r="10778" s="8" customFormat="1"/>
    <row r="10779" s="8" customFormat="1"/>
    <row r="10780" s="8" customFormat="1"/>
    <row r="10781" s="8" customFormat="1"/>
    <row r="10782" s="8" customFormat="1"/>
    <row r="10783" s="8" customFormat="1"/>
    <row r="10784" s="8" customFormat="1"/>
    <row r="10785" s="8" customFormat="1"/>
    <row r="10786" s="8" customFormat="1"/>
    <row r="10787" s="8" customFormat="1"/>
    <row r="10788" s="8" customFormat="1"/>
    <row r="10789" s="8" customFormat="1"/>
    <row r="10790" s="8" customFormat="1"/>
    <row r="10791" s="8" customFormat="1"/>
    <row r="10792" s="8" customFormat="1"/>
    <row r="10793" s="8" customFormat="1"/>
    <row r="10794" s="8" customFormat="1"/>
    <row r="10795" s="8" customFormat="1"/>
    <row r="10796" s="8" customFormat="1"/>
    <row r="10797" s="8" customFormat="1"/>
    <row r="10798" s="8" customFormat="1"/>
    <row r="10799" s="8" customFormat="1"/>
    <row r="10800" s="8" customFormat="1"/>
    <row r="10801" s="8" customFormat="1"/>
    <row r="10802" s="8" customFormat="1"/>
    <row r="10803" s="8" customFormat="1"/>
    <row r="10804" s="8" customFormat="1"/>
    <row r="10805" s="8" customFormat="1"/>
    <row r="10806" s="8" customFormat="1"/>
    <row r="10807" s="8" customFormat="1"/>
    <row r="10808" s="8" customFormat="1"/>
    <row r="10809" s="8" customFormat="1"/>
    <row r="10810" s="8" customFormat="1"/>
    <row r="10811" s="8" customFormat="1"/>
    <row r="10812" s="8" customFormat="1"/>
    <row r="10813" s="8" customFormat="1"/>
    <row r="10814" s="8" customFormat="1"/>
    <row r="10815" s="8" customFormat="1"/>
    <row r="10816" s="8" customFormat="1"/>
    <row r="10817" s="8" customFormat="1"/>
    <row r="10818" s="8" customFormat="1"/>
    <row r="10819" s="8" customFormat="1"/>
    <row r="10820" s="8" customFormat="1"/>
    <row r="10821" s="8" customFormat="1"/>
    <row r="10822" s="8" customFormat="1"/>
    <row r="10823" s="8" customFormat="1"/>
    <row r="10824" s="8" customFormat="1"/>
    <row r="10825" s="8" customFormat="1"/>
    <row r="10826" s="8" customFormat="1"/>
    <row r="10827" s="8" customFormat="1"/>
    <row r="10828" s="8" customFormat="1"/>
    <row r="10829" s="8" customFormat="1"/>
    <row r="10830" s="8" customFormat="1"/>
    <row r="10831" s="8" customFormat="1"/>
    <row r="10832" s="8" customFormat="1"/>
    <row r="10833" s="8" customFormat="1"/>
    <row r="10834" s="8" customFormat="1"/>
    <row r="10835" s="8" customFormat="1"/>
    <row r="10836" s="8" customFormat="1"/>
    <row r="10837" s="8" customFormat="1"/>
    <row r="10838" s="8" customFormat="1"/>
    <row r="10839" s="8" customFormat="1"/>
    <row r="10840" s="8" customFormat="1"/>
    <row r="10841" s="8" customFormat="1"/>
    <row r="10842" s="8" customFormat="1"/>
    <row r="10843" s="8" customFormat="1"/>
    <row r="10844" s="8" customFormat="1"/>
    <row r="10845" s="8" customFormat="1"/>
    <row r="10846" s="8" customFormat="1"/>
    <row r="10847" s="8" customFormat="1"/>
    <row r="10848" s="8" customFormat="1"/>
    <row r="10849" s="8" customFormat="1"/>
    <row r="10850" s="8" customFormat="1"/>
    <row r="10851" s="8" customFormat="1"/>
    <row r="10852" s="8" customFormat="1"/>
    <row r="10853" s="8" customFormat="1"/>
    <row r="10854" s="8" customFormat="1"/>
    <row r="10855" s="8" customFormat="1"/>
    <row r="10856" s="8" customFormat="1"/>
    <row r="10857" s="8" customFormat="1"/>
    <row r="10858" s="8" customFormat="1"/>
    <row r="10859" s="8" customFormat="1"/>
    <row r="10860" s="8" customFormat="1"/>
    <row r="10861" s="8" customFormat="1"/>
    <row r="10862" s="8" customFormat="1"/>
    <row r="10863" s="8" customFormat="1"/>
    <row r="10864" s="8" customFormat="1"/>
    <row r="10865" s="8" customFormat="1"/>
    <row r="10866" s="8" customFormat="1"/>
    <row r="10867" s="8" customFormat="1"/>
    <row r="10868" s="8" customFormat="1"/>
    <row r="10869" s="8" customFormat="1"/>
    <row r="10870" s="8" customFormat="1"/>
    <row r="10871" s="8" customFormat="1"/>
    <row r="10872" s="8" customFormat="1"/>
    <row r="10873" s="8" customFormat="1"/>
    <row r="10874" s="8" customFormat="1"/>
    <row r="10875" s="8" customFormat="1"/>
    <row r="10876" s="8" customFormat="1"/>
    <row r="10877" s="8" customFormat="1"/>
    <row r="10878" s="8" customFormat="1"/>
    <row r="10879" s="8" customFormat="1"/>
    <row r="10880" s="8" customFormat="1"/>
    <row r="10881" s="8" customFormat="1"/>
    <row r="10882" s="8" customFormat="1"/>
    <row r="10883" s="8" customFormat="1"/>
    <row r="10884" s="8" customFormat="1"/>
    <row r="10885" s="8" customFormat="1"/>
    <row r="10886" s="8" customFormat="1"/>
    <row r="10887" s="8" customFormat="1"/>
    <row r="10888" s="8" customFormat="1"/>
    <row r="10889" s="8" customFormat="1"/>
    <row r="10890" s="8" customFormat="1"/>
    <row r="10891" s="8" customFormat="1"/>
    <row r="10892" s="8" customFormat="1"/>
    <row r="10893" s="8" customFormat="1"/>
    <row r="10894" s="8" customFormat="1"/>
    <row r="10895" s="8" customFormat="1"/>
    <row r="10896" s="8" customFormat="1"/>
    <row r="10897" s="8" customFormat="1"/>
    <row r="10898" s="8" customFormat="1"/>
    <row r="10899" s="8" customFormat="1"/>
    <row r="10900" s="8" customFormat="1"/>
    <row r="10901" s="8" customFormat="1"/>
    <row r="10902" s="8" customFormat="1"/>
    <row r="10903" s="8" customFormat="1"/>
    <row r="10904" s="8" customFormat="1"/>
    <row r="10905" s="8" customFormat="1"/>
    <row r="10906" s="8" customFormat="1"/>
    <row r="10907" s="8" customFormat="1"/>
    <row r="10908" s="8" customFormat="1"/>
    <row r="10909" s="8" customFormat="1"/>
    <row r="10910" s="8" customFormat="1"/>
    <row r="10911" s="8" customFormat="1"/>
    <row r="10912" s="8" customFormat="1"/>
    <row r="10913" s="8" customFormat="1"/>
    <row r="10914" s="8" customFormat="1"/>
    <row r="10915" s="8" customFormat="1"/>
    <row r="10916" s="8" customFormat="1"/>
    <row r="10917" s="8" customFormat="1"/>
    <row r="10918" s="8" customFormat="1"/>
    <row r="10919" s="8" customFormat="1"/>
    <row r="10920" s="8" customFormat="1"/>
    <row r="10921" s="8" customFormat="1"/>
    <row r="10922" s="8" customFormat="1"/>
    <row r="10923" s="8" customFormat="1"/>
    <row r="10924" s="8" customFormat="1"/>
    <row r="10925" s="8" customFormat="1"/>
    <row r="10926" s="8" customFormat="1"/>
    <row r="10927" s="8" customFormat="1"/>
    <row r="10928" s="8" customFormat="1"/>
    <row r="10929" s="8" customFormat="1"/>
    <row r="10930" s="8" customFormat="1"/>
    <row r="10931" s="8" customFormat="1"/>
    <row r="10932" s="8" customFormat="1"/>
    <row r="10933" s="8" customFormat="1"/>
    <row r="10934" s="8" customFormat="1"/>
    <row r="10935" s="8" customFormat="1"/>
    <row r="10936" s="8" customFormat="1"/>
    <row r="10937" s="8" customFormat="1"/>
    <row r="10938" s="8" customFormat="1"/>
    <row r="10939" s="8" customFormat="1"/>
    <row r="10940" s="8" customFormat="1"/>
    <row r="10941" s="8" customFormat="1"/>
    <row r="10942" s="8" customFormat="1"/>
    <row r="10943" s="8" customFormat="1"/>
    <row r="10944" s="8" customFormat="1"/>
    <row r="10945" s="8" customFormat="1"/>
    <row r="10946" s="8" customFormat="1"/>
    <row r="10947" s="8" customFormat="1"/>
    <row r="10948" s="8" customFormat="1"/>
    <row r="10949" s="8" customFormat="1"/>
    <row r="10950" s="8" customFormat="1"/>
    <row r="10951" s="8" customFormat="1"/>
    <row r="10952" s="8" customFormat="1"/>
  </sheetData>
  <sheetProtection sheet="1" selectLockedCells="1"/>
  <phoneticPr fontId="0" type="noConversion"/>
  <pageMargins left="0.78740157499999996" right="0.78740157499999996" top="1.19" bottom="0.984251969" header="0.4921259845" footer="0.4921259845"/>
  <pageSetup paperSize="9" scale="87" orientation="portrait" horizontalDpi="300" verticalDpi="300" r:id="rId1"/>
  <headerFooter alignWithMargins="0">
    <oddHeader>&amp;F</oddHeader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indexed="9"/>
    <pageSetUpPr fitToPage="1"/>
  </sheetPr>
  <dimension ref="A1:AC10804"/>
  <sheetViews>
    <sheetView zoomScale="115" zoomScaleNormal="115" zoomScaleSheetLayoutView="100" workbookViewId="0">
      <selection activeCell="D39" sqref="D39"/>
    </sheetView>
  </sheetViews>
  <sheetFormatPr baseColWidth="10" defaultRowHeight="12"/>
  <cols>
    <col min="1" max="1" width="3.42578125" style="8" customWidth="1"/>
    <col min="2" max="2" width="5.28515625" style="45" customWidth="1"/>
    <col min="3" max="3" width="43.5703125" style="8" customWidth="1"/>
    <col min="4" max="4" width="20.28515625" style="37" customWidth="1"/>
    <col min="5" max="6" width="20.7109375" style="38" customWidth="1"/>
    <col min="7" max="7" width="13.5703125" style="31" bestFit="1" customWidth="1"/>
    <col min="8" max="8" width="14" style="116" bestFit="1" customWidth="1"/>
    <col min="9" max="9" width="16.140625" style="8" customWidth="1"/>
    <col min="10" max="10" width="16.85546875" style="8" customWidth="1"/>
    <col min="11" max="16384" width="11.42578125" style="8"/>
  </cols>
  <sheetData>
    <row r="1" spans="1:29" s="97" customFormat="1" ht="15">
      <c r="B1" s="211" t="s">
        <v>218</v>
      </c>
      <c r="C1" s="212"/>
      <c r="F1" s="98"/>
      <c r="G1" s="110"/>
      <c r="H1" s="112"/>
    </row>
    <row r="2" spans="1:29" s="97" customFormat="1" ht="7.5" customHeight="1">
      <c r="B2" s="96"/>
      <c r="F2" s="98"/>
      <c r="G2" s="110"/>
      <c r="H2" s="112"/>
    </row>
    <row r="3" spans="1:29" s="34" customFormat="1" ht="15.75" thickBot="1">
      <c r="B3" s="178"/>
      <c r="C3" s="179" t="s">
        <v>113</v>
      </c>
      <c r="D3" s="180" t="s">
        <v>62</v>
      </c>
      <c r="E3" s="181" t="s">
        <v>63</v>
      </c>
      <c r="F3" s="181" t="s">
        <v>145</v>
      </c>
      <c r="G3" s="50"/>
      <c r="H3" s="113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30"/>
      <c r="W3" s="30"/>
      <c r="X3" s="30"/>
      <c r="Y3" s="30"/>
      <c r="Z3" s="30"/>
      <c r="AA3" s="30"/>
      <c r="AB3" s="30"/>
      <c r="AC3" s="30"/>
    </row>
    <row r="4" spans="1:29" s="31" customFormat="1">
      <c r="B4" s="35"/>
      <c r="C4" s="36"/>
      <c r="D4" s="37"/>
      <c r="E4" s="38"/>
      <c r="F4" s="38"/>
      <c r="G4" s="11"/>
      <c r="H4" s="11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</row>
    <row r="5" spans="1:29">
      <c r="B5" s="35"/>
      <c r="C5" s="25" t="s">
        <v>202</v>
      </c>
      <c r="D5" s="123">
        <f>SUM(D6:D8)</f>
        <v>0</v>
      </c>
      <c r="E5" s="29">
        <f>SUM(E6:E8)</f>
        <v>0</v>
      </c>
      <c r="F5" s="29">
        <f>SUM(F6:F8)</f>
        <v>0</v>
      </c>
      <c r="G5" s="11"/>
      <c r="H5" s="11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</row>
    <row r="6" spans="1:29" s="9" customFormat="1">
      <c r="B6" s="35"/>
      <c r="C6" s="124" t="s">
        <v>203</v>
      </c>
      <c r="D6" s="131">
        <f>'Ventes '!X18</f>
        <v>0</v>
      </c>
      <c r="E6" s="38">
        <f>'Ventes '!W38</f>
        <v>0</v>
      </c>
      <c r="F6" s="38">
        <f>'Ventes '!W58</f>
        <v>0</v>
      </c>
      <c r="G6" s="11"/>
      <c r="H6" s="113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spans="1:29" s="9" customFormat="1">
      <c r="B7" s="35"/>
      <c r="C7" s="124" t="s">
        <v>105</v>
      </c>
      <c r="D7" s="37">
        <f>'Trésorerie AN 1'!T10</f>
        <v>0</v>
      </c>
      <c r="E7" s="38">
        <f>'Trésorerie AN 2'!U10</f>
        <v>0</v>
      </c>
      <c r="F7" s="38">
        <f>'Trésorerie AN 3'!U10</f>
        <v>0</v>
      </c>
      <c r="G7" s="11"/>
      <c r="H7" s="113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spans="1:29" s="9" customFormat="1">
      <c r="B8" s="35"/>
      <c r="C8" s="124" t="s">
        <v>103</v>
      </c>
      <c r="D8" s="40">
        <f>IF(Bilan!C12&gt;0,Investissements!H30,0)</f>
        <v>0</v>
      </c>
      <c r="E8" s="41">
        <f>IF(Bilan!D12&gt;0,Investissements!H30,0)</f>
        <v>0</v>
      </c>
      <c r="F8" s="41">
        <f>IF(Bilan!E12&gt;0,Investissements!H30,0)</f>
        <v>0</v>
      </c>
      <c r="G8" s="11"/>
      <c r="H8" s="113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spans="1:29">
      <c r="B9" s="35"/>
      <c r="C9" s="9" t="s">
        <v>141</v>
      </c>
      <c r="D9" s="40">
        <f>'Ventes '!X19</f>
        <v>0</v>
      </c>
      <c r="E9" s="41">
        <f>'Ventes '!W39</f>
        <v>0</v>
      </c>
      <c r="F9" s="41">
        <f>'Ventes '!W59</f>
        <v>0</v>
      </c>
      <c r="G9" s="11"/>
      <c r="H9" s="11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</row>
    <row r="10" spans="1:29" s="4" customFormat="1" ht="12.75">
      <c r="B10" s="39"/>
      <c r="C10" s="26"/>
      <c r="D10" s="42"/>
      <c r="E10" s="38"/>
      <c r="F10" s="38"/>
      <c r="G10" s="11"/>
      <c r="H10" s="114"/>
      <c r="I10" s="108"/>
      <c r="J10" s="108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</row>
    <row r="11" spans="1:29" s="9" customFormat="1">
      <c r="B11" s="161"/>
      <c r="C11" s="147" t="s">
        <v>64</v>
      </c>
      <c r="D11" s="160">
        <f>D5-(D9)</f>
        <v>0</v>
      </c>
      <c r="E11" s="160">
        <f>E5-(E9)</f>
        <v>0</v>
      </c>
      <c r="F11" s="160">
        <f>F5-(F9)</f>
        <v>0</v>
      </c>
      <c r="G11" s="11"/>
      <c r="H11" s="113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</row>
    <row r="12" spans="1:29" s="9" customFormat="1">
      <c r="A12" s="25"/>
      <c r="B12" s="45"/>
      <c r="C12" s="150"/>
      <c r="D12" s="151"/>
      <c r="E12" s="151"/>
      <c r="F12" s="151"/>
      <c r="G12" s="11"/>
      <c r="H12" s="113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</row>
    <row r="13" spans="1:29" s="9" customFormat="1">
      <c r="B13" s="35"/>
      <c r="C13" s="9" t="s">
        <v>184</v>
      </c>
      <c r="D13" s="123">
        <f>SUM(D14:D36)</f>
        <v>0</v>
      </c>
      <c r="E13" s="123">
        <f>SUM(E14:E36)</f>
        <v>0</v>
      </c>
      <c r="F13" s="123">
        <f>SUM(F14:F36)</f>
        <v>0</v>
      </c>
      <c r="G13" s="11"/>
      <c r="H13" s="11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</row>
    <row r="14" spans="1:29">
      <c r="B14" s="35"/>
      <c r="C14" s="124" t="str">
        <f>'Trésorerie AN 1'!D18</f>
        <v>Loyer (+Précompte Immobilier)</v>
      </c>
      <c r="D14" s="122">
        <f>'Trésorerie AN 1'!T18</f>
        <v>0</v>
      </c>
      <c r="E14" s="38">
        <f>'Trésorerie AN 2'!U18</f>
        <v>0</v>
      </c>
      <c r="F14" s="38">
        <f>'Trésorerie AN 3'!U18</f>
        <v>0</v>
      </c>
      <c r="G14" s="11"/>
      <c r="H14" s="11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</row>
    <row r="15" spans="1:29">
      <c r="B15" s="35"/>
      <c r="C15" s="124" t="str">
        <f>'Trésorerie AN 1'!D19</f>
        <v>Eau-gaz-électricité</v>
      </c>
      <c r="D15" s="121">
        <f>'Trésorerie AN 1'!T19</f>
        <v>0</v>
      </c>
      <c r="E15" s="38">
        <f>'Trésorerie AN 2'!U19</f>
        <v>0</v>
      </c>
      <c r="F15" s="38">
        <f>'Trésorerie AN 3'!U19</f>
        <v>0</v>
      </c>
      <c r="G15" s="11"/>
      <c r="H15" s="11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</row>
    <row r="16" spans="1:29">
      <c r="B16" s="35"/>
      <c r="C16" s="124" t="str">
        <f>'Trésorerie AN 1'!D20</f>
        <v>Assurances</v>
      </c>
      <c r="D16" s="121">
        <f>'Trésorerie AN 1'!T20</f>
        <v>0</v>
      </c>
      <c r="E16" s="38">
        <f>'Trésorerie AN 2'!U20</f>
        <v>0</v>
      </c>
      <c r="F16" s="38">
        <f>'Trésorerie AN 3'!U20</f>
        <v>0</v>
      </c>
      <c r="G16" s="11"/>
      <c r="H16" s="11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</row>
    <row r="17" spans="2:21" s="26" customFormat="1">
      <c r="B17" s="35"/>
      <c r="C17" s="124" t="str">
        <f>'Trésorerie AN 1'!D21</f>
        <v>frais de bureau et petit matériel</v>
      </c>
      <c r="D17" s="121">
        <f>'Trésorerie AN 1'!T21</f>
        <v>0</v>
      </c>
      <c r="E17" s="38">
        <f>'Trésorerie AN 2'!U21</f>
        <v>0</v>
      </c>
      <c r="F17" s="38">
        <f>'Trésorerie AN 3'!U21</f>
        <v>0</v>
      </c>
      <c r="G17" s="11"/>
      <c r="H17" s="115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</row>
    <row r="18" spans="2:21">
      <c r="B18" s="35"/>
      <c r="C18" s="124" t="str">
        <f>'Trésorerie AN 1'!D22</f>
        <v>Téléphone et internet</v>
      </c>
      <c r="D18" s="121">
        <f>'Trésorerie AN 1'!T22</f>
        <v>0</v>
      </c>
      <c r="E18" s="38">
        <f>'Trésorerie AN 2'!U22</f>
        <v>0</v>
      </c>
      <c r="F18" s="38">
        <f>'Trésorerie AN 3'!U22</f>
        <v>0</v>
      </c>
      <c r="G18" s="11"/>
      <c r="H18" s="11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</row>
    <row r="19" spans="2:21">
      <c r="B19" s="35"/>
      <c r="C19" s="124" t="str">
        <f>'Trésorerie AN 1'!D23</f>
        <v>Communication - publicité</v>
      </c>
      <c r="D19" s="121">
        <f>'Trésorerie AN 1'!T23</f>
        <v>0</v>
      </c>
      <c r="E19" s="38">
        <f>'Trésorerie AN 2'!U23</f>
        <v>0</v>
      </c>
      <c r="F19" s="38">
        <f>'Trésorerie AN 3'!U23</f>
        <v>0</v>
      </c>
      <c r="G19" s="11"/>
      <c r="H19" s="11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</row>
    <row r="20" spans="2:21">
      <c r="B20" s="35"/>
      <c r="C20" s="124" t="str">
        <f>'Trésorerie AN 1'!D24</f>
        <v>frais représentation</v>
      </c>
      <c r="D20" s="121">
        <f>'Trésorerie AN 1'!T24</f>
        <v>0</v>
      </c>
      <c r="E20" s="38">
        <f>'Trésorerie AN 2'!U24</f>
        <v>0</v>
      </c>
      <c r="F20" s="38">
        <f>'Trésorerie AN 3'!U24</f>
        <v>0</v>
      </c>
      <c r="G20" s="11"/>
      <c r="H20" s="11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</row>
    <row r="21" spans="2:21">
      <c r="B21" s="35"/>
      <c r="C21" s="124" t="str">
        <f>'Trésorerie AN 1'!D25</f>
        <v>Frais de déplacement (abonements, véhicules, entretiens)</v>
      </c>
      <c r="D21" s="121">
        <f>'Trésorerie AN 1'!T25</f>
        <v>0</v>
      </c>
      <c r="E21" s="38">
        <f>'Trésorerie AN 2'!U25</f>
        <v>0</v>
      </c>
      <c r="F21" s="38">
        <f>'Trésorerie AN 3'!U25</f>
        <v>0</v>
      </c>
      <c r="G21" s="11"/>
      <c r="H21" s="11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</row>
    <row r="22" spans="2:21" s="26" customFormat="1">
      <c r="B22" s="35"/>
      <c r="C22" s="124" t="str">
        <f>'Trésorerie AN 1'!D26</f>
        <v>Taxe Véhicule</v>
      </c>
      <c r="D22" s="121">
        <f>'Trésorerie AN 1'!T26</f>
        <v>0</v>
      </c>
      <c r="E22" s="38">
        <f>'Trésorerie AN 2'!U26</f>
        <v>0</v>
      </c>
      <c r="F22" s="38">
        <f>'Trésorerie AN 3'!U26</f>
        <v>0</v>
      </c>
      <c r="G22" s="111"/>
      <c r="H22" s="115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</row>
    <row r="23" spans="2:21" s="26" customFormat="1">
      <c r="B23" s="35"/>
      <c r="C23" s="124" t="str">
        <f>'Trésorerie AN 1'!D27</f>
        <v>Cotisations sociales</v>
      </c>
      <c r="D23" s="121">
        <f>'Trésorerie AN 1'!T27</f>
        <v>0</v>
      </c>
      <c r="E23" s="38">
        <f>'Trésorerie AN 2'!U27</f>
        <v>0</v>
      </c>
      <c r="F23" s="38">
        <f>'Trésorerie AN 3'!U27</f>
        <v>0</v>
      </c>
      <c r="G23" s="111"/>
      <c r="H23" s="115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</row>
    <row r="24" spans="2:21" s="26" customFormat="1">
      <c r="B24" s="35"/>
      <c r="C24" s="124" t="str">
        <f>'Trésorerie AN 1'!D28</f>
        <v>Cotisation Inasti société</v>
      </c>
      <c r="D24" s="121">
        <f>'Trésorerie AN 1'!T28</f>
        <v>0</v>
      </c>
      <c r="E24" s="38">
        <f>'Trésorerie AN 2'!U28</f>
        <v>0</v>
      </c>
      <c r="F24" s="38">
        <f>'Trésorerie AN 3'!U28</f>
        <v>0</v>
      </c>
      <c r="G24" s="111"/>
      <c r="H24" s="115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</row>
    <row r="25" spans="2:21">
      <c r="B25" s="35"/>
      <c r="C25" s="124" t="str">
        <f>'Trésorerie AN 1'!D29</f>
        <v>Rémunération - Administrateur(s) / Gérant(s)</v>
      </c>
      <c r="D25" s="121">
        <f>'Trésorerie AN 1'!T29</f>
        <v>0</v>
      </c>
      <c r="E25" s="38">
        <f>'Trésorerie AN 2'!U29</f>
        <v>0</v>
      </c>
      <c r="F25" s="38">
        <f>'Trésorerie AN 3'!U29</f>
        <v>0</v>
      </c>
      <c r="G25" s="11"/>
      <c r="H25" s="11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</row>
    <row r="26" spans="2:21">
      <c r="B26" s="35"/>
      <c r="C26" s="124" t="str">
        <f>'Trésorerie AN 1'!D30</f>
        <v>Honoraires comptable</v>
      </c>
      <c r="D26" s="121">
        <f>'Trésorerie AN 1'!T30</f>
        <v>0</v>
      </c>
      <c r="E26" s="38">
        <f>'Trésorerie AN 2'!U30</f>
        <v>0</v>
      </c>
      <c r="F26" s="38">
        <f>'Trésorerie AN 3'!U30</f>
        <v>0</v>
      </c>
      <c r="G26" s="11"/>
      <c r="H26" s="11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</row>
    <row r="27" spans="2:21">
      <c r="B27" s="35"/>
      <c r="C27" s="124" t="str">
        <f>'Trésorerie AN 1'!D31</f>
        <v>Honoraires autres experts</v>
      </c>
      <c r="D27" s="121">
        <f>'Trésorerie AN 1'!T31</f>
        <v>0</v>
      </c>
      <c r="E27" s="38">
        <f>'Trésorerie AN 2'!U31</f>
        <v>0</v>
      </c>
      <c r="F27" s="38">
        <f>'Trésorerie AN 3'!U31</f>
        <v>0</v>
      </c>
      <c r="G27" s="11"/>
      <c r="H27" s="11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</row>
    <row r="28" spans="2:21">
      <c r="B28" s="35"/>
      <c r="C28" s="124" t="str">
        <f>'Trésorerie AN 1'!D32</f>
        <v>Imprévus</v>
      </c>
      <c r="D28" s="121">
        <f>'Trésorerie AN 1'!T32</f>
        <v>0</v>
      </c>
      <c r="E28" s="38">
        <f>'Trésorerie AN 2'!U32</f>
        <v>0</v>
      </c>
      <c r="F28" s="38">
        <f>'Trésorerie AN 3'!U32</f>
        <v>0</v>
      </c>
      <c r="G28" s="11"/>
      <c r="H28" s="11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</row>
    <row r="29" spans="2:21">
      <c r="B29" s="35"/>
      <c r="C29" s="124" t="str">
        <f>'Trésorerie AN 1'!D33</f>
        <v>Divers  (terminal…)</v>
      </c>
      <c r="D29" s="121">
        <f>'Trésorerie AN 1'!T33</f>
        <v>0</v>
      </c>
      <c r="E29" s="38">
        <f>'Trésorerie AN 2'!U33</f>
        <v>0</v>
      </c>
      <c r="F29" s="38">
        <f>'Trésorerie AN 3'!U33</f>
        <v>0</v>
      </c>
      <c r="G29" s="11"/>
      <c r="H29" s="11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</row>
    <row r="30" spans="2:21">
      <c r="B30" s="35"/>
      <c r="C30" s="124" t="str">
        <f>'Trésorerie AN 1'!D34</f>
        <v>Divers 2</v>
      </c>
      <c r="D30" s="121">
        <f>'Trésorerie AN 1'!T34</f>
        <v>0</v>
      </c>
      <c r="E30" s="38">
        <f>'Trésorerie AN 2'!U34</f>
        <v>0</v>
      </c>
      <c r="F30" s="38">
        <f>'Trésorerie AN 3'!U34</f>
        <v>0</v>
      </c>
      <c r="G30" s="11"/>
      <c r="H30" s="11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</row>
    <row r="31" spans="2:21">
      <c r="B31" s="35"/>
      <c r="C31" s="124" t="str">
        <f>'Trésorerie AN 1'!D35</f>
        <v>Divers 3</v>
      </c>
      <c r="D31" s="121">
        <f>'Trésorerie AN 1'!T35</f>
        <v>0</v>
      </c>
      <c r="E31" s="38">
        <f>'Trésorerie AN 2'!U35</f>
        <v>0</v>
      </c>
      <c r="F31" s="38">
        <f>'Trésorerie AN 3'!U35</f>
        <v>0</v>
      </c>
      <c r="G31" s="11"/>
      <c r="H31" s="11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</row>
    <row r="32" spans="2:21" s="26" customFormat="1">
      <c r="B32" s="39"/>
      <c r="C32" s="124" t="str">
        <f>'Trésorerie AN 1'!D36</f>
        <v>Frais de Personnel (onglet personnel)</v>
      </c>
      <c r="D32" s="121">
        <f>'Trésorerie AN 1'!T36</f>
        <v>0</v>
      </c>
      <c r="E32" s="38">
        <f>'Trésorerie AN 2'!U36</f>
        <v>0</v>
      </c>
      <c r="F32" s="38">
        <f>'Trésorerie AN 3'!U36</f>
        <v>0</v>
      </c>
      <c r="G32" s="11"/>
      <c r="H32" s="115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</row>
    <row r="33" spans="1:21">
      <c r="B33" s="35"/>
      <c r="G33" s="11"/>
      <c r="H33" s="11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</row>
    <row r="34" spans="1:21">
      <c r="B34" s="35"/>
      <c r="C34" s="8" t="s">
        <v>183</v>
      </c>
      <c r="D34" s="172">
        <f>Investissements!G30</f>
        <v>0</v>
      </c>
      <c r="E34" s="22">
        <f>Investissements!G30</f>
        <v>0</v>
      </c>
      <c r="F34" s="16">
        <f>Investissements!G30</f>
        <v>0</v>
      </c>
      <c r="G34" s="11"/>
      <c r="H34" s="11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</row>
    <row r="35" spans="1:21">
      <c r="B35" s="35"/>
      <c r="C35" s="8" t="s">
        <v>93</v>
      </c>
      <c r="D35" s="172">
        <f>'Données emprunt'!E5</f>
        <v>0</v>
      </c>
      <c r="E35" s="38">
        <f>'Données emprunt'!E6</f>
        <v>0</v>
      </c>
      <c r="F35" s="38">
        <f>'Données emprunt'!E7</f>
        <v>0</v>
      </c>
      <c r="G35" s="11"/>
      <c r="H35" s="11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</row>
    <row r="36" spans="1:21">
      <c r="B36" s="35"/>
      <c r="C36" s="8" t="s">
        <v>92</v>
      </c>
      <c r="D36" s="172">
        <f>'Données emprunt'!E20</f>
        <v>0</v>
      </c>
      <c r="E36" s="38">
        <f>'Données emprunt'!E21</f>
        <v>0</v>
      </c>
      <c r="F36" s="38">
        <f>'Données emprunt'!E22</f>
        <v>0</v>
      </c>
      <c r="G36" s="11"/>
      <c r="H36" s="11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</row>
    <row r="37" spans="1:21">
      <c r="B37" s="35"/>
      <c r="D37" s="22"/>
      <c r="G37" s="11"/>
      <c r="H37" s="11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</row>
    <row r="38" spans="1:21">
      <c r="B38" s="161"/>
      <c r="C38" s="147" t="s">
        <v>65</v>
      </c>
      <c r="D38" s="160">
        <f>D11-SUM(D14:D36)</f>
        <v>0</v>
      </c>
      <c r="E38" s="160">
        <f>E11-SUM(E14:E36)</f>
        <v>0</v>
      </c>
      <c r="F38" s="160">
        <f>F11-SUM(F14:F36)</f>
        <v>0</v>
      </c>
      <c r="G38" s="11"/>
      <c r="H38" s="11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</row>
    <row r="39" spans="1:21" ht="15" customHeight="1">
      <c r="A39" s="23"/>
      <c r="C39" s="152" t="s">
        <v>209</v>
      </c>
      <c r="D39" s="242">
        <v>0.2</v>
      </c>
      <c r="E39" s="243">
        <v>0.2</v>
      </c>
      <c r="F39" s="242">
        <v>0.2</v>
      </c>
      <c r="G39" s="11"/>
      <c r="H39" s="11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</row>
    <row r="40" spans="1:21" s="129" customFormat="1" ht="12" customHeight="1">
      <c r="A40" s="153"/>
      <c r="B40" s="126"/>
      <c r="C40" s="153" t="s">
        <v>210</v>
      </c>
      <c r="D40" s="155">
        <f>IF(D38&lt;0,0,D38*D39)</f>
        <v>0</v>
      </c>
      <c r="E40" s="156">
        <f>IF(E38&lt;0,0,E38*E39)</f>
        <v>0</v>
      </c>
      <c r="F40" s="159">
        <f>IF(F38&lt;0,0,F38*F39)</f>
        <v>0</v>
      </c>
      <c r="G40" s="125"/>
      <c r="H40" s="127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</row>
    <row r="41" spans="1:21" ht="15" customHeight="1">
      <c r="A41" s="23"/>
      <c r="C41" s="154"/>
      <c r="D41" s="158"/>
      <c r="E41" s="157"/>
      <c r="F41" s="158"/>
      <c r="G41" s="11"/>
      <c r="H41" s="11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</row>
    <row r="42" spans="1:21">
      <c r="B42" s="162"/>
      <c r="C42" s="163" t="s">
        <v>94</v>
      </c>
      <c r="D42" s="164">
        <f>D38-D40</f>
        <v>0</v>
      </c>
      <c r="E42" s="165">
        <f>E38-E40</f>
        <v>0</v>
      </c>
      <c r="F42" s="166">
        <f>F38-F40</f>
        <v>0</v>
      </c>
      <c r="G42" s="11"/>
      <c r="H42" s="11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</row>
    <row r="43" spans="1:21">
      <c r="B43" s="35"/>
      <c r="C43" s="9"/>
      <c r="D43" s="40"/>
      <c r="E43" s="41"/>
      <c r="F43" s="41"/>
      <c r="G43" s="11"/>
      <c r="H43" s="11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</row>
    <row r="44" spans="1:21">
      <c r="B44" s="39"/>
      <c r="C44" s="4" t="s">
        <v>109</v>
      </c>
      <c r="D44" s="42">
        <f>IF(D42&lt;0,0,0.05*D42)</f>
        <v>0</v>
      </c>
      <c r="E44" s="42">
        <f>IF(E42&lt;0,0,0.05*E42)</f>
        <v>0</v>
      </c>
      <c r="F44" s="43">
        <f>IF(F42&lt;0,0,0.05*F42)</f>
        <v>0</v>
      </c>
      <c r="G44" s="11"/>
      <c r="H44" s="11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</row>
    <row r="45" spans="1:21">
      <c r="B45" s="39"/>
      <c r="C45" s="4" t="s">
        <v>142</v>
      </c>
      <c r="D45" s="42">
        <f>D42-D44</f>
        <v>0</v>
      </c>
      <c r="E45" s="43">
        <f>E42-E44</f>
        <v>0</v>
      </c>
      <c r="F45" s="43">
        <f>F42-F44</f>
        <v>0</v>
      </c>
      <c r="G45" s="11"/>
      <c r="H45" s="11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</row>
    <row r="46" spans="1:21">
      <c r="B46" s="39"/>
      <c r="C46" s="4"/>
      <c r="D46" s="42"/>
      <c r="E46" s="43"/>
      <c r="F46" s="43"/>
      <c r="G46" s="11"/>
      <c r="H46" s="11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</row>
    <row r="47" spans="1:21">
      <c r="B47" s="39"/>
      <c r="C47" s="4"/>
      <c r="D47" s="42"/>
      <c r="E47" s="43"/>
      <c r="F47" s="43"/>
      <c r="G47" s="11"/>
      <c r="H47" s="11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</row>
    <row r="48" spans="1:21" ht="12.75" thickBot="1">
      <c r="B48" s="35"/>
      <c r="G48" s="11"/>
      <c r="H48" s="11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</row>
    <row r="49" spans="2:21" ht="12.6" customHeight="1" thickBot="1">
      <c r="B49" s="182"/>
      <c r="C49" s="183" t="s">
        <v>242</v>
      </c>
      <c r="D49" s="184">
        <f>D42+D34</f>
        <v>0</v>
      </c>
      <c r="E49" s="184">
        <f>E42+E34</f>
        <v>0</v>
      </c>
      <c r="F49" s="185">
        <f>F42+F34</f>
        <v>0</v>
      </c>
      <c r="G49" s="11"/>
      <c r="H49" s="11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</row>
    <row r="50" spans="2:21" ht="12.75" thickBot="1">
      <c r="B50" s="186"/>
      <c r="C50" s="187" t="s">
        <v>236</v>
      </c>
      <c r="D50" s="188">
        <f>D49-'Données emprunt'!D27</f>
        <v>0</v>
      </c>
      <c r="E50" s="189">
        <f>E49-'Données emprunt'!D28</f>
        <v>0</v>
      </c>
      <c r="F50" s="189">
        <f>F49-'Données emprunt'!D29</f>
        <v>0</v>
      </c>
      <c r="G50" s="11"/>
      <c r="H50" s="11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</row>
    <row r="51" spans="2:21">
      <c r="B51" s="44"/>
      <c r="D51" s="8"/>
      <c r="E51" s="8"/>
      <c r="F51" s="8"/>
      <c r="G51" s="11"/>
      <c r="H51" s="11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</row>
    <row r="52" spans="2:21" ht="12.75" thickBot="1">
      <c r="B52" s="44"/>
      <c r="D52" s="8"/>
      <c r="E52" s="8"/>
      <c r="F52" s="8"/>
      <c r="G52" s="11"/>
      <c r="H52" s="11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</row>
    <row r="53" spans="2:21" ht="12.75" thickBot="1">
      <c r="B53" s="44"/>
      <c r="C53" s="118" t="s">
        <v>227</v>
      </c>
      <c r="D53" s="8"/>
      <c r="E53" s="8"/>
      <c r="F53" s="8"/>
      <c r="G53" s="11"/>
      <c r="H53" s="11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</row>
    <row r="54" spans="2:21">
      <c r="B54" s="44"/>
      <c r="C54" s="143" t="s">
        <v>228</v>
      </c>
      <c r="D54" s="14">
        <f>D5-D9</f>
        <v>0</v>
      </c>
      <c r="E54" s="14">
        <f>E5-E9</f>
        <v>0</v>
      </c>
      <c r="F54" s="14">
        <f>F5-F9</f>
        <v>0</v>
      </c>
      <c r="G54" s="11"/>
      <c r="H54" s="11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</row>
    <row r="55" spans="2:21" ht="12.75" thickBot="1">
      <c r="B55" s="44"/>
      <c r="C55" s="119" t="s">
        <v>229</v>
      </c>
      <c r="D55" s="119" t="e">
        <f>D54/D5</f>
        <v>#DIV/0!</v>
      </c>
      <c r="E55" s="119" t="e">
        <f>E54/E5</f>
        <v>#DIV/0!</v>
      </c>
      <c r="F55" s="119" t="e">
        <f>F54/F5</f>
        <v>#DIV/0!</v>
      </c>
      <c r="G55" s="11"/>
      <c r="H55" s="11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</row>
    <row r="56" spans="2:21" ht="12.75" thickBot="1">
      <c r="B56" s="44"/>
      <c r="C56" s="118" t="s">
        <v>230</v>
      </c>
      <c r="D56" s="118" t="e">
        <f>D13/D55</f>
        <v>#DIV/0!</v>
      </c>
      <c r="E56" s="118" t="e">
        <f>E13/E55</f>
        <v>#DIV/0!</v>
      </c>
      <c r="F56" s="118" t="e">
        <f>F13/F55</f>
        <v>#DIV/0!</v>
      </c>
      <c r="G56" s="11"/>
      <c r="H56" s="11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</row>
    <row r="57" spans="2:21">
      <c r="B57" s="44"/>
      <c r="D57" s="8"/>
      <c r="E57" s="8"/>
      <c r="F57" s="8"/>
      <c r="G57" s="11"/>
      <c r="H57" s="11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</row>
    <row r="58" spans="2:21">
      <c r="B58" s="44"/>
      <c r="D58" s="8"/>
      <c r="E58" s="8"/>
      <c r="F58" s="8"/>
      <c r="G58" s="11"/>
      <c r="H58" s="11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</row>
    <row r="59" spans="2:21">
      <c r="B59" s="44"/>
      <c r="D59" s="8"/>
      <c r="E59" s="8"/>
      <c r="F59" s="8"/>
      <c r="G59" s="11"/>
      <c r="H59" s="11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</row>
    <row r="60" spans="2:21">
      <c r="B60" s="44"/>
      <c r="D60" s="8"/>
      <c r="E60" s="8"/>
      <c r="F60" s="8"/>
      <c r="G60" s="11"/>
      <c r="H60" s="11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</row>
    <row r="61" spans="2:21">
      <c r="B61" s="44"/>
      <c r="D61" s="8"/>
      <c r="E61" s="8"/>
      <c r="F61" s="8"/>
      <c r="G61" s="11"/>
      <c r="H61" s="11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</row>
    <row r="62" spans="2:21">
      <c r="B62" s="44"/>
      <c r="D62" s="8"/>
      <c r="E62" s="8"/>
      <c r="F62" s="8"/>
      <c r="G62" s="11"/>
      <c r="H62" s="11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</row>
    <row r="63" spans="2:21">
      <c r="B63" s="44"/>
      <c r="D63" s="8"/>
      <c r="E63" s="8"/>
      <c r="F63" s="8"/>
      <c r="G63" s="11"/>
      <c r="H63" s="11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</row>
    <row r="64" spans="2:21">
      <c r="B64" s="44"/>
      <c r="D64" s="8"/>
      <c r="E64" s="8"/>
      <c r="F64" s="8"/>
      <c r="G64" s="11"/>
      <c r="H64" s="11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</row>
    <row r="65" spans="2:21">
      <c r="B65" s="44"/>
      <c r="D65" s="8"/>
      <c r="E65" s="8"/>
      <c r="F65" s="8"/>
      <c r="G65" s="11"/>
      <c r="H65" s="11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</row>
    <row r="66" spans="2:21">
      <c r="B66" s="44"/>
      <c r="D66" s="8"/>
      <c r="E66" s="8"/>
      <c r="F66" s="8"/>
      <c r="G66" s="11"/>
      <c r="H66" s="11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</row>
    <row r="67" spans="2:21">
      <c r="B67" s="44"/>
      <c r="D67" s="8"/>
      <c r="E67" s="8"/>
      <c r="F67" s="8"/>
      <c r="G67" s="11"/>
      <c r="H67" s="11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</row>
    <row r="68" spans="2:21">
      <c r="B68" s="44"/>
      <c r="D68" s="8"/>
      <c r="E68" s="8"/>
      <c r="F68" s="8"/>
      <c r="G68" s="11"/>
      <c r="H68" s="11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</row>
    <row r="69" spans="2:21">
      <c r="B69" s="44"/>
      <c r="D69" s="8"/>
      <c r="E69" s="8"/>
      <c r="F69" s="8"/>
      <c r="G69" s="11"/>
      <c r="H69" s="11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</row>
    <row r="70" spans="2:21">
      <c r="B70" s="44"/>
      <c r="D70" s="8"/>
      <c r="E70" s="8"/>
      <c r="F70" s="8"/>
      <c r="G70" s="11"/>
      <c r="H70" s="11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</row>
    <row r="71" spans="2:21">
      <c r="B71" s="44"/>
      <c r="D71" s="8"/>
      <c r="E71" s="8"/>
      <c r="F71" s="8"/>
      <c r="G71" s="11"/>
      <c r="H71" s="11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</row>
    <row r="72" spans="2:21">
      <c r="B72" s="44"/>
      <c r="D72" s="8"/>
      <c r="E72" s="8"/>
      <c r="F72" s="8"/>
      <c r="G72" s="11"/>
      <c r="H72" s="11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</row>
    <row r="73" spans="2:21">
      <c r="B73" s="44"/>
      <c r="D73" s="8"/>
      <c r="E73" s="8"/>
      <c r="F73" s="8"/>
      <c r="G73" s="11"/>
      <c r="H73" s="11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</row>
    <row r="74" spans="2:21">
      <c r="B74" s="44"/>
      <c r="D74" s="8"/>
      <c r="E74" s="8"/>
      <c r="F74" s="8"/>
      <c r="G74" s="11"/>
      <c r="H74" s="11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</row>
    <row r="75" spans="2:21">
      <c r="B75" s="44"/>
      <c r="D75" s="8"/>
      <c r="E75" s="8"/>
      <c r="F75" s="8"/>
      <c r="G75" s="11"/>
      <c r="H75" s="11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</row>
    <row r="76" spans="2:21">
      <c r="B76" s="44"/>
      <c r="D76" s="8"/>
      <c r="E76" s="8"/>
      <c r="F76" s="8"/>
      <c r="G76" s="11"/>
      <c r="H76" s="11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</row>
    <row r="77" spans="2:21">
      <c r="B77" s="44"/>
      <c r="D77" s="8"/>
      <c r="E77" s="8"/>
      <c r="F77" s="8"/>
      <c r="G77" s="11"/>
      <c r="H77" s="11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</row>
    <row r="78" spans="2:21">
      <c r="B78" s="44"/>
      <c r="D78" s="8"/>
      <c r="E78" s="8"/>
      <c r="F78" s="8"/>
      <c r="G78" s="11"/>
      <c r="H78" s="11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</row>
    <row r="79" spans="2:21">
      <c r="B79" s="44"/>
      <c r="D79" s="8"/>
      <c r="E79" s="8"/>
      <c r="F79" s="8"/>
      <c r="G79" s="11"/>
      <c r="H79" s="11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</row>
    <row r="80" spans="2:21">
      <c r="B80" s="44"/>
      <c r="D80" s="8"/>
      <c r="E80" s="8"/>
      <c r="F80" s="8"/>
      <c r="G80" s="11"/>
      <c r="H80" s="11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</row>
    <row r="81" spans="2:21">
      <c r="B81" s="44"/>
      <c r="D81" s="8"/>
      <c r="E81" s="8"/>
      <c r="F81" s="8"/>
      <c r="G81" s="11"/>
      <c r="H81" s="11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</row>
    <row r="82" spans="2:21">
      <c r="B82" s="44"/>
      <c r="D82" s="8"/>
      <c r="E82" s="8"/>
      <c r="F82" s="8"/>
      <c r="G82" s="11"/>
      <c r="H82" s="11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</row>
    <row r="83" spans="2:21">
      <c r="B83" s="44"/>
      <c r="D83" s="8"/>
      <c r="E83" s="8"/>
      <c r="F83" s="8"/>
      <c r="G83" s="11"/>
      <c r="H83" s="11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</row>
    <row r="84" spans="2:21">
      <c r="B84" s="44"/>
      <c r="D84" s="8"/>
      <c r="E84" s="8"/>
      <c r="F84" s="8"/>
      <c r="G84" s="11"/>
      <c r="H84" s="11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</row>
    <row r="85" spans="2:21">
      <c r="B85" s="44"/>
      <c r="D85" s="8"/>
      <c r="E85" s="8"/>
      <c r="F85" s="8"/>
      <c r="G85" s="11"/>
      <c r="H85" s="11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</row>
    <row r="86" spans="2:21">
      <c r="B86" s="44"/>
      <c r="D86" s="8"/>
      <c r="E86" s="8"/>
      <c r="F86" s="8"/>
      <c r="G86" s="11"/>
      <c r="H86" s="11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</row>
    <row r="87" spans="2:21">
      <c r="B87" s="44"/>
      <c r="D87" s="8"/>
      <c r="E87" s="8"/>
      <c r="F87" s="8"/>
      <c r="G87" s="11"/>
      <c r="H87" s="11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</row>
    <row r="88" spans="2:21">
      <c r="B88" s="44"/>
      <c r="D88" s="8"/>
      <c r="E88" s="8"/>
      <c r="F88" s="8"/>
      <c r="G88" s="11"/>
      <c r="H88" s="11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</row>
    <row r="89" spans="2:21">
      <c r="B89" s="44"/>
      <c r="D89" s="8"/>
      <c r="E89" s="8"/>
      <c r="F89" s="8"/>
      <c r="G89" s="11"/>
      <c r="H89" s="11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</row>
    <row r="90" spans="2:21">
      <c r="B90" s="44"/>
      <c r="D90" s="8"/>
      <c r="E90" s="8"/>
      <c r="F90" s="8"/>
      <c r="G90" s="11"/>
      <c r="H90" s="11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</row>
    <row r="91" spans="2:21">
      <c r="B91" s="44"/>
      <c r="D91" s="8"/>
      <c r="E91" s="8"/>
      <c r="F91" s="8"/>
      <c r="G91" s="11"/>
      <c r="H91" s="11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</row>
    <row r="92" spans="2:21">
      <c r="B92" s="44"/>
      <c r="D92" s="8"/>
      <c r="E92" s="8"/>
      <c r="F92" s="8"/>
      <c r="G92" s="11"/>
      <c r="H92" s="11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</row>
    <row r="93" spans="2:21">
      <c r="B93" s="44"/>
      <c r="D93" s="8"/>
      <c r="E93" s="8"/>
      <c r="F93" s="8"/>
      <c r="G93" s="11"/>
      <c r="H93" s="11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</row>
    <row r="94" spans="2:21">
      <c r="B94" s="44"/>
      <c r="D94" s="8"/>
      <c r="E94" s="8"/>
      <c r="F94" s="8"/>
      <c r="G94" s="11"/>
      <c r="H94" s="11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</row>
    <row r="95" spans="2:21">
      <c r="B95" s="44"/>
      <c r="D95" s="8"/>
      <c r="E95" s="8"/>
      <c r="F95" s="8"/>
      <c r="G95" s="11"/>
      <c r="H95" s="11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</row>
    <row r="96" spans="2:21">
      <c r="B96" s="44"/>
      <c r="D96" s="8"/>
      <c r="E96" s="8"/>
      <c r="F96" s="8"/>
      <c r="G96" s="11"/>
      <c r="H96" s="11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</row>
    <row r="97" spans="2:21">
      <c r="B97" s="44"/>
      <c r="D97" s="8"/>
      <c r="E97" s="8"/>
      <c r="F97" s="8"/>
      <c r="G97" s="11"/>
      <c r="H97" s="11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</row>
    <row r="98" spans="2:21">
      <c r="B98" s="44"/>
      <c r="D98" s="8"/>
      <c r="E98" s="8"/>
      <c r="F98" s="8"/>
      <c r="G98" s="11"/>
      <c r="H98" s="11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</row>
    <row r="99" spans="2:21">
      <c r="B99" s="44"/>
      <c r="D99" s="8"/>
      <c r="E99" s="8"/>
      <c r="F99" s="8"/>
      <c r="G99" s="11"/>
      <c r="H99" s="11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</row>
    <row r="100" spans="2:21">
      <c r="B100" s="44"/>
      <c r="D100" s="8"/>
      <c r="E100" s="8"/>
      <c r="F100" s="8"/>
      <c r="G100" s="11"/>
      <c r="H100" s="11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</row>
    <row r="101" spans="2:21">
      <c r="B101" s="44"/>
      <c r="D101" s="8"/>
      <c r="E101" s="8"/>
      <c r="F101" s="8"/>
      <c r="G101" s="11"/>
      <c r="H101" s="11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</row>
    <row r="102" spans="2:21">
      <c r="B102" s="44"/>
      <c r="D102" s="8"/>
      <c r="E102" s="8"/>
      <c r="F102" s="8"/>
      <c r="G102" s="11"/>
      <c r="H102" s="11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</row>
    <row r="103" spans="2:21">
      <c r="B103" s="44"/>
      <c r="D103" s="8"/>
      <c r="E103" s="8"/>
      <c r="F103" s="8"/>
      <c r="G103" s="11"/>
      <c r="H103" s="11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</row>
    <row r="104" spans="2:21">
      <c r="B104" s="44"/>
      <c r="D104" s="8"/>
      <c r="E104" s="8"/>
      <c r="F104" s="8"/>
      <c r="G104" s="11"/>
      <c r="H104" s="11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</row>
    <row r="105" spans="2:21">
      <c r="B105" s="44"/>
      <c r="D105" s="8"/>
      <c r="E105" s="8"/>
      <c r="F105" s="8"/>
      <c r="G105" s="11"/>
      <c r="H105" s="11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</row>
    <row r="106" spans="2:21">
      <c r="B106" s="44"/>
      <c r="D106" s="8"/>
      <c r="E106" s="8"/>
      <c r="F106" s="8"/>
      <c r="G106" s="11"/>
      <c r="H106" s="11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</row>
    <row r="107" spans="2:21">
      <c r="B107" s="44"/>
      <c r="D107" s="8"/>
      <c r="E107" s="8"/>
      <c r="F107" s="8"/>
      <c r="G107" s="11"/>
      <c r="H107" s="11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</row>
    <row r="108" spans="2:21">
      <c r="B108" s="44"/>
      <c r="D108" s="8"/>
      <c r="E108" s="8"/>
      <c r="F108" s="8"/>
      <c r="G108" s="11"/>
      <c r="H108" s="11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</row>
    <row r="109" spans="2:21">
      <c r="B109" s="44"/>
      <c r="D109" s="8"/>
      <c r="E109" s="8"/>
      <c r="F109" s="8"/>
      <c r="G109" s="11"/>
      <c r="H109" s="11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</row>
    <row r="110" spans="2:21">
      <c r="B110" s="44"/>
      <c r="D110" s="8"/>
      <c r="E110" s="8"/>
      <c r="F110" s="8"/>
      <c r="G110" s="11"/>
      <c r="H110" s="11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</row>
    <row r="111" spans="2:21">
      <c r="B111" s="44"/>
      <c r="D111" s="8"/>
      <c r="E111" s="8"/>
      <c r="F111" s="8"/>
      <c r="G111" s="11"/>
      <c r="H111" s="11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</row>
    <row r="112" spans="2:21">
      <c r="B112" s="44"/>
      <c r="D112" s="8"/>
      <c r="E112" s="8"/>
      <c r="F112" s="8"/>
      <c r="G112" s="11"/>
      <c r="H112" s="11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</row>
    <row r="113" spans="2:21">
      <c r="B113" s="44"/>
      <c r="D113" s="8"/>
      <c r="E113" s="8"/>
      <c r="F113" s="8"/>
      <c r="G113" s="11"/>
      <c r="H113" s="11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</row>
    <row r="114" spans="2:21">
      <c r="B114" s="44"/>
      <c r="D114" s="8"/>
      <c r="E114" s="8"/>
      <c r="F114" s="8"/>
      <c r="G114" s="11"/>
      <c r="H114" s="11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</row>
    <row r="115" spans="2:21">
      <c r="B115" s="44"/>
      <c r="D115" s="8"/>
      <c r="E115" s="8"/>
      <c r="F115" s="8"/>
      <c r="G115" s="11"/>
      <c r="H115" s="11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</row>
    <row r="116" spans="2:21">
      <c r="B116" s="44"/>
      <c r="D116" s="8"/>
      <c r="E116" s="8"/>
      <c r="F116" s="8"/>
      <c r="G116" s="11"/>
      <c r="H116" s="11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</row>
    <row r="117" spans="2:21">
      <c r="B117" s="44"/>
      <c r="D117" s="8"/>
      <c r="E117" s="8"/>
      <c r="F117" s="8"/>
      <c r="G117" s="11"/>
      <c r="H117" s="11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</row>
    <row r="118" spans="2:21">
      <c r="B118" s="44"/>
      <c r="D118" s="8"/>
      <c r="E118" s="8"/>
      <c r="F118" s="8"/>
      <c r="G118" s="11"/>
      <c r="H118" s="11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</row>
    <row r="119" spans="2:21">
      <c r="B119" s="44"/>
      <c r="D119" s="8"/>
      <c r="E119" s="8"/>
      <c r="F119" s="8"/>
      <c r="G119" s="11"/>
      <c r="H119" s="11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</row>
    <row r="120" spans="2:21">
      <c r="B120" s="44"/>
      <c r="D120" s="8"/>
      <c r="E120" s="8"/>
      <c r="F120" s="8"/>
      <c r="G120" s="11"/>
      <c r="H120" s="11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</row>
    <row r="121" spans="2:21">
      <c r="B121" s="44"/>
      <c r="D121" s="8"/>
      <c r="E121" s="8"/>
      <c r="F121" s="8"/>
      <c r="G121" s="11"/>
      <c r="H121" s="11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</row>
    <row r="122" spans="2:21">
      <c r="B122" s="44"/>
      <c r="D122" s="8"/>
      <c r="E122" s="8"/>
      <c r="F122" s="8"/>
      <c r="G122" s="11"/>
      <c r="H122" s="11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</row>
    <row r="123" spans="2:21">
      <c r="B123" s="44"/>
      <c r="D123" s="8"/>
      <c r="E123" s="8"/>
      <c r="F123" s="8"/>
      <c r="G123" s="11"/>
      <c r="H123" s="11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</row>
    <row r="124" spans="2:21">
      <c r="B124" s="44"/>
      <c r="D124" s="8"/>
      <c r="E124" s="8"/>
      <c r="F124" s="8"/>
      <c r="G124" s="11"/>
      <c r="H124" s="11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</row>
    <row r="125" spans="2:21">
      <c r="B125" s="44"/>
      <c r="D125" s="8"/>
      <c r="E125" s="8"/>
      <c r="F125" s="8"/>
      <c r="G125" s="11"/>
      <c r="H125" s="11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</row>
    <row r="126" spans="2:21">
      <c r="B126" s="44"/>
      <c r="D126" s="8"/>
      <c r="E126" s="8"/>
      <c r="F126" s="8"/>
      <c r="G126" s="11"/>
      <c r="H126" s="11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</row>
    <row r="127" spans="2:21">
      <c r="B127" s="44"/>
      <c r="D127" s="8"/>
      <c r="E127" s="8"/>
      <c r="F127" s="8"/>
      <c r="G127" s="11"/>
      <c r="H127" s="11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</row>
    <row r="128" spans="2:21">
      <c r="B128" s="44"/>
      <c r="D128" s="8"/>
      <c r="E128" s="8"/>
      <c r="F128" s="8"/>
      <c r="G128" s="11"/>
      <c r="H128" s="11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</row>
    <row r="129" spans="2:21">
      <c r="B129" s="44"/>
      <c r="D129" s="8"/>
      <c r="E129" s="8"/>
      <c r="F129" s="8"/>
      <c r="G129" s="11"/>
      <c r="H129" s="11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</row>
    <row r="130" spans="2:21">
      <c r="B130" s="44"/>
      <c r="D130" s="8"/>
      <c r="E130" s="8"/>
      <c r="F130" s="8"/>
      <c r="G130" s="11"/>
      <c r="H130" s="11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</row>
    <row r="131" spans="2:21">
      <c r="B131" s="44"/>
      <c r="D131" s="8"/>
      <c r="E131" s="8"/>
      <c r="F131" s="8"/>
      <c r="G131" s="11"/>
      <c r="H131" s="11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</row>
    <row r="132" spans="2:21">
      <c r="B132" s="44"/>
      <c r="D132" s="8"/>
      <c r="E132" s="8"/>
      <c r="F132" s="8"/>
      <c r="G132" s="11"/>
      <c r="H132" s="11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</row>
    <row r="133" spans="2:21">
      <c r="B133" s="44"/>
      <c r="D133" s="8"/>
      <c r="E133" s="8"/>
      <c r="F133" s="8"/>
      <c r="G133" s="11"/>
      <c r="H133" s="11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</row>
    <row r="134" spans="2:21">
      <c r="B134" s="44"/>
      <c r="D134" s="8"/>
      <c r="E134" s="8"/>
      <c r="F134" s="8"/>
      <c r="G134" s="11"/>
      <c r="H134" s="11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</row>
    <row r="135" spans="2:21">
      <c r="B135" s="44"/>
      <c r="D135" s="8"/>
      <c r="E135" s="8"/>
      <c r="F135" s="8"/>
      <c r="G135" s="11"/>
      <c r="H135" s="11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</row>
    <row r="136" spans="2:21">
      <c r="B136" s="44"/>
      <c r="D136" s="8"/>
      <c r="E136" s="8"/>
      <c r="F136" s="8"/>
      <c r="G136" s="11"/>
      <c r="H136" s="11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</row>
    <row r="137" spans="2:21">
      <c r="B137" s="44"/>
      <c r="D137" s="8"/>
      <c r="E137" s="8"/>
      <c r="F137" s="8"/>
      <c r="G137" s="11"/>
      <c r="H137" s="11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</row>
    <row r="138" spans="2:21">
      <c r="B138" s="44"/>
      <c r="D138" s="8"/>
      <c r="E138" s="8"/>
      <c r="F138" s="8"/>
      <c r="G138" s="11"/>
      <c r="H138" s="11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</row>
    <row r="139" spans="2:21">
      <c r="B139" s="44"/>
      <c r="D139" s="8"/>
      <c r="E139" s="8"/>
      <c r="F139" s="8"/>
      <c r="G139" s="11"/>
      <c r="H139" s="11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</row>
    <row r="140" spans="2:21">
      <c r="B140" s="44"/>
      <c r="D140" s="8"/>
      <c r="E140" s="8"/>
      <c r="F140" s="8"/>
      <c r="G140" s="11"/>
      <c r="H140" s="11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</row>
    <row r="141" spans="2:21">
      <c r="B141" s="44"/>
      <c r="D141" s="8"/>
      <c r="E141" s="8"/>
      <c r="F141" s="8"/>
      <c r="G141" s="11"/>
      <c r="H141" s="11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</row>
    <row r="142" spans="2:21">
      <c r="B142" s="44"/>
      <c r="D142" s="8"/>
      <c r="E142" s="8"/>
      <c r="F142" s="8"/>
      <c r="G142" s="11"/>
      <c r="H142" s="11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</row>
    <row r="143" spans="2:21">
      <c r="B143" s="44"/>
      <c r="D143" s="8"/>
      <c r="E143" s="8"/>
      <c r="F143" s="8"/>
      <c r="G143" s="11"/>
      <c r="H143" s="11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</row>
    <row r="144" spans="2:21">
      <c r="B144" s="44"/>
      <c r="D144" s="8"/>
      <c r="E144" s="8"/>
      <c r="F144" s="8"/>
      <c r="G144" s="11"/>
      <c r="H144" s="11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</row>
    <row r="145" spans="2:21">
      <c r="B145" s="44"/>
      <c r="D145" s="8"/>
      <c r="E145" s="8"/>
      <c r="F145" s="8"/>
      <c r="G145" s="11"/>
      <c r="H145" s="11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</row>
    <row r="146" spans="2:21">
      <c r="B146" s="44"/>
      <c r="D146" s="8"/>
      <c r="E146" s="8"/>
      <c r="F146" s="8"/>
      <c r="G146" s="11"/>
      <c r="H146" s="11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</row>
    <row r="147" spans="2:21">
      <c r="B147" s="44"/>
      <c r="D147" s="8"/>
      <c r="E147" s="8"/>
      <c r="F147" s="8"/>
      <c r="G147" s="11"/>
      <c r="H147" s="11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</row>
    <row r="148" spans="2:21">
      <c r="B148" s="44"/>
      <c r="D148" s="8"/>
      <c r="E148" s="8"/>
      <c r="F148" s="8"/>
      <c r="G148" s="11"/>
      <c r="H148" s="11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</row>
    <row r="149" spans="2:21">
      <c r="B149" s="44"/>
      <c r="D149" s="8"/>
      <c r="E149" s="8"/>
      <c r="F149" s="8"/>
      <c r="G149" s="11"/>
      <c r="H149" s="11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</row>
    <row r="150" spans="2:21">
      <c r="B150" s="44"/>
      <c r="D150" s="8"/>
      <c r="E150" s="8"/>
      <c r="F150" s="8"/>
      <c r="G150" s="11"/>
      <c r="H150" s="11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</row>
    <row r="151" spans="2:21">
      <c r="B151" s="44"/>
      <c r="D151" s="8"/>
      <c r="E151" s="8"/>
      <c r="F151" s="8"/>
      <c r="G151" s="11"/>
      <c r="H151" s="11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</row>
    <row r="152" spans="2:21">
      <c r="B152" s="44"/>
      <c r="D152" s="8"/>
      <c r="E152" s="8"/>
      <c r="F152" s="8"/>
      <c r="G152" s="11"/>
      <c r="H152" s="11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</row>
    <row r="153" spans="2:21">
      <c r="B153" s="44"/>
      <c r="D153" s="8"/>
      <c r="E153" s="8"/>
      <c r="F153" s="8"/>
      <c r="G153" s="11"/>
      <c r="H153" s="11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</row>
    <row r="154" spans="2:21">
      <c r="B154" s="44"/>
      <c r="D154" s="8"/>
      <c r="E154" s="8"/>
      <c r="F154" s="8"/>
      <c r="G154" s="11"/>
      <c r="H154" s="11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</row>
    <row r="155" spans="2:21">
      <c r="B155" s="44"/>
      <c r="D155" s="8"/>
      <c r="E155" s="8"/>
      <c r="F155" s="8"/>
      <c r="G155" s="11"/>
      <c r="H155" s="11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</row>
    <row r="156" spans="2:21">
      <c r="B156" s="44"/>
      <c r="D156" s="8"/>
      <c r="E156" s="8"/>
      <c r="F156" s="8"/>
      <c r="G156" s="11"/>
      <c r="H156" s="11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</row>
    <row r="157" spans="2:21">
      <c r="B157" s="44"/>
      <c r="D157" s="8"/>
      <c r="E157" s="8"/>
      <c r="F157" s="8"/>
      <c r="G157" s="11"/>
      <c r="H157" s="11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</row>
    <row r="158" spans="2:21">
      <c r="B158" s="44"/>
      <c r="D158" s="8"/>
      <c r="E158" s="8"/>
      <c r="F158" s="8"/>
      <c r="G158" s="11"/>
      <c r="H158" s="11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</row>
    <row r="159" spans="2:21">
      <c r="B159" s="44"/>
      <c r="D159" s="8"/>
      <c r="E159" s="8"/>
      <c r="F159" s="8"/>
      <c r="G159" s="11"/>
      <c r="H159" s="11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</row>
    <row r="160" spans="2:21">
      <c r="B160" s="44"/>
      <c r="D160" s="8"/>
      <c r="E160" s="8"/>
      <c r="F160" s="8"/>
      <c r="G160" s="11"/>
      <c r="H160" s="11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</row>
    <row r="161" spans="2:21">
      <c r="B161" s="44"/>
      <c r="D161" s="8"/>
      <c r="E161" s="8"/>
      <c r="F161" s="8"/>
      <c r="G161" s="11"/>
      <c r="H161" s="11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</row>
    <row r="162" spans="2:21">
      <c r="B162" s="44"/>
      <c r="D162" s="8"/>
      <c r="E162" s="8"/>
      <c r="F162" s="8"/>
      <c r="G162" s="11"/>
      <c r="H162" s="11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</row>
    <row r="163" spans="2:21">
      <c r="B163" s="44"/>
      <c r="D163" s="8"/>
      <c r="E163" s="8"/>
      <c r="F163" s="8"/>
      <c r="G163" s="11"/>
      <c r="H163" s="11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</row>
    <row r="164" spans="2:21">
      <c r="B164" s="44"/>
      <c r="D164" s="8"/>
      <c r="E164" s="8"/>
      <c r="F164" s="8"/>
      <c r="G164" s="11"/>
      <c r="H164" s="11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</row>
    <row r="165" spans="2:21">
      <c r="B165" s="44"/>
      <c r="D165" s="8"/>
      <c r="E165" s="8"/>
      <c r="F165" s="8"/>
      <c r="G165" s="11"/>
      <c r="H165" s="11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</row>
    <row r="166" spans="2:21">
      <c r="B166" s="44"/>
      <c r="D166" s="8"/>
      <c r="E166" s="8"/>
      <c r="F166" s="8"/>
      <c r="G166" s="11"/>
      <c r="H166" s="11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</row>
    <row r="167" spans="2:21">
      <c r="B167" s="44"/>
      <c r="D167" s="8"/>
      <c r="E167" s="8"/>
      <c r="F167" s="8"/>
      <c r="G167" s="11"/>
      <c r="H167" s="11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</row>
    <row r="168" spans="2:21">
      <c r="B168" s="44"/>
      <c r="D168" s="8"/>
      <c r="E168" s="8"/>
      <c r="F168" s="8"/>
      <c r="G168" s="11"/>
      <c r="H168" s="11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</row>
    <row r="169" spans="2:21">
      <c r="B169" s="44"/>
      <c r="D169" s="8"/>
      <c r="E169" s="8"/>
      <c r="F169" s="8"/>
      <c r="G169" s="11"/>
      <c r="H169" s="11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</row>
    <row r="170" spans="2:21">
      <c r="B170" s="44"/>
      <c r="D170" s="8"/>
      <c r="E170" s="8"/>
      <c r="F170" s="8"/>
      <c r="G170" s="11"/>
      <c r="H170" s="11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</row>
    <row r="171" spans="2:21">
      <c r="B171" s="44"/>
      <c r="D171" s="8"/>
      <c r="E171" s="8"/>
      <c r="F171" s="8"/>
      <c r="G171" s="11"/>
      <c r="H171" s="11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</row>
    <row r="172" spans="2:21">
      <c r="B172" s="44"/>
      <c r="D172" s="8"/>
      <c r="E172" s="8"/>
      <c r="F172" s="8"/>
      <c r="G172" s="11"/>
      <c r="H172" s="11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</row>
    <row r="173" spans="2:21">
      <c r="B173" s="44"/>
      <c r="D173" s="8"/>
      <c r="E173" s="8"/>
      <c r="F173" s="8"/>
      <c r="G173" s="11"/>
      <c r="H173" s="11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</row>
    <row r="174" spans="2:21">
      <c r="B174" s="44"/>
      <c r="D174" s="8"/>
      <c r="E174" s="8"/>
      <c r="F174" s="8"/>
      <c r="G174" s="11"/>
      <c r="H174" s="11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</row>
    <row r="175" spans="2:21">
      <c r="B175" s="44"/>
      <c r="D175" s="8"/>
      <c r="E175" s="8"/>
      <c r="F175" s="8"/>
      <c r="G175" s="11"/>
      <c r="H175" s="11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</row>
    <row r="176" spans="2:21">
      <c r="B176" s="44"/>
      <c r="D176" s="8"/>
      <c r="E176" s="8"/>
      <c r="F176" s="8"/>
      <c r="G176" s="11"/>
      <c r="H176" s="11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</row>
    <row r="177" spans="2:21">
      <c r="B177" s="44"/>
      <c r="D177" s="8"/>
      <c r="E177" s="8"/>
      <c r="F177" s="8"/>
      <c r="G177" s="11"/>
      <c r="H177" s="11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</row>
    <row r="178" spans="2:21">
      <c r="B178" s="44"/>
      <c r="D178" s="8"/>
      <c r="E178" s="8"/>
      <c r="F178" s="8"/>
      <c r="G178" s="11"/>
      <c r="H178" s="11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</row>
    <row r="179" spans="2:21">
      <c r="B179" s="44"/>
      <c r="D179" s="8"/>
      <c r="E179" s="8"/>
      <c r="F179" s="8"/>
      <c r="G179" s="11"/>
      <c r="H179" s="11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</row>
    <row r="180" spans="2:21">
      <c r="B180" s="44"/>
      <c r="D180" s="8"/>
      <c r="E180" s="8"/>
      <c r="F180" s="8"/>
      <c r="G180" s="11"/>
      <c r="H180" s="11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</row>
    <row r="181" spans="2:21">
      <c r="B181" s="44"/>
      <c r="D181" s="8"/>
      <c r="E181" s="8"/>
      <c r="F181" s="8"/>
      <c r="G181" s="11"/>
      <c r="H181" s="11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</row>
    <row r="182" spans="2:21">
      <c r="B182" s="44"/>
      <c r="D182" s="8"/>
      <c r="E182" s="8"/>
      <c r="F182" s="8"/>
      <c r="G182" s="11"/>
      <c r="H182" s="11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</row>
    <row r="183" spans="2:21">
      <c r="B183" s="44"/>
      <c r="D183" s="8"/>
      <c r="E183" s="8"/>
      <c r="F183" s="8"/>
      <c r="G183" s="11"/>
      <c r="H183" s="11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</row>
    <row r="184" spans="2:21">
      <c r="B184" s="44"/>
      <c r="D184" s="8"/>
      <c r="E184" s="8"/>
      <c r="F184" s="8"/>
      <c r="G184" s="11"/>
      <c r="H184" s="11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</row>
    <row r="185" spans="2:21">
      <c r="B185" s="44"/>
      <c r="D185" s="8"/>
      <c r="E185" s="8"/>
      <c r="F185" s="8"/>
      <c r="G185" s="11"/>
      <c r="H185" s="11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</row>
    <row r="186" spans="2:21">
      <c r="B186" s="44"/>
      <c r="D186" s="8"/>
      <c r="E186" s="8"/>
      <c r="F186" s="8"/>
      <c r="G186" s="11"/>
      <c r="H186" s="11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</row>
    <row r="187" spans="2:21">
      <c r="B187" s="44"/>
      <c r="D187" s="8"/>
      <c r="E187" s="8"/>
      <c r="F187" s="8"/>
      <c r="G187" s="11"/>
      <c r="H187" s="11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</row>
    <row r="188" spans="2:21">
      <c r="B188" s="44"/>
      <c r="D188" s="8"/>
      <c r="E188" s="8"/>
      <c r="F188" s="8"/>
      <c r="G188" s="11"/>
      <c r="H188" s="11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</row>
    <row r="189" spans="2:21">
      <c r="B189" s="44"/>
      <c r="D189" s="8"/>
      <c r="E189" s="8"/>
      <c r="F189" s="8"/>
      <c r="G189" s="11"/>
      <c r="H189" s="11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</row>
    <row r="190" spans="2:21">
      <c r="B190" s="44"/>
      <c r="D190" s="8"/>
      <c r="E190" s="8"/>
      <c r="F190" s="8"/>
      <c r="G190" s="11"/>
      <c r="H190" s="11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</row>
    <row r="191" spans="2:21">
      <c r="B191" s="44"/>
      <c r="D191" s="8"/>
      <c r="E191" s="8"/>
      <c r="F191" s="8"/>
      <c r="G191" s="11"/>
      <c r="H191" s="11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</row>
    <row r="192" spans="2:21">
      <c r="B192" s="44"/>
      <c r="D192" s="8"/>
      <c r="E192" s="8"/>
      <c r="F192" s="8"/>
      <c r="G192" s="11"/>
      <c r="H192" s="11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</row>
    <row r="193" spans="2:21">
      <c r="B193" s="44"/>
      <c r="D193" s="8"/>
      <c r="E193" s="8"/>
      <c r="F193" s="8"/>
      <c r="G193" s="11"/>
      <c r="H193" s="11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</row>
    <row r="194" spans="2:21">
      <c r="B194" s="44"/>
      <c r="D194" s="8"/>
      <c r="E194" s="8"/>
      <c r="F194" s="8"/>
      <c r="G194" s="11"/>
      <c r="H194" s="11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</row>
    <row r="195" spans="2:21">
      <c r="B195" s="44"/>
      <c r="D195" s="8"/>
      <c r="E195" s="8"/>
      <c r="F195" s="8"/>
      <c r="G195" s="11"/>
      <c r="H195" s="11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</row>
    <row r="196" spans="2:21">
      <c r="B196" s="44"/>
      <c r="D196" s="8"/>
      <c r="E196" s="8"/>
      <c r="F196" s="8"/>
      <c r="G196" s="11"/>
      <c r="H196" s="11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</row>
    <row r="197" spans="2:21">
      <c r="B197" s="44"/>
      <c r="D197" s="8"/>
      <c r="E197" s="8"/>
      <c r="F197" s="8"/>
      <c r="G197" s="11"/>
      <c r="H197" s="11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</row>
    <row r="198" spans="2:21">
      <c r="B198" s="44"/>
      <c r="D198" s="8"/>
      <c r="E198" s="8"/>
      <c r="F198" s="8"/>
      <c r="G198" s="11"/>
      <c r="H198" s="11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</row>
    <row r="199" spans="2:21">
      <c r="B199" s="44"/>
      <c r="D199" s="8"/>
      <c r="E199" s="8"/>
      <c r="F199" s="8"/>
      <c r="G199" s="11"/>
      <c r="H199" s="11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</row>
    <row r="200" spans="2:21">
      <c r="B200" s="44"/>
      <c r="D200" s="8"/>
      <c r="E200" s="8"/>
      <c r="F200" s="8"/>
      <c r="G200" s="11"/>
      <c r="H200" s="11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</row>
    <row r="201" spans="2:21">
      <c r="B201" s="44"/>
      <c r="D201" s="8"/>
      <c r="E201" s="8"/>
      <c r="F201" s="8"/>
      <c r="G201" s="11"/>
      <c r="H201" s="11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</row>
    <row r="202" spans="2:21">
      <c r="B202" s="44"/>
      <c r="D202" s="8"/>
      <c r="E202" s="8"/>
      <c r="F202" s="8"/>
      <c r="G202" s="11"/>
      <c r="H202" s="11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</row>
    <row r="203" spans="2:21">
      <c r="B203" s="44"/>
      <c r="D203" s="8"/>
      <c r="E203" s="8"/>
      <c r="F203" s="8"/>
      <c r="G203" s="11"/>
      <c r="H203" s="11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</row>
    <row r="204" spans="2:21">
      <c r="B204" s="44"/>
      <c r="D204" s="8"/>
      <c r="E204" s="8"/>
      <c r="F204" s="8"/>
      <c r="G204" s="11"/>
      <c r="H204" s="11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</row>
    <row r="205" spans="2:21">
      <c r="B205" s="44"/>
      <c r="D205" s="8"/>
      <c r="E205" s="8"/>
      <c r="F205" s="8"/>
      <c r="G205" s="11"/>
      <c r="H205" s="11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</row>
    <row r="206" spans="2:21">
      <c r="B206" s="44"/>
      <c r="D206" s="8"/>
      <c r="E206" s="8"/>
      <c r="F206" s="8"/>
      <c r="G206" s="11"/>
      <c r="H206" s="11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</row>
    <row r="207" spans="2:21">
      <c r="B207" s="44"/>
      <c r="D207" s="8"/>
      <c r="E207" s="8"/>
      <c r="F207" s="8"/>
      <c r="G207" s="11"/>
      <c r="H207" s="11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</row>
    <row r="208" spans="2:21">
      <c r="B208" s="44"/>
      <c r="D208" s="8"/>
      <c r="E208" s="8"/>
      <c r="F208" s="8"/>
      <c r="G208" s="11"/>
      <c r="H208" s="11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</row>
    <row r="209" spans="2:21">
      <c r="B209" s="44"/>
      <c r="D209" s="8"/>
      <c r="E209" s="8"/>
      <c r="F209" s="8"/>
      <c r="G209" s="11"/>
      <c r="H209" s="11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</row>
    <row r="210" spans="2:21">
      <c r="B210" s="44"/>
      <c r="D210" s="8"/>
      <c r="E210" s="8"/>
      <c r="F210" s="8"/>
      <c r="G210" s="11"/>
      <c r="H210" s="11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</row>
    <row r="211" spans="2:21">
      <c r="B211" s="44"/>
      <c r="D211" s="8"/>
      <c r="E211" s="8"/>
      <c r="F211" s="8"/>
      <c r="G211" s="11"/>
      <c r="H211" s="11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</row>
    <row r="212" spans="2:21">
      <c r="B212" s="44"/>
      <c r="D212" s="8"/>
      <c r="E212" s="8"/>
      <c r="F212" s="8"/>
      <c r="G212" s="11"/>
      <c r="H212" s="11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</row>
    <row r="213" spans="2:21">
      <c r="B213" s="44"/>
      <c r="D213" s="8"/>
      <c r="E213" s="8"/>
      <c r="F213" s="8"/>
      <c r="G213" s="11"/>
      <c r="H213" s="11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</row>
    <row r="214" spans="2:21">
      <c r="B214" s="44"/>
      <c r="D214" s="8"/>
      <c r="E214" s="8"/>
      <c r="F214" s="8"/>
      <c r="G214" s="11"/>
      <c r="H214" s="11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</row>
    <row r="215" spans="2:21">
      <c r="B215" s="44"/>
      <c r="D215" s="8"/>
      <c r="E215" s="8"/>
      <c r="F215" s="8"/>
      <c r="G215" s="11"/>
      <c r="H215" s="11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</row>
    <row r="216" spans="2:21">
      <c r="B216" s="44"/>
      <c r="D216" s="8"/>
      <c r="E216" s="8"/>
      <c r="F216" s="8"/>
      <c r="G216" s="11"/>
      <c r="H216" s="11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</row>
    <row r="217" spans="2:21">
      <c r="B217" s="44"/>
      <c r="D217" s="8"/>
      <c r="E217" s="8"/>
      <c r="F217" s="8"/>
      <c r="G217" s="11"/>
      <c r="H217" s="11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</row>
    <row r="218" spans="2:21">
      <c r="B218" s="44"/>
      <c r="D218" s="8"/>
      <c r="E218" s="8"/>
      <c r="F218" s="8"/>
      <c r="G218" s="11"/>
      <c r="H218" s="11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</row>
    <row r="219" spans="2:21">
      <c r="B219" s="44"/>
      <c r="D219" s="8"/>
      <c r="E219" s="8"/>
      <c r="F219" s="8"/>
      <c r="G219" s="11"/>
      <c r="H219" s="11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</row>
    <row r="220" spans="2:21">
      <c r="B220" s="44"/>
      <c r="D220" s="8"/>
      <c r="E220" s="8"/>
      <c r="F220" s="8"/>
      <c r="G220" s="11"/>
      <c r="H220" s="11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</row>
    <row r="221" spans="2:21">
      <c r="B221" s="44"/>
      <c r="D221" s="8"/>
      <c r="E221" s="8"/>
      <c r="F221" s="8"/>
      <c r="G221" s="11"/>
      <c r="H221" s="11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</row>
    <row r="222" spans="2:21">
      <c r="B222" s="44"/>
      <c r="D222" s="8"/>
      <c r="E222" s="8"/>
      <c r="F222" s="8"/>
      <c r="G222" s="11"/>
      <c r="H222" s="11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</row>
    <row r="223" spans="2:21">
      <c r="B223" s="44"/>
      <c r="D223" s="8"/>
      <c r="E223" s="8"/>
      <c r="F223" s="8"/>
      <c r="G223" s="11"/>
      <c r="H223" s="11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</row>
    <row r="224" spans="2:21">
      <c r="B224" s="44"/>
      <c r="D224" s="8"/>
      <c r="E224" s="8"/>
      <c r="F224" s="8"/>
      <c r="G224" s="11"/>
      <c r="H224" s="11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</row>
    <row r="225" spans="2:21">
      <c r="B225" s="44"/>
      <c r="D225" s="8"/>
      <c r="E225" s="8"/>
      <c r="F225" s="8"/>
      <c r="G225" s="11"/>
      <c r="H225" s="11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</row>
    <row r="226" spans="2:21">
      <c r="B226" s="44"/>
      <c r="D226" s="8"/>
      <c r="E226" s="8"/>
      <c r="F226" s="8"/>
      <c r="G226" s="11"/>
      <c r="H226" s="11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</row>
    <row r="227" spans="2:21">
      <c r="B227" s="44"/>
      <c r="D227" s="8"/>
      <c r="E227" s="8"/>
      <c r="F227" s="8"/>
      <c r="G227" s="11"/>
      <c r="H227" s="11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</row>
    <row r="228" spans="2:21">
      <c r="B228" s="44"/>
      <c r="D228" s="8"/>
      <c r="E228" s="8"/>
      <c r="F228" s="8"/>
      <c r="G228" s="11"/>
      <c r="H228" s="11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</row>
    <row r="229" spans="2:21">
      <c r="B229" s="44"/>
      <c r="D229" s="8"/>
      <c r="E229" s="8"/>
      <c r="F229" s="8"/>
    </row>
    <row r="230" spans="2:21">
      <c r="B230" s="44"/>
      <c r="D230" s="8"/>
      <c r="E230" s="8"/>
      <c r="F230" s="8"/>
    </row>
    <row r="231" spans="2:21">
      <c r="B231" s="44"/>
      <c r="D231" s="8"/>
      <c r="E231" s="8"/>
      <c r="F231" s="8"/>
    </row>
    <row r="232" spans="2:21">
      <c r="B232" s="44"/>
      <c r="D232" s="8"/>
      <c r="E232" s="8"/>
      <c r="F232" s="8"/>
    </row>
    <row r="233" spans="2:21">
      <c r="B233" s="44"/>
      <c r="D233" s="8"/>
      <c r="E233" s="8"/>
      <c r="F233" s="8"/>
    </row>
    <row r="234" spans="2:21">
      <c r="B234" s="44"/>
      <c r="D234" s="8"/>
      <c r="E234" s="8"/>
      <c r="F234" s="8"/>
    </row>
    <row r="235" spans="2:21">
      <c r="B235" s="44"/>
      <c r="D235" s="8"/>
      <c r="E235" s="8"/>
      <c r="F235" s="8"/>
    </row>
    <row r="236" spans="2:21">
      <c r="B236" s="44"/>
      <c r="D236" s="8"/>
      <c r="E236" s="8"/>
      <c r="F236" s="8"/>
    </row>
    <row r="237" spans="2:21">
      <c r="B237" s="44"/>
      <c r="D237" s="8"/>
      <c r="E237" s="8"/>
      <c r="F237" s="8"/>
    </row>
    <row r="238" spans="2:21">
      <c r="B238" s="44"/>
      <c r="D238" s="8"/>
      <c r="E238" s="8"/>
      <c r="F238" s="8"/>
    </row>
    <row r="239" spans="2:21">
      <c r="B239" s="44"/>
      <c r="D239" s="8"/>
      <c r="E239" s="8"/>
      <c r="F239" s="8"/>
    </row>
    <row r="240" spans="2:21">
      <c r="B240" s="44"/>
      <c r="D240" s="8"/>
      <c r="E240" s="8"/>
      <c r="F240" s="8"/>
    </row>
    <row r="241" spans="2:6">
      <c r="B241" s="44"/>
      <c r="D241" s="8"/>
      <c r="E241" s="8"/>
      <c r="F241" s="8"/>
    </row>
    <row r="242" spans="2:6">
      <c r="B242" s="44"/>
      <c r="D242" s="8"/>
      <c r="E242" s="8"/>
      <c r="F242" s="8"/>
    </row>
    <row r="243" spans="2:6">
      <c r="B243" s="44"/>
      <c r="D243" s="8"/>
      <c r="E243" s="8"/>
      <c r="F243" s="8"/>
    </row>
    <row r="244" spans="2:6">
      <c r="B244" s="44"/>
      <c r="D244" s="8"/>
      <c r="E244" s="8"/>
      <c r="F244" s="8"/>
    </row>
    <row r="245" spans="2:6">
      <c r="B245" s="44"/>
      <c r="D245" s="8"/>
      <c r="E245" s="8"/>
      <c r="F245" s="8"/>
    </row>
    <row r="246" spans="2:6">
      <c r="B246" s="44"/>
      <c r="D246" s="8"/>
      <c r="E246" s="8"/>
      <c r="F246" s="8"/>
    </row>
    <row r="247" spans="2:6">
      <c r="B247" s="44"/>
      <c r="D247" s="8"/>
      <c r="E247" s="8"/>
      <c r="F247" s="8"/>
    </row>
    <row r="248" spans="2:6">
      <c r="B248" s="44"/>
      <c r="D248" s="8"/>
      <c r="E248" s="8"/>
      <c r="F248" s="8"/>
    </row>
    <row r="249" spans="2:6">
      <c r="B249" s="44"/>
      <c r="D249" s="8"/>
      <c r="E249" s="8"/>
      <c r="F249" s="8"/>
    </row>
    <row r="250" spans="2:6">
      <c r="B250" s="44"/>
      <c r="D250" s="8"/>
      <c r="E250" s="8"/>
      <c r="F250" s="8"/>
    </row>
    <row r="251" spans="2:6">
      <c r="B251" s="44"/>
      <c r="D251" s="8"/>
      <c r="E251" s="8"/>
      <c r="F251" s="8"/>
    </row>
    <row r="252" spans="2:6">
      <c r="B252" s="44"/>
      <c r="D252" s="8"/>
      <c r="E252" s="8"/>
      <c r="F252" s="8"/>
    </row>
    <row r="253" spans="2:6">
      <c r="B253" s="44"/>
      <c r="D253" s="8"/>
      <c r="E253" s="8"/>
      <c r="F253" s="8"/>
    </row>
    <row r="254" spans="2:6">
      <c r="B254" s="44"/>
      <c r="D254" s="8"/>
      <c r="E254" s="8"/>
      <c r="F254" s="8"/>
    </row>
    <row r="255" spans="2:6">
      <c r="B255" s="44"/>
      <c r="D255" s="8"/>
      <c r="E255" s="8"/>
      <c r="F255" s="8"/>
    </row>
    <row r="256" spans="2:6">
      <c r="B256" s="44"/>
      <c r="D256" s="8"/>
      <c r="E256" s="8"/>
      <c r="F256" s="8"/>
    </row>
    <row r="257" spans="2:6">
      <c r="B257" s="44"/>
      <c r="D257" s="8"/>
      <c r="E257" s="8"/>
      <c r="F257" s="8"/>
    </row>
    <row r="258" spans="2:6">
      <c r="B258" s="44"/>
      <c r="D258" s="8"/>
      <c r="E258" s="8"/>
      <c r="F258" s="8"/>
    </row>
    <row r="259" spans="2:6">
      <c r="B259" s="44"/>
      <c r="D259" s="8"/>
      <c r="E259" s="8"/>
      <c r="F259" s="8"/>
    </row>
    <row r="260" spans="2:6">
      <c r="B260" s="44"/>
      <c r="D260" s="8"/>
      <c r="E260" s="8"/>
      <c r="F260" s="8"/>
    </row>
    <row r="261" spans="2:6">
      <c r="B261" s="44"/>
      <c r="D261" s="8"/>
      <c r="E261" s="8"/>
      <c r="F261" s="8"/>
    </row>
    <row r="262" spans="2:6">
      <c r="B262" s="44"/>
      <c r="D262" s="8"/>
      <c r="E262" s="8"/>
      <c r="F262" s="8"/>
    </row>
    <row r="263" spans="2:6">
      <c r="B263" s="44"/>
      <c r="D263" s="8"/>
      <c r="E263" s="8"/>
      <c r="F263" s="8"/>
    </row>
    <row r="264" spans="2:6">
      <c r="B264" s="44"/>
      <c r="D264" s="8"/>
      <c r="E264" s="8"/>
      <c r="F264" s="8"/>
    </row>
    <row r="265" spans="2:6">
      <c r="B265" s="44"/>
      <c r="D265" s="8"/>
      <c r="E265" s="8"/>
      <c r="F265" s="8"/>
    </row>
    <row r="266" spans="2:6">
      <c r="B266" s="44"/>
      <c r="D266" s="8"/>
      <c r="E266" s="8"/>
      <c r="F266" s="8"/>
    </row>
    <row r="267" spans="2:6">
      <c r="B267" s="44"/>
      <c r="D267" s="8"/>
      <c r="E267" s="8"/>
      <c r="F267" s="8"/>
    </row>
    <row r="268" spans="2:6">
      <c r="B268" s="44"/>
      <c r="D268" s="8"/>
      <c r="E268" s="8"/>
      <c r="F268" s="8"/>
    </row>
    <row r="269" spans="2:6">
      <c r="B269" s="44"/>
      <c r="D269" s="8"/>
      <c r="E269" s="8"/>
      <c r="F269" s="8"/>
    </row>
    <row r="270" spans="2:6">
      <c r="B270" s="44"/>
      <c r="D270" s="8"/>
      <c r="E270" s="8"/>
      <c r="F270" s="8"/>
    </row>
    <row r="271" spans="2:6">
      <c r="B271" s="44"/>
      <c r="D271" s="8"/>
      <c r="E271" s="8"/>
      <c r="F271" s="8"/>
    </row>
    <row r="272" spans="2:6">
      <c r="B272" s="44"/>
      <c r="D272" s="8"/>
      <c r="E272" s="8"/>
      <c r="F272" s="8"/>
    </row>
    <row r="273" spans="2:6">
      <c r="B273" s="44"/>
      <c r="D273" s="8"/>
      <c r="E273" s="8"/>
      <c r="F273" s="8"/>
    </row>
    <row r="274" spans="2:6">
      <c r="B274" s="44"/>
      <c r="D274" s="8"/>
      <c r="E274" s="8"/>
      <c r="F274" s="8"/>
    </row>
    <row r="275" spans="2:6">
      <c r="B275" s="44"/>
      <c r="D275" s="8"/>
      <c r="E275" s="8"/>
      <c r="F275" s="8"/>
    </row>
    <row r="276" spans="2:6">
      <c r="B276" s="44"/>
      <c r="D276" s="8"/>
      <c r="E276" s="8"/>
      <c r="F276" s="8"/>
    </row>
    <row r="277" spans="2:6">
      <c r="B277" s="44"/>
      <c r="D277" s="8"/>
      <c r="E277" s="8"/>
      <c r="F277" s="8"/>
    </row>
    <row r="278" spans="2:6">
      <c r="B278" s="44"/>
      <c r="D278" s="8"/>
      <c r="E278" s="8"/>
      <c r="F278" s="8"/>
    </row>
    <row r="279" spans="2:6">
      <c r="B279" s="44"/>
      <c r="D279" s="8"/>
      <c r="E279" s="8"/>
      <c r="F279" s="8"/>
    </row>
    <row r="280" spans="2:6">
      <c r="B280" s="44"/>
      <c r="D280" s="8"/>
      <c r="E280" s="8"/>
      <c r="F280" s="8"/>
    </row>
    <row r="281" spans="2:6">
      <c r="B281" s="44"/>
      <c r="D281" s="8"/>
      <c r="E281" s="8"/>
      <c r="F281" s="8"/>
    </row>
    <row r="282" spans="2:6">
      <c r="B282" s="44"/>
      <c r="D282" s="8"/>
      <c r="E282" s="8"/>
      <c r="F282" s="8"/>
    </row>
    <row r="283" spans="2:6">
      <c r="B283" s="44"/>
      <c r="D283" s="8"/>
      <c r="E283" s="8"/>
      <c r="F283" s="8"/>
    </row>
    <row r="284" spans="2:6">
      <c r="B284" s="44"/>
      <c r="D284" s="8"/>
      <c r="E284" s="8"/>
      <c r="F284" s="8"/>
    </row>
    <row r="285" spans="2:6">
      <c r="B285" s="44"/>
      <c r="D285" s="8"/>
      <c r="E285" s="8"/>
      <c r="F285" s="8"/>
    </row>
    <row r="286" spans="2:6">
      <c r="B286" s="44"/>
      <c r="D286" s="8"/>
      <c r="E286" s="8"/>
      <c r="F286" s="8"/>
    </row>
    <row r="287" spans="2:6">
      <c r="B287" s="44"/>
      <c r="D287" s="8"/>
      <c r="E287" s="8"/>
      <c r="F287" s="8"/>
    </row>
    <row r="288" spans="2:6">
      <c r="B288" s="44"/>
      <c r="D288" s="8"/>
      <c r="E288" s="8"/>
      <c r="F288" s="8"/>
    </row>
    <row r="289" spans="2:6">
      <c r="B289" s="44"/>
      <c r="D289" s="8"/>
      <c r="E289" s="8"/>
      <c r="F289" s="8"/>
    </row>
    <row r="290" spans="2:6">
      <c r="B290" s="44"/>
      <c r="D290" s="8"/>
      <c r="E290" s="8"/>
      <c r="F290" s="8"/>
    </row>
    <row r="291" spans="2:6">
      <c r="B291" s="44"/>
      <c r="D291" s="8"/>
      <c r="E291" s="8"/>
      <c r="F291" s="8"/>
    </row>
    <row r="292" spans="2:6">
      <c r="B292" s="44"/>
      <c r="D292" s="8"/>
      <c r="E292" s="8"/>
      <c r="F292" s="8"/>
    </row>
    <row r="293" spans="2:6">
      <c r="B293" s="44"/>
      <c r="D293" s="8"/>
      <c r="E293" s="8"/>
      <c r="F293" s="8"/>
    </row>
    <row r="294" spans="2:6">
      <c r="B294" s="44"/>
      <c r="D294" s="8"/>
      <c r="E294" s="8"/>
      <c r="F294" s="8"/>
    </row>
    <row r="295" spans="2:6">
      <c r="B295" s="44"/>
      <c r="D295" s="8"/>
      <c r="E295" s="8"/>
      <c r="F295" s="8"/>
    </row>
    <row r="296" spans="2:6">
      <c r="B296" s="44"/>
      <c r="D296" s="8"/>
      <c r="E296" s="8"/>
      <c r="F296" s="8"/>
    </row>
    <row r="297" spans="2:6">
      <c r="B297" s="44"/>
      <c r="D297" s="8"/>
      <c r="E297" s="8"/>
      <c r="F297" s="8"/>
    </row>
    <row r="298" spans="2:6">
      <c r="B298" s="44"/>
      <c r="D298" s="8"/>
      <c r="E298" s="8"/>
      <c r="F298" s="8"/>
    </row>
    <row r="299" spans="2:6">
      <c r="B299" s="44"/>
      <c r="D299" s="8"/>
      <c r="E299" s="8"/>
      <c r="F299" s="8"/>
    </row>
    <row r="300" spans="2:6">
      <c r="B300" s="44"/>
      <c r="D300" s="8"/>
      <c r="E300" s="8"/>
      <c r="F300" s="8"/>
    </row>
    <row r="301" spans="2:6">
      <c r="B301" s="44"/>
      <c r="D301" s="8"/>
      <c r="E301" s="8"/>
      <c r="F301" s="8"/>
    </row>
    <row r="302" spans="2:6">
      <c r="B302" s="44"/>
      <c r="D302" s="8"/>
      <c r="E302" s="8"/>
      <c r="F302" s="8"/>
    </row>
    <row r="303" spans="2:6">
      <c r="B303" s="44"/>
      <c r="D303" s="8"/>
      <c r="E303" s="8"/>
      <c r="F303" s="8"/>
    </row>
    <row r="304" spans="2:6">
      <c r="B304" s="44"/>
      <c r="D304" s="8"/>
      <c r="E304" s="8"/>
      <c r="F304" s="8"/>
    </row>
    <row r="305" spans="2:6">
      <c r="B305" s="44"/>
      <c r="D305" s="8"/>
      <c r="E305" s="8"/>
      <c r="F305" s="8"/>
    </row>
    <row r="306" spans="2:6">
      <c r="B306" s="44"/>
      <c r="D306" s="8"/>
      <c r="E306" s="8"/>
      <c r="F306" s="8"/>
    </row>
    <row r="307" spans="2:6">
      <c r="B307" s="44"/>
      <c r="D307" s="8"/>
      <c r="E307" s="8"/>
      <c r="F307" s="8"/>
    </row>
    <row r="308" spans="2:6">
      <c r="B308" s="44"/>
      <c r="D308" s="8"/>
      <c r="E308" s="8"/>
      <c r="F308" s="8"/>
    </row>
    <row r="309" spans="2:6">
      <c r="B309" s="44"/>
      <c r="D309" s="8"/>
      <c r="E309" s="8"/>
      <c r="F309" s="8"/>
    </row>
    <row r="310" spans="2:6">
      <c r="B310" s="44"/>
      <c r="D310" s="8"/>
      <c r="E310" s="8"/>
      <c r="F310" s="8"/>
    </row>
    <row r="311" spans="2:6">
      <c r="B311" s="44"/>
      <c r="D311" s="8"/>
      <c r="E311" s="8"/>
      <c r="F311" s="8"/>
    </row>
    <row r="312" spans="2:6">
      <c r="B312" s="44"/>
      <c r="D312" s="8"/>
      <c r="E312" s="8"/>
      <c r="F312" s="8"/>
    </row>
    <row r="313" spans="2:6">
      <c r="B313" s="44"/>
      <c r="D313" s="8"/>
      <c r="E313" s="8"/>
      <c r="F313" s="8"/>
    </row>
    <row r="314" spans="2:6">
      <c r="B314" s="44"/>
      <c r="D314" s="8"/>
      <c r="E314" s="8"/>
      <c r="F314" s="8"/>
    </row>
    <row r="315" spans="2:6">
      <c r="B315" s="44"/>
      <c r="D315" s="8"/>
      <c r="E315" s="8"/>
      <c r="F315" s="8"/>
    </row>
    <row r="316" spans="2:6">
      <c r="B316" s="44"/>
      <c r="D316" s="8"/>
      <c r="E316" s="8"/>
      <c r="F316" s="8"/>
    </row>
    <row r="317" spans="2:6">
      <c r="B317" s="44"/>
      <c r="D317" s="8"/>
      <c r="E317" s="8"/>
      <c r="F317" s="8"/>
    </row>
    <row r="318" spans="2:6">
      <c r="B318" s="44"/>
      <c r="D318" s="8"/>
      <c r="E318" s="8"/>
      <c r="F318" s="8"/>
    </row>
    <row r="319" spans="2:6">
      <c r="B319" s="44"/>
      <c r="D319" s="8"/>
      <c r="E319" s="8"/>
      <c r="F319" s="8"/>
    </row>
    <row r="320" spans="2:6">
      <c r="B320" s="44"/>
      <c r="D320" s="8"/>
      <c r="E320" s="8"/>
      <c r="F320" s="8"/>
    </row>
    <row r="321" spans="2:6">
      <c r="B321" s="44"/>
      <c r="D321" s="8"/>
      <c r="E321" s="8"/>
      <c r="F321" s="8"/>
    </row>
    <row r="322" spans="2:6">
      <c r="B322" s="44"/>
      <c r="D322" s="8"/>
      <c r="E322" s="8"/>
      <c r="F322" s="8"/>
    </row>
    <row r="323" spans="2:6">
      <c r="B323" s="44"/>
      <c r="D323" s="8"/>
      <c r="E323" s="8"/>
      <c r="F323" s="8"/>
    </row>
    <row r="324" spans="2:6">
      <c r="B324" s="44"/>
      <c r="D324" s="8"/>
      <c r="E324" s="8"/>
      <c r="F324" s="8"/>
    </row>
    <row r="325" spans="2:6">
      <c r="B325" s="44"/>
      <c r="D325" s="8"/>
      <c r="E325" s="8"/>
      <c r="F325" s="8"/>
    </row>
    <row r="326" spans="2:6">
      <c r="B326" s="44"/>
      <c r="D326" s="8"/>
      <c r="E326" s="8"/>
      <c r="F326" s="8"/>
    </row>
    <row r="327" spans="2:6">
      <c r="B327" s="44"/>
      <c r="D327" s="8"/>
      <c r="E327" s="8"/>
      <c r="F327" s="8"/>
    </row>
    <row r="328" spans="2:6">
      <c r="B328" s="44"/>
      <c r="D328" s="8"/>
      <c r="E328" s="8"/>
      <c r="F328" s="8"/>
    </row>
    <row r="329" spans="2:6">
      <c r="B329" s="44"/>
      <c r="D329" s="8"/>
      <c r="E329" s="8"/>
      <c r="F329" s="8"/>
    </row>
    <row r="330" spans="2:6">
      <c r="B330" s="44"/>
      <c r="D330" s="8"/>
      <c r="E330" s="8"/>
      <c r="F330" s="8"/>
    </row>
    <row r="331" spans="2:6">
      <c r="B331" s="44"/>
      <c r="D331" s="8"/>
      <c r="E331" s="8"/>
      <c r="F331" s="8"/>
    </row>
    <row r="332" spans="2:6">
      <c r="B332" s="44"/>
      <c r="D332" s="8"/>
      <c r="E332" s="8"/>
      <c r="F332" s="8"/>
    </row>
    <row r="333" spans="2:6">
      <c r="B333" s="44"/>
      <c r="D333" s="8"/>
      <c r="E333" s="8"/>
      <c r="F333" s="8"/>
    </row>
    <row r="334" spans="2:6">
      <c r="B334" s="44"/>
      <c r="D334" s="8"/>
      <c r="E334" s="8"/>
      <c r="F334" s="8"/>
    </row>
    <row r="335" spans="2:6">
      <c r="B335" s="44"/>
      <c r="D335" s="8"/>
      <c r="E335" s="8"/>
      <c r="F335" s="8"/>
    </row>
    <row r="336" spans="2:6">
      <c r="B336" s="44"/>
      <c r="D336" s="8"/>
      <c r="E336" s="8"/>
      <c r="F336" s="8"/>
    </row>
    <row r="337" spans="2:6">
      <c r="B337" s="44"/>
      <c r="D337" s="8"/>
      <c r="E337" s="8"/>
      <c r="F337" s="8"/>
    </row>
    <row r="338" spans="2:6">
      <c r="B338" s="44"/>
      <c r="D338" s="8"/>
      <c r="E338" s="8"/>
      <c r="F338" s="8"/>
    </row>
    <row r="339" spans="2:6">
      <c r="B339" s="44"/>
      <c r="D339" s="8"/>
      <c r="E339" s="8"/>
      <c r="F339" s="8"/>
    </row>
    <row r="340" spans="2:6">
      <c r="B340" s="44"/>
      <c r="D340" s="8"/>
      <c r="E340" s="8"/>
      <c r="F340" s="8"/>
    </row>
    <row r="341" spans="2:6">
      <c r="B341" s="44"/>
      <c r="D341" s="8"/>
      <c r="E341" s="8"/>
      <c r="F341" s="8"/>
    </row>
    <row r="342" spans="2:6">
      <c r="B342" s="44"/>
      <c r="D342" s="8"/>
      <c r="E342" s="8"/>
      <c r="F342" s="8"/>
    </row>
    <row r="343" spans="2:6">
      <c r="B343" s="44"/>
      <c r="D343" s="8"/>
      <c r="E343" s="8"/>
      <c r="F343" s="8"/>
    </row>
    <row r="344" spans="2:6">
      <c r="B344" s="44"/>
      <c r="D344" s="8"/>
      <c r="E344" s="8"/>
      <c r="F344" s="8"/>
    </row>
    <row r="345" spans="2:6">
      <c r="B345" s="44"/>
      <c r="D345" s="8"/>
      <c r="E345" s="8"/>
      <c r="F345" s="8"/>
    </row>
    <row r="346" spans="2:6">
      <c r="B346" s="44"/>
      <c r="D346" s="8"/>
      <c r="E346" s="8"/>
      <c r="F346" s="8"/>
    </row>
    <row r="347" spans="2:6">
      <c r="B347" s="44"/>
      <c r="D347" s="8"/>
      <c r="E347" s="8"/>
      <c r="F347" s="8"/>
    </row>
    <row r="348" spans="2:6">
      <c r="B348" s="44"/>
      <c r="D348" s="8"/>
      <c r="E348" s="8"/>
      <c r="F348" s="8"/>
    </row>
    <row r="349" spans="2:6">
      <c r="B349" s="44"/>
      <c r="D349" s="8"/>
      <c r="E349" s="8"/>
      <c r="F349" s="8"/>
    </row>
    <row r="350" spans="2:6">
      <c r="B350" s="44"/>
      <c r="D350" s="8"/>
      <c r="E350" s="8"/>
      <c r="F350" s="8"/>
    </row>
    <row r="351" spans="2:6">
      <c r="B351" s="44"/>
      <c r="D351" s="8"/>
      <c r="E351" s="8"/>
      <c r="F351" s="8"/>
    </row>
    <row r="352" spans="2:6">
      <c r="B352" s="44"/>
      <c r="D352" s="8"/>
      <c r="E352" s="8"/>
      <c r="F352" s="8"/>
    </row>
    <row r="353" spans="2:6">
      <c r="B353" s="44"/>
      <c r="D353" s="8"/>
      <c r="E353" s="8"/>
      <c r="F353" s="8"/>
    </row>
    <row r="354" spans="2:6">
      <c r="B354" s="44"/>
      <c r="D354" s="8"/>
      <c r="E354" s="8"/>
      <c r="F354" s="8"/>
    </row>
    <row r="355" spans="2:6">
      <c r="B355" s="44"/>
      <c r="D355" s="8"/>
      <c r="E355" s="8"/>
      <c r="F355" s="8"/>
    </row>
    <row r="356" spans="2:6">
      <c r="B356" s="44"/>
      <c r="D356" s="8"/>
      <c r="E356" s="8"/>
      <c r="F356" s="8"/>
    </row>
    <row r="357" spans="2:6">
      <c r="B357" s="44"/>
      <c r="D357" s="8"/>
      <c r="E357" s="8"/>
      <c r="F357" s="8"/>
    </row>
    <row r="358" spans="2:6">
      <c r="B358" s="44"/>
      <c r="D358" s="8"/>
      <c r="E358" s="8"/>
      <c r="F358" s="8"/>
    </row>
    <row r="359" spans="2:6">
      <c r="B359" s="44"/>
      <c r="D359" s="8"/>
      <c r="E359" s="8"/>
      <c r="F359" s="8"/>
    </row>
    <row r="360" spans="2:6">
      <c r="B360" s="44"/>
      <c r="D360" s="8"/>
      <c r="E360" s="8"/>
      <c r="F360" s="8"/>
    </row>
    <row r="361" spans="2:6">
      <c r="B361" s="44"/>
      <c r="D361" s="8"/>
      <c r="E361" s="8"/>
      <c r="F361" s="8"/>
    </row>
    <row r="362" spans="2:6">
      <c r="B362" s="44"/>
      <c r="D362" s="8"/>
      <c r="E362" s="8"/>
      <c r="F362" s="8"/>
    </row>
    <row r="363" spans="2:6">
      <c r="B363" s="44"/>
      <c r="D363" s="8"/>
      <c r="E363" s="8"/>
      <c r="F363" s="8"/>
    </row>
    <row r="364" spans="2:6">
      <c r="B364" s="44"/>
      <c r="D364" s="8"/>
      <c r="E364" s="8"/>
      <c r="F364" s="8"/>
    </row>
    <row r="365" spans="2:6">
      <c r="B365" s="44"/>
      <c r="D365" s="8"/>
      <c r="E365" s="8"/>
      <c r="F365" s="8"/>
    </row>
    <row r="366" spans="2:6">
      <c r="B366" s="44"/>
      <c r="D366" s="8"/>
      <c r="E366" s="8"/>
      <c r="F366" s="8"/>
    </row>
    <row r="367" spans="2:6">
      <c r="B367" s="44"/>
      <c r="D367" s="8"/>
      <c r="E367" s="8"/>
      <c r="F367" s="8"/>
    </row>
    <row r="368" spans="2:6">
      <c r="B368" s="44"/>
      <c r="D368" s="8"/>
      <c r="E368" s="8"/>
      <c r="F368" s="8"/>
    </row>
    <row r="369" spans="2:6">
      <c r="B369" s="44"/>
      <c r="D369" s="8"/>
      <c r="E369" s="8"/>
      <c r="F369" s="8"/>
    </row>
    <row r="370" spans="2:6">
      <c r="B370" s="44"/>
      <c r="D370" s="8"/>
      <c r="E370" s="8"/>
      <c r="F370" s="8"/>
    </row>
    <row r="371" spans="2:6">
      <c r="B371" s="44"/>
      <c r="D371" s="8"/>
      <c r="E371" s="8"/>
      <c r="F371" s="8"/>
    </row>
    <row r="372" spans="2:6">
      <c r="B372" s="44"/>
      <c r="D372" s="8"/>
      <c r="E372" s="8"/>
      <c r="F372" s="8"/>
    </row>
    <row r="373" spans="2:6">
      <c r="B373" s="44"/>
      <c r="D373" s="8"/>
      <c r="E373" s="8"/>
      <c r="F373" s="8"/>
    </row>
    <row r="374" spans="2:6">
      <c r="B374" s="44"/>
      <c r="D374" s="8"/>
      <c r="E374" s="8"/>
      <c r="F374" s="8"/>
    </row>
    <row r="375" spans="2:6">
      <c r="B375" s="44"/>
      <c r="D375" s="8"/>
      <c r="E375" s="8"/>
      <c r="F375" s="8"/>
    </row>
    <row r="376" spans="2:6">
      <c r="B376" s="44"/>
      <c r="D376" s="8"/>
      <c r="E376" s="8"/>
      <c r="F376" s="8"/>
    </row>
    <row r="377" spans="2:6">
      <c r="B377" s="44"/>
      <c r="D377" s="8"/>
      <c r="E377" s="8"/>
      <c r="F377" s="8"/>
    </row>
    <row r="378" spans="2:6">
      <c r="B378" s="44"/>
      <c r="D378" s="8"/>
      <c r="E378" s="8"/>
      <c r="F378" s="8"/>
    </row>
    <row r="379" spans="2:6">
      <c r="B379" s="44"/>
      <c r="D379" s="8"/>
      <c r="E379" s="8"/>
      <c r="F379" s="8"/>
    </row>
    <row r="380" spans="2:6">
      <c r="B380" s="44"/>
      <c r="D380" s="8"/>
      <c r="E380" s="8"/>
      <c r="F380" s="8"/>
    </row>
    <row r="381" spans="2:6">
      <c r="B381" s="44"/>
      <c r="D381" s="8"/>
      <c r="E381" s="8"/>
      <c r="F381" s="8"/>
    </row>
    <row r="382" spans="2:6">
      <c r="B382" s="44"/>
      <c r="D382" s="8"/>
      <c r="E382" s="8"/>
      <c r="F382" s="8"/>
    </row>
    <row r="383" spans="2:6">
      <c r="B383" s="44"/>
      <c r="D383" s="8"/>
      <c r="E383" s="8"/>
      <c r="F383" s="8"/>
    </row>
    <row r="384" spans="2:6">
      <c r="B384" s="44"/>
      <c r="D384" s="8"/>
      <c r="E384" s="8"/>
      <c r="F384" s="8"/>
    </row>
    <row r="385" spans="2:6">
      <c r="B385" s="44"/>
      <c r="D385" s="8"/>
      <c r="E385" s="8"/>
      <c r="F385" s="8"/>
    </row>
    <row r="386" spans="2:6">
      <c r="B386" s="44"/>
      <c r="D386" s="8"/>
      <c r="E386" s="8"/>
      <c r="F386" s="8"/>
    </row>
    <row r="387" spans="2:6">
      <c r="B387" s="44"/>
      <c r="D387" s="8"/>
      <c r="E387" s="8"/>
      <c r="F387" s="8"/>
    </row>
    <row r="388" spans="2:6">
      <c r="B388" s="44"/>
      <c r="D388" s="8"/>
      <c r="E388" s="8"/>
      <c r="F388" s="8"/>
    </row>
    <row r="389" spans="2:6">
      <c r="B389" s="44"/>
      <c r="D389" s="8"/>
      <c r="E389" s="8"/>
      <c r="F389" s="8"/>
    </row>
    <row r="390" spans="2:6">
      <c r="B390" s="44"/>
      <c r="D390" s="8"/>
      <c r="E390" s="8"/>
      <c r="F390" s="8"/>
    </row>
    <row r="391" spans="2:6">
      <c r="B391" s="44"/>
      <c r="D391" s="8"/>
      <c r="E391" s="8"/>
      <c r="F391" s="8"/>
    </row>
    <row r="392" spans="2:6">
      <c r="B392" s="44"/>
      <c r="D392" s="8"/>
      <c r="E392" s="8"/>
      <c r="F392" s="8"/>
    </row>
    <row r="393" spans="2:6">
      <c r="B393" s="44"/>
      <c r="D393" s="8"/>
      <c r="E393" s="8"/>
      <c r="F393" s="8"/>
    </row>
    <row r="394" spans="2:6">
      <c r="B394" s="44"/>
      <c r="D394" s="8"/>
      <c r="E394" s="8"/>
      <c r="F394" s="8"/>
    </row>
    <row r="395" spans="2:6">
      <c r="B395" s="44"/>
      <c r="D395" s="8"/>
      <c r="E395" s="8"/>
      <c r="F395" s="8"/>
    </row>
    <row r="396" spans="2:6">
      <c r="B396" s="44"/>
      <c r="D396" s="8"/>
      <c r="E396" s="8"/>
      <c r="F396" s="8"/>
    </row>
    <row r="397" spans="2:6">
      <c r="B397" s="44"/>
      <c r="D397" s="8"/>
      <c r="E397" s="8"/>
      <c r="F397" s="8"/>
    </row>
    <row r="398" spans="2:6">
      <c r="B398" s="44"/>
      <c r="D398" s="8"/>
      <c r="E398" s="8"/>
      <c r="F398" s="8"/>
    </row>
    <row r="399" spans="2:6">
      <c r="B399" s="44"/>
      <c r="D399" s="8"/>
      <c r="E399" s="8"/>
      <c r="F399" s="8"/>
    </row>
    <row r="400" spans="2:6">
      <c r="B400" s="44"/>
      <c r="D400" s="8"/>
      <c r="E400" s="8"/>
      <c r="F400" s="8"/>
    </row>
    <row r="401" spans="2:6">
      <c r="B401" s="44"/>
      <c r="D401" s="8"/>
      <c r="E401" s="8"/>
      <c r="F401" s="8"/>
    </row>
    <row r="402" spans="2:6">
      <c r="B402" s="44"/>
      <c r="D402" s="8"/>
      <c r="E402" s="8"/>
      <c r="F402" s="8"/>
    </row>
    <row r="403" spans="2:6">
      <c r="B403" s="44"/>
      <c r="D403" s="8"/>
      <c r="E403" s="8"/>
      <c r="F403" s="8"/>
    </row>
    <row r="404" spans="2:6">
      <c r="B404" s="44"/>
      <c r="D404" s="8"/>
      <c r="E404" s="8"/>
      <c r="F404" s="8"/>
    </row>
    <row r="405" spans="2:6">
      <c r="B405" s="44"/>
      <c r="D405" s="8"/>
      <c r="E405" s="8"/>
      <c r="F405" s="8"/>
    </row>
    <row r="406" spans="2:6">
      <c r="B406" s="44"/>
      <c r="D406" s="8"/>
      <c r="E406" s="8"/>
      <c r="F406" s="8"/>
    </row>
    <row r="407" spans="2:6">
      <c r="B407" s="44"/>
      <c r="D407" s="8"/>
      <c r="E407" s="8"/>
      <c r="F407" s="8"/>
    </row>
    <row r="408" spans="2:6">
      <c r="B408" s="44"/>
      <c r="D408" s="8"/>
      <c r="E408" s="8"/>
      <c r="F408" s="8"/>
    </row>
    <row r="409" spans="2:6">
      <c r="B409" s="44"/>
      <c r="D409" s="8"/>
      <c r="E409" s="8"/>
      <c r="F409" s="8"/>
    </row>
    <row r="410" spans="2:6">
      <c r="B410" s="44"/>
      <c r="D410" s="8"/>
      <c r="E410" s="8"/>
      <c r="F410" s="8"/>
    </row>
    <row r="411" spans="2:6">
      <c r="B411" s="44"/>
      <c r="D411" s="8"/>
      <c r="E411" s="8"/>
      <c r="F411" s="8"/>
    </row>
    <row r="412" spans="2:6">
      <c r="B412" s="44"/>
      <c r="D412" s="8"/>
      <c r="E412" s="8"/>
      <c r="F412" s="8"/>
    </row>
    <row r="413" spans="2:6">
      <c r="B413" s="44"/>
      <c r="D413" s="8"/>
      <c r="E413" s="8"/>
      <c r="F413" s="8"/>
    </row>
    <row r="414" spans="2:6">
      <c r="B414" s="44"/>
      <c r="D414" s="8"/>
      <c r="E414" s="8"/>
      <c r="F414" s="8"/>
    </row>
    <row r="415" spans="2:6">
      <c r="B415" s="44"/>
      <c r="D415" s="8"/>
      <c r="E415" s="8"/>
      <c r="F415" s="8"/>
    </row>
    <row r="416" spans="2:6">
      <c r="B416" s="44"/>
      <c r="D416" s="8"/>
      <c r="E416" s="8"/>
      <c r="F416" s="8"/>
    </row>
    <row r="417" spans="2:6">
      <c r="B417" s="44"/>
      <c r="D417" s="8"/>
      <c r="E417" s="8"/>
      <c r="F417" s="8"/>
    </row>
    <row r="418" spans="2:6">
      <c r="B418" s="44"/>
      <c r="D418" s="8"/>
      <c r="E418" s="8"/>
      <c r="F418" s="8"/>
    </row>
    <row r="419" spans="2:6">
      <c r="B419" s="44"/>
      <c r="D419" s="8"/>
      <c r="E419" s="8"/>
      <c r="F419" s="8"/>
    </row>
    <row r="420" spans="2:6">
      <c r="B420" s="44"/>
      <c r="D420" s="8"/>
      <c r="E420" s="8"/>
      <c r="F420" s="8"/>
    </row>
    <row r="421" spans="2:6">
      <c r="B421" s="44"/>
      <c r="D421" s="8"/>
      <c r="E421" s="8"/>
      <c r="F421" s="8"/>
    </row>
    <row r="422" spans="2:6">
      <c r="B422" s="44"/>
      <c r="D422" s="8"/>
      <c r="E422" s="8"/>
      <c r="F422" s="8"/>
    </row>
    <row r="423" spans="2:6">
      <c r="B423" s="44"/>
      <c r="D423" s="8"/>
      <c r="E423" s="8"/>
      <c r="F423" s="8"/>
    </row>
    <row r="424" spans="2:6">
      <c r="B424" s="44"/>
      <c r="D424" s="8"/>
      <c r="E424" s="8"/>
      <c r="F424" s="8"/>
    </row>
    <row r="425" spans="2:6">
      <c r="B425" s="44"/>
      <c r="D425" s="8"/>
      <c r="E425" s="8"/>
      <c r="F425" s="8"/>
    </row>
    <row r="426" spans="2:6">
      <c r="B426" s="44"/>
      <c r="D426" s="8"/>
      <c r="E426" s="8"/>
      <c r="F426" s="8"/>
    </row>
    <row r="427" spans="2:6">
      <c r="B427" s="44"/>
      <c r="D427" s="8"/>
      <c r="E427" s="8"/>
      <c r="F427" s="8"/>
    </row>
    <row r="428" spans="2:6">
      <c r="B428" s="44"/>
      <c r="D428" s="8"/>
      <c r="E428" s="8"/>
      <c r="F428" s="8"/>
    </row>
    <row r="429" spans="2:6">
      <c r="B429" s="44"/>
      <c r="D429" s="8"/>
      <c r="E429" s="8"/>
      <c r="F429" s="8"/>
    </row>
    <row r="430" spans="2:6">
      <c r="B430" s="44"/>
      <c r="D430" s="8"/>
      <c r="E430" s="8"/>
      <c r="F430" s="8"/>
    </row>
    <row r="431" spans="2:6">
      <c r="B431" s="44"/>
      <c r="D431" s="8"/>
      <c r="E431" s="8"/>
      <c r="F431" s="8"/>
    </row>
    <row r="432" spans="2:6">
      <c r="B432" s="44"/>
      <c r="D432" s="8"/>
      <c r="E432" s="8"/>
      <c r="F432" s="8"/>
    </row>
    <row r="433" spans="2:6">
      <c r="B433" s="44"/>
      <c r="D433" s="8"/>
      <c r="E433" s="8"/>
      <c r="F433" s="8"/>
    </row>
    <row r="434" spans="2:6">
      <c r="B434" s="44"/>
      <c r="D434" s="8"/>
      <c r="E434" s="8"/>
      <c r="F434" s="8"/>
    </row>
    <row r="435" spans="2:6">
      <c r="B435" s="44"/>
      <c r="D435" s="8"/>
      <c r="E435" s="8"/>
      <c r="F435" s="8"/>
    </row>
    <row r="436" spans="2:6">
      <c r="B436" s="44"/>
      <c r="D436" s="8"/>
      <c r="E436" s="8"/>
      <c r="F436" s="8"/>
    </row>
    <row r="437" spans="2:6">
      <c r="B437" s="44"/>
      <c r="D437" s="8"/>
      <c r="E437" s="8"/>
      <c r="F437" s="8"/>
    </row>
    <row r="438" spans="2:6">
      <c r="B438" s="44"/>
      <c r="D438" s="8"/>
      <c r="E438" s="8"/>
      <c r="F438" s="8"/>
    </row>
    <row r="439" spans="2:6">
      <c r="B439" s="44"/>
      <c r="D439" s="8"/>
      <c r="E439" s="8"/>
      <c r="F439" s="8"/>
    </row>
    <row r="440" spans="2:6">
      <c r="B440" s="44"/>
      <c r="D440" s="8"/>
      <c r="E440" s="8"/>
      <c r="F440" s="8"/>
    </row>
    <row r="441" spans="2:6">
      <c r="B441" s="44"/>
      <c r="D441" s="8"/>
      <c r="E441" s="8"/>
      <c r="F441" s="8"/>
    </row>
    <row r="442" spans="2:6">
      <c r="B442" s="44"/>
      <c r="D442" s="8"/>
      <c r="E442" s="8"/>
      <c r="F442" s="8"/>
    </row>
    <row r="443" spans="2:6">
      <c r="B443" s="44"/>
      <c r="D443" s="8"/>
      <c r="E443" s="8"/>
      <c r="F443" s="8"/>
    </row>
    <row r="444" spans="2:6">
      <c r="B444" s="44"/>
      <c r="D444" s="8"/>
      <c r="E444" s="8"/>
      <c r="F444" s="8"/>
    </row>
    <row r="445" spans="2:6">
      <c r="B445" s="44"/>
      <c r="D445" s="8"/>
      <c r="E445" s="8"/>
      <c r="F445" s="8"/>
    </row>
    <row r="446" spans="2:6">
      <c r="B446" s="44"/>
      <c r="D446" s="8"/>
      <c r="E446" s="8"/>
      <c r="F446" s="8"/>
    </row>
    <row r="447" spans="2:6">
      <c r="B447" s="44"/>
      <c r="D447" s="8"/>
      <c r="E447" s="8"/>
      <c r="F447" s="8"/>
    </row>
    <row r="448" spans="2:6">
      <c r="B448" s="44"/>
      <c r="D448" s="8"/>
      <c r="E448" s="8"/>
      <c r="F448" s="8"/>
    </row>
    <row r="449" spans="2:6">
      <c r="B449" s="44"/>
      <c r="D449" s="8"/>
      <c r="E449" s="8"/>
      <c r="F449" s="8"/>
    </row>
    <row r="450" spans="2:6">
      <c r="B450" s="44"/>
      <c r="D450" s="8"/>
      <c r="E450" s="8"/>
      <c r="F450" s="8"/>
    </row>
    <row r="451" spans="2:6">
      <c r="B451" s="44"/>
      <c r="D451" s="8"/>
      <c r="E451" s="8"/>
      <c r="F451" s="8"/>
    </row>
    <row r="452" spans="2:6">
      <c r="B452" s="44"/>
      <c r="D452" s="8"/>
      <c r="E452" s="8"/>
      <c r="F452" s="8"/>
    </row>
    <row r="453" spans="2:6">
      <c r="B453" s="44"/>
      <c r="D453" s="8"/>
      <c r="E453" s="8"/>
      <c r="F453" s="8"/>
    </row>
    <row r="454" spans="2:6">
      <c r="B454" s="44"/>
      <c r="D454" s="8"/>
      <c r="E454" s="8"/>
      <c r="F454" s="8"/>
    </row>
    <row r="455" spans="2:6">
      <c r="B455" s="44"/>
      <c r="D455" s="8"/>
      <c r="E455" s="8"/>
      <c r="F455" s="8"/>
    </row>
    <row r="456" spans="2:6">
      <c r="B456" s="44"/>
      <c r="D456" s="8"/>
      <c r="E456" s="8"/>
      <c r="F456" s="8"/>
    </row>
    <row r="457" spans="2:6">
      <c r="B457" s="44"/>
      <c r="D457" s="8"/>
      <c r="E457" s="8"/>
      <c r="F457" s="8"/>
    </row>
    <row r="458" spans="2:6">
      <c r="B458" s="44"/>
      <c r="D458" s="8"/>
      <c r="E458" s="8"/>
      <c r="F458" s="8"/>
    </row>
    <row r="459" spans="2:6">
      <c r="B459" s="44"/>
      <c r="D459" s="8"/>
      <c r="E459" s="8"/>
      <c r="F459" s="8"/>
    </row>
    <row r="460" spans="2:6">
      <c r="B460" s="44"/>
      <c r="D460" s="8"/>
      <c r="E460" s="8"/>
      <c r="F460" s="8"/>
    </row>
    <row r="461" spans="2:6">
      <c r="B461" s="44"/>
      <c r="D461" s="8"/>
      <c r="E461" s="8"/>
      <c r="F461" s="8"/>
    </row>
    <row r="462" spans="2:6">
      <c r="B462" s="44"/>
      <c r="D462" s="8"/>
      <c r="E462" s="8"/>
      <c r="F462" s="8"/>
    </row>
    <row r="463" spans="2:6">
      <c r="B463" s="44"/>
      <c r="D463" s="8"/>
      <c r="E463" s="8"/>
      <c r="F463" s="8"/>
    </row>
    <row r="464" spans="2:6">
      <c r="B464" s="44"/>
      <c r="D464" s="8"/>
      <c r="E464" s="8"/>
      <c r="F464" s="8"/>
    </row>
    <row r="465" spans="2:6">
      <c r="B465" s="44"/>
      <c r="D465" s="8"/>
      <c r="E465" s="8"/>
      <c r="F465" s="8"/>
    </row>
    <row r="466" spans="2:6">
      <c r="B466" s="44"/>
      <c r="D466" s="8"/>
      <c r="E466" s="8"/>
      <c r="F466" s="8"/>
    </row>
    <row r="467" spans="2:6">
      <c r="B467" s="44"/>
      <c r="D467" s="8"/>
      <c r="E467" s="8"/>
      <c r="F467" s="8"/>
    </row>
    <row r="468" spans="2:6">
      <c r="B468" s="44"/>
      <c r="D468" s="8"/>
      <c r="E468" s="8"/>
      <c r="F468" s="8"/>
    </row>
    <row r="469" spans="2:6">
      <c r="B469" s="44"/>
      <c r="D469" s="8"/>
      <c r="E469" s="8"/>
      <c r="F469" s="8"/>
    </row>
    <row r="470" spans="2:6">
      <c r="B470" s="44"/>
      <c r="D470" s="8"/>
      <c r="E470" s="8"/>
      <c r="F470" s="8"/>
    </row>
    <row r="471" spans="2:6">
      <c r="B471" s="44"/>
      <c r="D471" s="8"/>
      <c r="E471" s="8"/>
      <c r="F471" s="8"/>
    </row>
    <row r="472" spans="2:6">
      <c r="B472" s="44"/>
      <c r="D472" s="8"/>
      <c r="E472" s="8"/>
      <c r="F472" s="8"/>
    </row>
    <row r="473" spans="2:6">
      <c r="B473" s="44"/>
      <c r="D473" s="8"/>
      <c r="E473" s="8"/>
      <c r="F473" s="8"/>
    </row>
    <row r="474" spans="2:6">
      <c r="B474" s="44"/>
      <c r="D474" s="8"/>
      <c r="E474" s="8"/>
      <c r="F474" s="8"/>
    </row>
    <row r="475" spans="2:6">
      <c r="B475" s="44"/>
      <c r="D475" s="8"/>
      <c r="E475" s="8"/>
      <c r="F475" s="8"/>
    </row>
    <row r="476" spans="2:6">
      <c r="B476" s="44"/>
      <c r="D476" s="8"/>
      <c r="E476" s="8"/>
      <c r="F476" s="8"/>
    </row>
    <row r="477" spans="2:6">
      <c r="B477" s="44"/>
      <c r="D477" s="8"/>
      <c r="E477" s="8"/>
      <c r="F477" s="8"/>
    </row>
    <row r="478" spans="2:6">
      <c r="B478" s="44"/>
      <c r="D478" s="8"/>
      <c r="E478" s="8"/>
      <c r="F478" s="8"/>
    </row>
    <row r="479" spans="2:6">
      <c r="B479" s="44"/>
      <c r="D479" s="8"/>
      <c r="E479" s="8"/>
      <c r="F479" s="8"/>
    </row>
    <row r="480" spans="2:6">
      <c r="B480" s="44"/>
      <c r="D480" s="8"/>
      <c r="E480" s="8"/>
      <c r="F480" s="8"/>
    </row>
    <row r="481" spans="2:6">
      <c r="B481" s="44"/>
      <c r="D481" s="8"/>
      <c r="E481" s="8"/>
      <c r="F481" s="8"/>
    </row>
    <row r="482" spans="2:6">
      <c r="B482" s="44"/>
      <c r="D482" s="8"/>
      <c r="E482" s="8"/>
      <c r="F482" s="8"/>
    </row>
    <row r="483" spans="2:6">
      <c r="B483" s="44"/>
      <c r="D483" s="8"/>
      <c r="E483" s="8"/>
      <c r="F483" s="8"/>
    </row>
    <row r="484" spans="2:6">
      <c r="B484" s="44"/>
      <c r="D484" s="8"/>
      <c r="E484" s="8"/>
      <c r="F484" s="8"/>
    </row>
    <row r="485" spans="2:6">
      <c r="B485" s="44"/>
      <c r="D485" s="8"/>
      <c r="E485" s="8"/>
      <c r="F485" s="8"/>
    </row>
    <row r="486" spans="2:6">
      <c r="B486" s="44"/>
      <c r="D486" s="8"/>
      <c r="E486" s="8"/>
      <c r="F486" s="8"/>
    </row>
    <row r="487" spans="2:6">
      <c r="B487" s="44"/>
      <c r="D487" s="8"/>
      <c r="E487" s="8"/>
      <c r="F487" s="8"/>
    </row>
    <row r="488" spans="2:6">
      <c r="B488" s="44"/>
      <c r="D488" s="8"/>
      <c r="E488" s="8"/>
      <c r="F488" s="8"/>
    </row>
    <row r="489" spans="2:6">
      <c r="B489" s="44"/>
      <c r="D489" s="8"/>
      <c r="E489" s="8"/>
      <c r="F489" s="8"/>
    </row>
    <row r="490" spans="2:6">
      <c r="B490" s="44"/>
      <c r="D490" s="8"/>
      <c r="E490" s="8"/>
      <c r="F490" s="8"/>
    </row>
    <row r="491" spans="2:6">
      <c r="B491" s="44"/>
      <c r="D491" s="8"/>
      <c r="E491" s="8"/>
      <c r="F491" s="8"/>
    </row>
    <row r="492" spans="2:6">
      <c r="B492" s="44"/>
      <c r="D492" s="8"/>
      <c r="E492" s="8"/>
      <c r="F492" s="8"/>
    </row>
    <row r="493" spans="2:6">
      <c r="B493" s="44"/>
      <c r="D493" s="8"/>
      <c r="E493" s="8"/>
      <c r="F493" s="8"/>
    </row>
    <row r="494" spans="2:6">
      <c r="B494" s="44"/>
      <c r="D494" s="8"/>
      <c r="E494" s="8"/>
      <c r="F494" s="8"/>
    </row>
    <row r="495" spans="2:6">
      <c r="B495" s="44"/>
      <c r="D495" s="8"/>
      <c r="E495" s="8"/>
      <c r="F495" s="8"/>
    </row>
    <row r="496" spans="2:6">
      <c r="B496" s="44"/>
      <c r="D496" s="8"/>
      <c r="E496" s="8"/>
      <c r="F496" s="8"/>
    </row>
    <row r="497" spans="2:6">
      <c r="B497" s="44"/>
      <c r="D497" s="8"/>
      <c r="E497" s="8"/>
      <c r="F497" s="8"/>
    </row>
    <row r="498" spans="2:6">
      <c r="B498" s="44"/>
      <c r="D498" s="8"/>
      <c r="E498" s="8"/>
      <c r="F498" s="8"/>
    </row>
    <row r="499" spans="2:6">
      <c r="B499" s="44"/>
      <c r="D499" s="8"/>
      <c r="E499" s="8"/>
      <c r="F499" s="8"/>
    </row>
    <row r="500" spans="2:6">
      <c r="B500" s="44"/>
      <c r="D500" s="8"/>
      <c r="E500" s="8"/>
      <c r="F500" s="8"/>
    </row>
    <row r="501" spans="2:6">
      <c r="B501" s="44"/>
      <c r="D501" s="8"/>
      <c r="E501" s="8"/>
      <c r="F501" s="8"/>
    </row>
    <row r="502" spans="2:6">
      <c r="B502" s="44"/>
      <c r="D502" s="8"/>
      <c r="E502" s="8"/>
      <c r="F502" s="8"/>
    </row>
    <row r="503" spans="2:6">
      <c r="B503" s="44"/>
      <c r="D503" s="8"/>
      <c r="E503" s="8"/>
      <c r="F503" s="8"/>
    </row>
    <row r="504" spans="2:6">
      <c r="B504" s="44"/>
      <c r="D504" s="8"/>
      <c r="E504" s="8"/>
      <c r="F504" s="8"/>
    </row>
    <row r="505" spans="2:6">
      <c r="B505" s="44"/>
      <c r="D505" s="8"/>
      <c r="E505" s="8"/>
      <c r="F505" s="8"/>
    </row>
    <row r="506" spans="2:6">
      <c r="B506" s="44"/>
      <c r="D506" s="8"/>
      <c r="E506" s="8"/>
      <c r="F506" s="8"/>
    </row>
    <row r="507" spans="2:6">
      <c r="B507" s="44"/>
      <c r="D507" s="8"/>
      <c r="E507" s="8"/>
      <c r="F507" s="8"/>
    </row>
    <row r="508" spans="2:6">
      <c r="B508" s="44"/>
      <c r="D508" s="8"/>
      <c r="E508" s="8"/>
      <c r="F508" s="8"/>
    </row>
    <row r="509" spans="2:6">
      <c r="B509" s="44"/>
      <c r="D509" s="8"/>
      <c r="E509" s="8"/>
      <c r="F509" s="8"/>
    </row>
    <row r="510" spans="2:6">
      <c r="B510" s="44"/>
      <c r="D510" s="8"/>
      <c r="E510" s="8"/>
      <c r="F510" s="8"/>
    </row>
    <row r="511" spans="2:6">
      <c r="B511" s="44"/>
      <c r="D511" s="8"/>
      <c r="E511" s="8"/>
      <c r="F511" s="8"/>
    </row>
    <row r="512" spans="2:6">
      <c r="B512" s="44"/>
      <c r="D512" s="8"/>
      <c r="E512" s="8"/>
      <c r="F512" s="8"/>
    </row>
    <row r="513" spans="2:6">
      <c r="B513" s="44"/>
      <c r="D513" s="8"/>
      <c r="E513" s="8"/>
      <c r="F513" s="8"/>
    </row>
    <row r="514" spans="2:6">
      <c r="B514" s="44"/>
      <c r="D514" s="8"/>
      <c r="E514" s="8"/>
      <c r="F514" s="8"/>
    </row>
    <row r="515" spans="2:6">
      <c r="B515" s="44"/>
      <c r="D515" s="8"/>
      <c r="E515" s="8"/>
      <c r="F515" s="8"/>
    </row>
    <row r="516" spans="2:6">
      <c r="B516" s="44"/>
      <c r="D516" s="8"/>
      <c r="E516" s="8"/>
      <c r="F516" s="8"/>
    </row>
    <row r="517" spans="2:6">
      <c r="B517" s="44"/>
      <c r="D517" s="8"/>
      <c r="E517" s="8"/>
      <c r="F517" s="8"/>
    </row>
    <row r="518" spans="2:6">
      <c r="B518" s="44"/>
      <c r="D518" s="8"/>
      <c r="E518" s="8"/>
      <c r="F518" s="8"/>
    </row>
    <row r="519" spans="2:6">
      <c r="B519" s="44"/>
      <c r="D519" s="8"/>
      <c r="E519" s="8"/>
      <c r="F519" s="8"/>
    </row>
    <row r="520" spans="2:6">
      <c r="B520" s="44"/>
      <c r="D520" s="8"/>
      <c r="E520" s="8"/>
      <c r="F520" s="8"/>
    </row>
    <row r="521" spans="2:6">
      <c r="B521" s="44"/>
      <c r="D521" s="8"/>
      <c r="E521" s="8"/>
      <c r="F521" s="8"/>
    </row>
    <row r="522" spans="2:6">
      <c r="B522" s="44"/>
      <c r="D522" s="8"/>
      <c r="E522" s="8"/>
      <c r="F522" s="8"/>
    </row>
    <row r="523" spans="2:6">
      <c r="B523" s="44"/>
      <c r="D523" s="8"/>
      <c r="E523" s="8"/>
      <c r="F523" s="8"/>
    </row>
    <row r="524" spans="2:6">
      <c r="B524" s="44"/>
      <c r="D524" s="8"/>
      <c r="E524" s="8"/>
      <c r="F524" s="8"/>
    </row>
    <row r="525" spans="2:6">
      <c r="B525" s="44"/>
      <c r="D525" s="8"/>
      <c r="E525" s="8"/>
      <c r="F525" s="8"/>
    </row>
    <row r="526" spans="2:6">
      <c r="B526" s="44"/>
      <c r="D526" s="8"/>
      <c r="E526" s="8"/>
      <c r="F526" s="8"/>
    </row>
    <row r="527" spans="2:6">
      <c r="B527" s="44"/>
      <c r="D527" s="8"/>
      <c r="E527" s="8"/>
      <c r="F527" s="8"/>
    </row>
    <row r="528" spans="2:6">
      <c r="B528" s="44"/>
      <c r="D528" s="8"/>
      <c r="E528" s="8"/>
      <c r="F528" s="8"/>
    </row>
    <row r="529" spans="2:6">
      <c r="B529" s="44"/>
      <c r="D529" s="8"/>
      <c r="E529" s="8"/>
      <c r="F529" s="8"/>
    </row>
    <row r="530" spans="2:6">
      <c r="B530" s="44"/>
      <c r="D530" s="8"/>
      <c r="E530" s="8"/>
      <c r="F530" s="8"/>
    </row>
    <row r="531" spans="2:6">
      <c r="B531" s="44"/>
      <c r="D531" s="8"/>
      <c r="E531" s="8"/>
      <c r="F531" s="8"/>
    </row>
    <row r="532" spans="2:6">
      <c r="B532" s="44"/>
      <c r="D532" s="8"/>
      <c r="E532" s="8"/>
      <c r="F532" s="8"/>
    </row>
    <row r="533" spans="2:6">
      <c r="B533" s="44"/>
      <c r="D533" s="8"/>
      <c r="E533" s="8"/>
      <c r="F533" s="8"/>
    </row>
    <row r="534" spans="2:6">
      <c r="B534" s="44"/>
      <c r="D534" s="8"/>
      <c r="E534" s="8"/>
      <c r="F534" s="8"/>
    </row>
    <row r="535" spans="2:6">
      <c r="B535" s="44"/>
      <c r="D535" s="8"/>
      <c r="E535" s="8"/>
      <c r="F535" s="8"/>
    </row>
    <row r="536" spans="2:6">
      <c r="B536" s="44"/>
      <c r="D536" s="8"/>
      <c r="E536" s="8"/>
      <c r="F536" s="8"/>
    </row>
    <row r="537" spans="2:6">
      <c r="B537" s="44"/>
      <c r="D537" s="8"/>
      <c r="E537" s="8"/>
      <c r="F537" s="8"/>
    </row>
    <row r="538" spans="2:6">
      <c r="B538" s="44"/>
      <c r="D538" s="8"/>
      <c r="E538" s="8"/>
      <c r="F538" s="8"/>
    </row>
    <row r="539" spans="2:6">
      <c r="B539" s="44"/>
      <c r="D539" s="8"/>
      <c r="E539" s="8"/>
      <c r="F539" s="8"/>
    </row>
    <row r="540" spans="2:6">
      <c r="B540" s="44"/>
      <c r="D540" s="8"/>
      <c r="E540" s="8"/>
      <c r="F540" s="8"/>
    </row>
    <row r="541" spans="2:6">
      <c r="B541" s="44"/>
      <c r="D541" s="8"/>
      <c r="E541" s="8"/>
      <c r="F541" s="8"/>
    </row>
    <row r="542" spans="2:6">
      <c r="B542" s="44"/>
      <c r="D542" s="8"/>
      <c r="E542" s="8"/>
      <c r="F542" s="8"/>
    </row>
    <row r="543" spans="2:6">
      <c r="B543" s="44"/>
      <c r="D543" s="8"/>
      <c r="E543" s="8"/>
      <c r="F543" s="8"/>
    </row>
    <row r="544" spans="2:6">
      <c r="B544" s="44"/>
      <c r="D544" s="8"/>
      <c r="E544" s="8"/>
      <c r="F544" s="8"/>
    </row>
    <row r="545" spans="2:6">
      <c r="B545" s="44"/>
      <c r="D545" s="8"/>
      <c r="E545" s="8"/>
      <c r="F545" s="8"/>
    </row>
    <row r="546" spans="2:6">
      <c r="B546" s="44"/>
      <c r="D546" s="8"/>
      <c r="E546" s="8"/>
      <c r="F546" s="8"/>
    </row>
    <row r="547" spans="2:6">
      <c r="B547" s="44"/>
      <c r="D547" s="8"/>
      <c r="E547" s="8"/>
      <c r="F547" s="8"/>
    </row>
    <row r="548" spans="2:6">
      <c r="B548" s="44"/>
      <c r="D548" s="8"/>
      <c r="E548" s="8"/>
      <c r="F548" s="8"/>
    </row>
    <row r="549" spans="2:6">
      <c r="B549" s="44"/>
      <c r="D549" s="8"/>
      <c r="E549" s="8"/>
      <c r="F549" s="8"/>
    </row>
    <row r="550" spans="2:6">
      <c r="B550" s="44"/>
      <c r="D550" s="8"/>
      <c r="E550" s="8"/>
      <c r="F550" s="8"/>
    </row>
    <row r="551" spans="2:6">
      <c r="B551" s="44"/>
      <c r="D551" s="8"/>
      <c r="E551" s="8"/>
      <c r="F551" s="8"/>
    </row>
    <row r="552" spans="2:6">
      <c r="B552" s="44"/>
      <c r="D552" s="8"/>
      <c r="E552" s="8"/>
      <c r="F552" s="8"/>
    </row>
    <row r="553" spans="2:6">
      <c r="B553" s="44"/>
      <c r="D553" s="8"/>
      <c r="E553" s="8"/>
      <c r="F553" s="8"/>
    </row>
    <row r="554" spans="2:6">
      <c r="B554" s="44"/>
      <c r="D554" s="8"/>
      <c r="E554" s="8"/>
      <c r="F554" s="8"/>
    </row>
    <row r="555" spans="2:6">
      <c r="B555" s="44"/>
      <c r="D555" s="8"/>
      <c r="E555" s="8"/>
      <c r="F555" s="8"/>
    </row>
    <row r="556" spans="2:6">
      <c r="B556" s="44"/>
      <c r="D556" s="8"/>
      <c r="E556" s="8"/>
      <c r="F556" s="8"/>
    </row>
    <row r="557" spans="2:6">
      <c r="B557" s="44"/>
      <c r="D557" s="8"/>
      <c r="E557" s="8"/>
      <c r="F557" s="8"/>
    </row>
    <row r="558" spans="2:6">
      <c r="B558" s="44"/>
      <c r="D558" s="8"/>
      <c r="E558" s="8"/>
      <c r="F558" s="8"/>
    </row>
    <row r="559" spans="2:6">
      <c r="B559" s="44"/>
      <c r="D559" s="8"/>
      <c r="E559" s="8"/>
      <c r="F559" s="8"/>
    </row>
    <row r="560" spans="2:6">
      <c r="B560" s="44"/>
      <c r="D560" s="8"/>
      <c r="E560" s="8"/>
      <c r="F560" s="8"/>
    </row>
    <row r="561" spans="2:6">
      <c r="B561" s="44"/>
      <c r="D561" s="8"/>
      <c r="E561" s="8"/>
      <c r="F561" s="8"/>
    </row>
    <row r="562" spans="2:6">
      <c r="B562" s="44"/>
      <c r="D562" s="8"/>
      <c r="E562" s="8"/>
      <c r="F562" s="8"/>
    </row>
    <row r="563" spans="2:6">
      <c r="B563" s="44"/>
      <c r="D563" s="8"/>
      <c r="E563" s="8"/>
      <c r="F563" s="8"/>
    </row>
    <row r="564" spans="2:6">
      <c r="B564" s="44"/>
      <c r="D564" s="8"/>
      <c r="E564" s="8"/>
      <c r="F564" s="8"/>
    </row>
    <row r="565" spans="2:6">
      <c r="B565" s="44"/>
      <c r="D565" s="8"/>
      <c r="E565" s="8"/>
      <c r="F565" s="8"/>
    </row>
    <row r="566" spans="2:6">
      <c r="B566" s="44"/>
      <c r="D566" s="8"/>
      <c r="E566" s="8"/>
      <c r="F566" s="8"/>
    </row>
    <row r="567" spans="2:6">
      <c r="B567" s="44"/>
      <c r="D567" s="8"/>
      <c r="E567" s="8"/>
      <c r="F567" s="8"/>
    </row>
    <row r="568" spans="2:6">
      <c r="B568" s="44"/>
      <c r="D568" s="8"/>
      <c r="E568" s="8"/>
      <c r="F568" s="8"/>
    </row>
    <row r="569" spans="2:6">
      <c r="B569" s="44"/>
      <c r="D569" s="8"/>
      <c r="E569" s="8"/>
      <c r="F569" s="8"/>
    </row>
    <row r="570" spans="2:6">
      <c r="B570" s="44"/>
      <c r="D570" s="8"/>
      <c r="E570" s="8"/>
      <c r="F570" s="8"/>
    </row>
    <row r="571" spans="2:6">
      <c r="B571" s="44"/>
      <c r="D571" s="8"/>
      <c r="E571" s="8"/>
      <c r="F571" s="8"/>
    </row>
    <row r="572" spans="2:6">
      <c r="B572" s="44"/>
      <c r="D572" s="8"/>
      <c r="E572" s="8"/>
      <c r="F572" s="8"/>
    </row>
    <row r="573" spans="2:6">
      <c r="B573" s="44"/>
      <c r="D573" s="8"/>
      <c r="E573" s="8"/>
      <c r="F573" s="8"/>
    </row>
    <row r="574" spans="2:6">
      <c r="B574" s="44"/>
      <c r="D574" s="8"/>
      <c r="E574" s="8"/>
      <c r="F574" s="8"/>
    </row>
    <row r="575" spans="2:6">
      <c r="B575" s="44"/>
      <c r="D575" s="8"/>
      <c r="E575" s="8"/>
      <c r="F575" s="8"/>
    </row>
    <row r="576" spans="2:6">
      <c r="B576" s="44"/>
      <c r="D576" s="8"/>
      <c r="E576" s="8"/>
      <c r="F576" s="8"/>
    </row>
    <row r="577" spans="2:6">
      <c r="B577" s="44"/>
      <c r="D577" s="8"/>
      <c r="E577" s="8"/>
      <c r="F577" s="8"/>
    </row>
    <row r="578" spans="2:6">
      <c r="B578" s="44"/>
      <c r="D578" s="8"/>
      <c r="E578" s="8"/>
      <c r="F578" s="8"/>
    </row>
    <row r="579" spans="2:6">
      <c r="B579" s="44"/>
      <c r="D579" s="8"/>
      <c r="E579" s="8"/>
      <c r="F579" s="8"/>
    </row>
    <row r="580" spans="2:6">
      <c r="B580" s="44"/>
      <c r="D580" s="8"/>
      <c r="E580" s="8"/>
      <c r="F580" s="8"/>
    </row>
    <row r="581" spans="2:6">
      <c r="B581" s="44"/>
      <c r="D581" s="8"/>
      <c r="E581" s="8"/>
      <c r="F581" s="8"/>
    </row>
    <row r="582" spans="2:6">
      <c r="B582" s="44"/>
      <c r="D582" s="8"/>
      <c r="E582" s="8"/>
      <c r="F582" s="8"/>
    </row>
    <row r="583" spans="2:6">
      <c r="B583" s="44"/>
      <c r="D583" s="8"/>
      <c r="E583" s="8"/>
      <c r="F583" s="8"/>
    </row>
    <row r="584" spans="2:6">
      <c r="B584" s="44"/>
      <c r="D584" s="8"/>
      <c r="E584" s="8"/>
      <c r="F584" s="8"/>
    </row>
    <row r="585" spans="2:6">
      <c r="B585" s="44"/>
      <c r="D585" s="8"/>
      <c r="E585" s="8"/>
      <c r="F585" s="8"/>
    </row>
    <row r="586" spans="2:6">
      <c r="B586" s="44"/>
      <c r="D586" s="8"/>
      <c r="E586" s="8"/>
      <c r="F586" s="8"/>
    </row>
    <row r="587" spans="2:6">
      <c r="B587" s="44"/>
      <c r="D587" s="8"/>
      <c r="E587" s="8"/>
      <c r="F587" s="8"/>
    </row>
    <row r="588" spans="2:6">
      <c r="B588" s="44"/>
      <c r="D588" s="8"/>
      <c r="E588" s="8"/>
      <c r="F588" s="8"/>
    </row>
    <row r="589" spans="2:6">
      <c r="B589" s="44"/>
      <c r="D589" s="8"/>
      <c r="E589" s="8"/>
      <c r="F589" s="8"/>
    </row>
    <row r="590" spans="2:6">
      <c r="B590" s="44"/>
      <c r="D590" s="8"/>
      <c r="E590" s="8"/>
      <c r="F590" s="8"/>
    </row>
    <row r="591" spans="2:6">
      <c r="B591" s="44"/>
      <c r="D591" s="8"/>
      <c r="E591" s="8"/>
      <c r="F591" s="8"/>
    </row>
    <row r="592" spans="2:6">
      <c r="B592" s="44"/>
      <c r="D592" s="8"/>
      <c r="E592" s="8"/>
      <c r="F592" s="8"/>
    </row>
    <row r="593" spans="2:6">
      <c r="B593" s="44"/>
      <c r="D593" s="8"/>
      <c r="E593" s="8"/>
      <c r="F593" s="8"/>
    </row>
    <row r="594" spans="2:6">
      <c r="B594" s="44"/>
      <c r="D594" s="8"/>
      <c r="E594" s="8"/>
      <c r="F594" s="8"/>
    </row>
    <row r="595" spans="2:6">
      <c r="B595" s="44"/>
      <c r="D595" s="8"/>
      <c r="E595" s="8"/>
      <c r="F595" s="8"/>
    </row>
    <row r="596" spans="2:6">
      <c r="B596" s="44"/>
      <c r="D596" s="8"/>
      <c r="E596" s="8"/>
      <c r="F596" s="8"/>
    </row>
    <row r="597" spans="2:6">
      <c r="B597" s="44"/>
      <c r="D597" s="8"/>
      <c r="E597" s="8"/>
      <c r="F597" s="8"/>
    </row>
    <row r="598" spans="2:6">
      <c r="B598" s="44"/>
      <c r="D598" s="8"/>
      <c r="E598" s="8"/>
      <c r="F598" s="8"/>
    </row>
    <row r="599" spans="2:6">
      <c r="B599" s="44"/>
      <c r="D599" s="8"/>
      <c r="E599" s="8"/>
      <c r="F599" s="8"/>
    </row>
    <row r="600" spans="2:6">
      <c r="B600" s="44"/>
      <c r="D600" s="8"/>
      <c r="E600" s="8"/>
      <c r="F600" s="8"/>
    </row>
    <row r="601" spans="2:6">
      <c r="B601" s="44"/>
      <c r="D601" s="8"/>
      <c r="E601" s="8"/>
      <c r="F601" s="8"/>
    </row>
    <row r="602" spans="2:6">
      <c r="B602" s="44"/>
      <c r="D602" s="8"/>
      <c r="E602" s="8"/>
      <c r="F602" s="8"/>
    </row>
    <row r="603" spans="2:6">
      <c r="B603" s="44"/>
      <c r="D603" s="8"/>
      <c r="E603" s="8"/>
      <c r="F603" s="8"/>
    </row>
    <row r="604" spans="2:6">
      <c r="B604" s="44"/>
      <c r="D604" s="8"/>
      <c r="E604" s="8"/>
      <c r="F604" s="8"/>
    </row>
    <row r="605" spans="2:6">
      <c r="B605" s="44"/>
      <c r="D605" s="8"/>
      <c r="E605" s="8"/>
      <c r="F605" s="8"/>
    </row>
    <row r="606" spans="2:6">
      <c r="B606" s="44"/>
      <c r="D606" s="8"/>
      <c r="E606" s="8"/>
      <c r="F606" s="8"/>
    </row>
    <row r="607" spans="2:6">
      <c r="B607" s="44"/>
      <c r="D607" s="8"/>
      <c r="E607" s="8"/>
      <c r="F607" s="8"/>
    </row>
    <row r="608" spans="2:6">
      <c r="B608" s="44"/>
      <c r="D608" s="8"/>
      <c r="E608" s="8"/>
      <c r="F608" s="8"/>
    </row>
    <row r="609" spans="2:6">
      <c r="B609" s="44"/>
      <c r="D609" s="8"/>
      <c r="E609" s="8"/>
      <c r="F609" s="8"/>
    </row>
    <row r="610" spans="2:6">
      <c r="B610" s="44"/>
      <c r="D610" s="8"/>
      <c r="E610" s="8"/>
      <c r="F610" s="8"/>
    </row>
    <row r="611" spans="2:6">
      <c r="B611" s="44"/>
      <c r="D611" s="8"/>
      <c r="E611" s="8"/>
      <c r="F611" s="8"/>
    </row>
    <row r="612" spans="2:6">
      <c r="B612" s="44"/>
      <c r="D612" s="8"/>
      <c r="E612" s="8"/>
      <c r="F612" s="8"/>
    </row>
    <row r="613" spans="2:6">
      <c r="B613" s="44"/>
      <c r="D613" s="8"/>
      <c r="E613" s="8"/>
      <c r="F613" s="8"/>
    </row>
    <row r="614" spans="2:6">
      <c r="B614" s="44"/>
      <c r="D614" s="8"/>
      <c r="E614" s="8"/>
      <c r="F614" s="8"/>
    </row>
    <row r="615" spans="2:6">
      <c r="B615" s="44"/>
      <c r="D615" s="8"/>
      <c r="E615" s="8"/>
      <c r="F615" s="8"/>
    </row>
    <row r="616" spans="2:6">
      <c r="B616" s="44"/>
      <c r="D616" s="8"/>
      <c r="E616" s="8"/>
      <c r="F616" s="8"/>
    </row>
    <row r="617" spans="2:6">
      <c r="B617" s="44"/>
      <c r="D617" s="8"/>
      <c r="E617" s="8"/>
      <c r="F617" s="8"/>
    </row>
    <row r="618" spans="2:6">
      <c r="B618" s="44"/>
      <c r="D618" s="8"/>
      <c r="E618" s="8"/>
      <c r="F618" s="8"/>
    </row>
    <row r="619" spans="2:6">
      <c r="B619" s="44"/>
      <c r="D619" s="8"/>
      <c r="E619" s="8"/>
      <c r="F619" s="8"/>
    </row>
    <row r="620" spans="2:6">
      <c r="B620" s="44"/>
      <c r="D620" s="8"/>
      <c r="E620" s="8"/>
      <c r="F620" s="8"/>
    </row>
    <row r="621" spans="2:6">
      <c r="B621" s="44"/>
      <c r="D621" s="8"/>
      <c r="E621" s="8"/>
      <c r="F621" s="8"/>
    </row>
    <row r="622" spans="2:6">
      <c r="B622" s="44"/>
      <c r="D622" s="8"/>
      <c r="E622" s="8"/>
      <c r="F622" s="8"/>
    </row>
    <row r="623" spans="2:6">
      <c r="B623" s="44"/>
      <c r="D623" s="8"/>
      <c r="E623" s="8"/>
      <c r="F623" s="8"/>
    </row>
    <row r="624" spans="2:6">
      <c r="B624" s="44"/>
      <c r="D624" s="8"/>
      <c r="E624" s="8"/>
      <c r="F624" s="8"/>
    </row>
    <row r="625" spans="2:6">
      <c r="B625" s="44"/>
      <c r="D625" s="8"/>
      <c r="E625" s="8"/>
      <c r="F625" s="8"/>
    </row>
    <row r="626" spans="2:6">
      <c r="B626" s="44"/>
      <c r="D626" s="8"/>
      <c r="E626" s="8"/>
      <c r="F626" s="8"/>
    </row>
    <row r="627" spans="2:6">
      <c r="B627" s="44"/>
      <c r="D627" s="8"/>
      <c r="E627" s="8"/>
      <c r="F627" s="8"/>
    </row>
    <row r="628" spans="2:6">
      <c r="B628" s="44"/>
      <c r="D628" s="8"/>
      <c r="E628" s="8"/>
      <c r="F628" s="8"/>
    </row>
    <row r="629" spans="2:6">
      <c r="B629" s="44"/>
      <c r="D629" s="8"/>
      <c r="E629" s="8"/>
      <c r="F629" s="8"/>
    </row>
    <row r="630" spans="2:6">
      <c r="B630" s="44"/>
      <c r="D630" s="8"/>
      <c r="E630" s="8"/>
      <c r="F630" s="8"/>
    </row>
    <row r="631" spans="2:6">
      <c r="B631" s="44"/>
      <c r="D631" s="8"/>
      <c r="E631" s="8"/>
      <c r="F631" s="8"/>
    </row>
    <row r="632" spans="2:6">
      <c r="B632" s="44"/>
      <c r="D632" s="8"/>
      <c r="E632" s="8"/>
      <c r="F632" s="8"/>
    </row>
    <row r="633" spans="2:6">
      <c r="B633" s="44"/>
      <c r="D633" s="8"/>
      <c r="E633" s="8"/>
      <c r="F633" s="8"/>
    </row>
    <row r="634" spans="2:6">
      <c r="B634" s="44"/>
      <c r="D634" s="8"/>
      <c r="E634" s="8"/>
      <c r="F634" s="8"/>
    </row>
    <row r="635" spans="2:6">
      <c r="B635" s="44"/>
      <c r="D635" s="8"/>
      <c r="E635" s="8"/>
      <c r="F635" s="8"/>
    </row>
    <row r="636" spans="2:6">
      <c r="B636" s="44"/>
      <c r="D636" s="8"/>
      <c r="E636" s="8"/>
      <c r="F636" s="8"/>
    </row>
    <row r="637" spans="2:6">
      <c r="B637" s="44"/>
      <c r="D637" s="8"/>
      <c r="E637" s="8"/>
      <c r="F637" s="8"/>
    </row>
    <row r="638" spans="2:6">
      <c r="B638" s="44"/>
      <c r="D638" s="8"/>
      <c r="E638" s="8"/>
      <c r="F638" s="8"/>
    </row>
    <row r="639" spans="2:6">
      <c r="B639" s="44"/>
      <c r="D639" s="8"/>
      <c r="E639" s="8"/>
      <c r="F639" s="8"/>
    </row>
    <row r="640" spans="2:6">
      <c r="B640" s="44"/>
      <c r="D640" s="8"/>
      <c r="E640" s="8"/>
      <c r="F640" s="8"/>
    </row>
    <row r="641" spans="2:6">
      <c r="B641" s="44"/>
      <c r="D641" s="8"/>
      <c r="E641" s="8"/>
      <c r="F641" s="8"/>
    </row>
    <row r="642" spans="2:6">
      <c r="B642" s="44"/>
      <c r="D642" s="8"/>
      <c r="E642" s="8"/>
      <c r="F642" s="8"/>
    </row>
    <row r="643" spans="2:6">
      <c r="B643" s="44"/>
      <c r="D643" s="8"/>
      <c r="E643" s="8"/>
      <c r="F643" s="8"/>
    </row>
    <row r="644" spans="2:6">
      <c r="B644" s="44"/>
      <c r="D644" s="8"/>
      <c r="E644" s="8"/>
      <c r="F644" s="8"/>
    </row>
    <row r="645" spans="2:6">
      <c r="B645" s="44"/>
      <c r="D645" s="8"/>
      <c r="E645" s="8"/>
      <c r="F645" s="8"/>
    </row>
    <row r="646" spans="2:6">
      <c r="B646" s="44"/>
      <c r="D646" s="8"/>
      <c r="E646" s="8"/>
      <c r="F646" s="8"/>
    </row>
    <row r="647" spans="2:6">
      <c r="B647" s="44"/>
      <c r="D647" s="8"/>
      <c r="E647" s="8"/>
      <c r="F647" s="8"/>
    </row>
    <row r="648" spans="2:6">
      <c r="B648" s="44"/>
      <c r="D648" s="8"/>
      <c r="E648" s="8"/>
      <c r="F648" s="8"/>
    </row>
    <row r="649" spans="2:6">
      <c r="B649" s="44"/>
      <c r="D649" s="8"/>
      <c r="E649" s="8"/>
      <c r="F649" s="8"/>
    </row>
    <row r="650" spans="2:6">
      <c r="B650" s="44"/>
      <c r="D650" s="8"/>
      <c r="E650" s="8"/>
      <c r="F650" s="8"/>
    </row>
    <row r="651" spans="2:6">
      <c r="B651" s="44"/>
      <c r="D651" s="8"/>
      <c r="E651" s="8"/>
      <c r="F651" s="8"/>
    </row>
    <row r="652" spans="2:6">
      <c r="B652" s="44"/>
      <c r="D652" s="8"/>
      <c r="E652" s="8"/>
      <c r="F652" s="8"/>
    </row>
    <row r="653" spans="2:6">
      <c r="B653" s="44"/>
      <c r="D653" s="8"/>
      <c r="E653" s="8"/>
      <c r="F653" s="8"/>
    </row>
    <row r="654" spans="2:6">
      <c r="B654" s="44"/>
      <c r="D654" s="8"/>
      <c r="E654" s="8"/>
      <c r="F654" s="8"/>
    </row>
    <row r="655" spans="2:6">
      <c r="B655" s="44"/>
      <c r="D655" s="8"/>
      <c r="E655" s="8"/>
      <c r="F655" s="8"/>
    </row>
    <row r="656" spans="2:6">
      <c r="B656" s="44"/>
      <c r="D656" s="8"/>
      <c r="E656" s="8"/>
      <c r="F656" s="8"/>
    </row>
    <row r="657" spans="2:6">
      <c r="B657" s="44"/>
      <c r="D657" s="8"/>
      <c r="E657" s="8"/>
      <c r="F657" s="8"/>
    </row>
    <row r="658" spans="2:6">
      <c r="B658" s="44"/>
      <c r="D658" s="8"/>
      <c r="E658" s="8"/>
      <c r="F658" s="8"/>
    </row>
    <row r="659" spans="2:6">
      <c r="B659" s="44"/>
      <c r="D659" s="8"/>
      <c r="E659" s="8"/>
      <c r="F659" s="8"/>
    </row>
    <row r="660" spans="2:6">
      <c r="B660" s="44"/>
      <c r="D660" s="8"/>
      <c r="E660" s="8"/>
      <c r="F660" s="8"/>
    </row>
    <row r="661" spans="2:6">
      <c r="B661" s="44"/>
      <c r="D661" s="8"/>
      <c r="E661" s="8"/>
      <c r="F661" s="8"/>
    </row>
    <row r="662" spans="2:6">
      <c r="B662" s="44"/>
      <c r="D662" s="8"/>
      <c r="E662" s="8"/>
      <c r="F662" s="8"/>
    </row>
    <row r="663" spans="2:6">
      <c r="B663" s="44"/>
      <c r="D663" s="8"/>
      <c r="E663" s="8"/>
      <c r="F663" s="8"/>
    </row>
    <row r="664" spans="2:6">
      <c r="B664" s="44"/>
      <c r="D664" s="8"/>
      <c r="E664" s="8"/>
      <c r="F664" s="8"/>
    </row>
    <row r="665" spans="2:6">
      <c r="B665" s="44"/>
      <c r="D665" s="8"/>
      <c r="E665" s="8"/>
      <c r="F665" s="8"/>
    </row>
    <row r="666" spans="2:6">
      <c r="B666" s="44"/>
      <c r="D666" s="8"/>
      <c r="E666" s="8"/>
      <c r="F666" s="8"/>
    </row>
    <row r="667" spans="2:6">
      <c r="B667" s="44"/>
      <c r="D667" s="8"/>
      <c r="E667" s="8"/>
      <c r="F667" s="8"/>
    </row>
    <row r="668" spans="2:6">
      <c r="B668" s="44"/>
      <c r="D668" s="8"/>
      <c r="E668" s="8"/>
      <c r="F668" s="8"/>
    </row>
    <row r="669" spans="2:6">
      <c r="B669" s="44"/>
      <c r="D669" s="8"/>
      <c r="E669" s="8"/>
      <c r="F669" s="8"/>
    </row>
    <row r="670" spans="2:6">
      <c r="B670" s="44"/>
      <c r="D670" s="8"/>
      <c r="E670" s="8"/>
      <c r="F670" s="8"/>
    </row>
    <row r="671" spans="2:6">
      <c r="B671" s="44"/>
      <c r="D671" s="8"/>
      <c r="E671" s="8"/>
      <c r="F671" s="8"/>
    </row>
    <row r="672" spans="2:6">
      <c r="B672" s="44"/>
      <c r="D672" s="8"/>
      <c r="E672" s="8"/>
      <c r="F672" s="8"/>
    </row>
    <row r="673" spans="2:6">
      <c r="B673" s="44"/>
      <c r="D673" s="8"/>
      <c r="E673" s="8"/>
      <c r="F673" s="8"/>
    </row>
    <row r="674" spans="2:6">
      <c r="B674" s="44"/>
      <c r="D674" s="8"/>
      <c r="E674" s="8"/>
      <c r="F674" s="8"/>
    </row>
    <row r="675" spans="2:6">
      <c r="B675" s="44"/>
      <c r="D675" s="8"/>
      <c r="E675" s="8"/>
      <c r="F675" s="8"/>
    </row>
    <row r="676" spans="2:6">
      <c r="B676" s="44"/>
      <c r="D676" s="8"/>
      <c r="E676" s="8"/>
      <c r="F676" s="8"/>
    </row>
    <row r="677" spans="2:6">
      <c r="B677" s="44"/>
      <c r="D677" s="8"/>
      <c r="E677" s="8"/>
      <c r="F677" s="8"/>
    </row>
    <row r="678" spans="2:6">
      <c r="B678" s="44"/>
      <c r="D678" s="8"/>
      <c r="E678" s="8"/>
      <c r="F678" s="8"/>
    </row>
    <row r="679" spans="2:6">
      <c r="B679" s="44"/>
      <c r="D679" s="8"/>
      <c r="E679" s="8"/>
      <c r="F679" s="8"/>
    </row>
    <row r="680" spans="2:6">
      <c r="B680" s="44"/>
      <c r="D680" s="8"/>
      <c r="E680" s="8"/>
      <c r="F680" s="8"/>
    </row>
    <row r="681" spans="2:6">
      <c r="B681" s="44"/>
      <c r="D681" s="8"/>
      <c r="E681" s="8"/>
      <c r="F681" s="8"/>
    </row>
    <row r="682" spans="2:6">
      <c r="B682" s="44"/>
      <c r="D682" s="8"/>
      <c r="E682" s="8"/>
      <c r="F682" s="8"/>
    </row>
    <row r="683" spans="2:6">
      <c r="B683" s="44"/>
      <c r="D683" s="8"/>
      <c r="E683" s="8"/>
      <c r="F683" s="8"/>
    </row>
    <row r="684" spans="2:6">
      <c r="B684" s="44"/>
      <c r="D684" s="8"/>
      <c r="E684" s="8"/>
      <c r="F684" s="8"/>
    </row>
    <row r="685" spans="2:6">
      <c r="B685" s="44"/>
      <c r="D685" s="8"/>
      <c r="E685" s="8"/>
      <c r="F685" s="8"/>
    </row>
    <row r="686" spans="2:6">
      <c r="B686" s="44"/>
      <c r="D686" s="8"/>
      <c r="E686" s="8"/>
      <c r="F686" s="8"/>
    </row>
    <row r="687" spans="2:6">
      <c r="B687" s="44"/>
      <c r="D687" s="8"/>
      <c r="E687" s="8"/>
      <c r="F687" s="8"/>
    </row>
    <row r="688" spans="2:6">
      <c r="B688" s="44"/>
      <c r="D688" s="8"/>
      <c r="E688" s="8"/>
      <c r="F688" s="8"/>
    </row>
    <row r="689" spans="2:6">
      <c r="B689" s="44"/>
      <c r="D689" s="8"/>
      <c r="E689" s="8"/>
      <c r="F689" s="8"/>
    </row>
    <row r="690" spans="2:6">
      <c r="B690" s="44"/>
      <c r="D690" s="8"/>
      <c r="E690" s="8"/>
      <c r="F690" s="8"/>
    </row>
    <row r="691" spans="2:6">
      <c r="B691" s="44"/>
      <c r="D691" s="8"/>
      <c r="E691" s="8"/>
      <c r="F691" s="8"/>
    </row>
    <row r="692" spans="2:6">
      <c r="B692" s="44"/>
      <c r="D692" s="8"/>
      <c r="E692" s="8"/>
      <c r="F692" s="8"/>
    </row>
    <row r="693" spans="2:6">
      <c r="B693" s="44"/>
      <c r="D693" s="8"/>
      <c r="E693" s="8"/>
      <c r="F693" s="8"/>
    </row>
    <row r="694" spans="2:6">
      <c r="B694" s="44"/>
      <c r="D694" s="8"/>
      <c r="E694" s="8"/>
      <c r="F694" s="8"/>
    </row>
    <row r="695" spans="2:6">
      <c r="B695" s="44"/>
      <c r="D695" s="8"/>
      <c r="E695" s="8"/>
      <c r="F695" s="8"/>
    </row>
    <row r="696" spans="2:6">
      <c r="B696" s="44"/>
      <c r="D696" s="8"/>
      <c r="E696" s="8"/>
      <c r="F696" s="8"/>
    </row>
    <row r="697" spans="2:6">
      <c r="B697" s="44"/>
      <c r="D697" s="8"/>
      <c r="E697" s="8"/>
      <c r="F697" s="8"/>
    </row>
    <row r="698" spans="2:6">
      <c r="B698" s="44"/>
      <c r="D698" s="8"/>
      <c r="E698" s="8"/>
      <c r="F698" s="8"/>
    </row>
    <row r="699" spans="2:6">
      <c r="B699" s="44"/>
      <c r="D699" s="8"/>
      <c r="E699" s="8"/>
      <c r="F699" s="8"/>
    </row>
    <row r="700" spans="2:6">
      <c r="B700" s="44"/>
      <c r="D700" s="8"/>
      <c r="E700" s="8"/>
      <c r="F700" s="8"/>
    </row>
    <row r="701" spans="2:6">
      <c r="B701" s="44"/>
      <c r="D701" s="8"/>
      <c r="E701" s="8"/>
      <c r="F701" s="8"/>
    </row>
    <row r="702" spans="2:6">
      <c r="B702" s="44"/>
      <c r="D702" s="8"/>
      <c r="E702" s="8"/>
      <c r="F702" s="8"/>
    </row>
    <row r="703" spans="2:6">
      <c r="B703" s="44"/>
      <c r="D703" s="8"/>
      <c r="E703" s="8"/>
      <c r="F703" s="8"/>
    </row>
    <row r="704" spans="2:6">
      <c r="B704" s="44"/>
      <c r="D704" s="8"/>
      <c r="E704" s="8"/>
      <c r="F704" s="8"/>
    </row>
    <row r="705" spans="2:6">
      <c r="B705" s="44"/>
      <c r="D705" s="8"/>
      <c r="E705" s="8"/>
      <c r="F705" s="8"/>
    </row>
    <row r="706" spans="2:6">
      <c r="B706" s="44"/>
      <c r="D706" s="8"/>
      <c r="E706" s="8"/>
      <c r="F706" s="8"/>
    </row>
    <row r="707" spans="2:6">
      <c r="B707" s="44"/>
      <c r="D707" s="8"/>
      <c r="E707" s="8"/>
      <c r="F707" s="8"/>
    </row>
    <row r="708" spans="2:6">
      <c r="B708" s="44"/>
      <c r="D708" s="8"/>
      <c r="E708" s="8"/>
      <c r="F708" s="8"/>
    </row>
    <row r="709" spans="2:6">
      <c r="B709" s="44"/>
      <c r="D709" s="8"/>
      <c r="E709" s="8"/>
      <c r="F709" s="8"/>
    </row>
    <row r="710" spans="2:6">
      <c r="B710" s="44"/>
      <c r="D710" s="8"/>
      <c r="E710" s="8"/>
      <c r="F710" s="8"/>
    </row>
    <row r="711" spans="2:6">
      <c r="B711" s="44"/>
      <c r="D711" s="8"/>
      <c r="E711" s="8"/>
      <c r="F711" s="8"/>
    </row>
    <row r="712" spans="2:6">
      <c r="B712" s="44"/>
      <c r="D712" s="8"/>
      <c r="E712" s="8"/>
      <c r="F712" s="8"/>
    </row>
    <row r="713" spans="2:6">
      <c r="B713" s="44"/>
      <c r="D713" s="8"/>
      <c r="E713" s="8"/>
      <c r="F713" s="8"/>
    </row>
    <row r="714" spans="2:6">
      <c r="B714" s="44"/>
      <c r="D714" s="8"/>
      <c r="E714" s="8"/>
      <c r="F714" s="8"/>
    </row>
    <row r="715" spans="2:6">
      <c r="B715" s="44"/>
      <c r="D715" s="8"/>
      <c r="E715" s="8"/>
      <c r="F715" s="8"/>
    </row>
    <row r="716" spans="2:6">
      <c r="B716" s="44"/>
      <c r="D716" s="8"/>
      <c r="E716" s="8"/>
      <c r="F716" s="8"/>
    </row>
    <row r="717" spans="2:6">
      <c r="B717" s="44"/>
      <c r="D717" s="8"/>
      <c r="E717" s="8"/>
      <c r="F717" s="8"/>
    </row>
    <row r="718" spans="2:6">
      <c r="B718" s="44"/>
      <c r="D718" s="8"/>
      <c r="E718" s="8"/>
      <c r="F718" s="8"/>
    </row>
    <row r="719" spans="2:6">
      <c r="B719" s="44"/>
      <c r="D719" s="8"/>
      <c r="E719" s="8"/>
      <c r="F719" s="8"/>
    </row>
    <row r="720" spans="2:6">
      <c r="B720" s="44"/>
      <c r="D720" s="8"/>
      <c r="E720" s="8"/>
      <c r="F720" s="8"/>
    </row>
    <row r="721" spans="2:6">
      <c r="B721" s="44"/>
      <c r="D721" s="8"/>
      <c r="E721" s="8"/>
      <c r="F721" s="8"/>
    </row>
    <row r="722" spans="2:6">
      <c r="B722" s="44"/>
      <c r="D722" s="8"/>
      <c r="E722" s="8"/>
      <c r="F722" s="8"/>
    </row>
    <row r="723" spans="2:6">
      <c r="B723" s="44"/>
      <c r="D723" s="8"/>
      <c r="E723" s="8"/>
      <c r="F723" s="8"/>
    </row>
    <row r="724" spans="2:6">
      <c r="B724" s="44"/>
      <c r="D724" s="8"/>
      <c r="E724" s="8"/>
      <c r="F724" s="8"/>
    </row>
    <row r="725" spans="2:6">
      <c r="B725" s="44"/>
      <c r="D725" s="8"/>
      <c r="E725" s="8"/>
      <c r="F725" s="8"/>
    </row>
    <row r="726" spans="2:6">
      <c r="B726" s="44"/>
      <c r="D726" s="8"/>
      <c r="E726" s="8"/>
      <c r="F726" s="8"/>
    </row>
    <row r="727" spans="2:6">
      <c r="B727" s="44"/>
      <c r="D727" s="8"/>
      <c r="E727" s="8"/>
      <c r="F727" s="8"/>
    </row>
    <row r="728" spans="2:6">
      <c r="B728" s="44"/>
      <c r="D728" s="8"/>
      <c r="E728" s="8"/>
      <c r="F728" s="8"/>
    </row>
    <row r="729" spans="2:6">
      <c r="B729" s="44"/>
      <c r="D729" s="8"/>
      <c r="E729" s="8"/>
      <c r="F729" s="8"/>
    </row>
    <row r="730" spans="2:6">
      <c r="B730" s="44"/>
      <c r="D730" s="8"/>
      <c r="E730" s="8"/>
      <c r="F730" s="8"/>
    </row>
    <row r="731" spans="2:6">
      <c r="B731" s="44"/>
      <c r="D731" s="8"/>
      <c r="E731" s="8"/>
      <c r="F731" s="8"/>
    </row>
    <row r="732" spans="2:6">
      <c r="B732" s="44"/>
      <c r="D732" s="8"/>
      <c r="E732" s="8"/>
      <c r="F732" s="8"/>
    </row>
    <row r="733" spans="2:6">
      <c r="B733" s="44"/>
      <c r="D733" s="8"/>
      <c r="E733" s="8"/>
      <c r="F733" s="8"/>
    </row>
    <row r="734" spans="2:6">
      <c r="B734" s="44"/>
      <c r="D734" s="8"/>
      <c r="E734" s="8"/>
      <c r="F734" s="8"/>
    </row>
    <row r="735" spans="2:6">
      <c r="B735" s="44"/>
      <c r="D735" s="8"/>
      <c r="E735" s="8"/>
      <c r="F735" s="8"/>
    </row>
    <row r="736" spans="2:6">
      <c r="B736" s="44"/>
      <c r="D736" s="8"/>
      <c r="E736" s="8"/>
      <c r="F736" s="8"/>
    </row>
    <row r="737" spans="2:6">
      <c r="B737" s="44"/>
      <c r="D737" s="8"/>
      <c r="E737" s="8"/>
      <c r="F737" s="8"/>
    </row>
    <row r="738" spans="2:6">
      <c r="B738" s="44"/>
      <c r="D738" s="8"/>
      <c r="E738" s="8"/>
      <c r="F738" s="8"/>
    </row>
    <row r="739" spans="2:6">
      <c r="B739" s="44"/>
      <c r="D739" s="8"/>
      <c r="E739" s="8"/>
      <c r="F739" s="8"/>
    </row>
    <row r="740" spans="2:6">
      <c r="B740" s="44"/>
      <c r="D740" s="8"/>
      <c r="E740" s="8"/>
      <c r="F740" s="8"/>
    </row>
    <row r="741" spans="2:6">
      <c r="B741" s="44"/>
      <c r="D741" s="8"/>
      <c r="E741" s="8"/>
      <c r="F741" s="8"/>
    </row>
    <row r="742" spans="2:6">
      <c r="B742" s="44"/>
      <c r="D742" s="8"/>
      <c r="E742" s="8"/>
      <c r="F742" s="8"/>
    </row>
    <row r="743" spans="2:6">
      <c r="B743" s="44"/>
      <c r="D743" s="8"/>
      <c r="E743" s="8"/>
      <c r="F743" s="8"/>
    </row>
    <row r="744" spans="2:6">
      <c r="B744" s="44"/>
      <c r="D744" s="8"/>
      <c r="E744" s="8"/>
      <c r="F744" s="8"/>
    </row>
    <row r="745" spans="2:6">
      <c r="B745" s="44"/>
      <c r="D745" s="8"/>
      <c r="E745" s="8"/>
      <c r="F745" s="8"/>
    </row>
    <row r="746" spans="2:6">
      <c r="B746" s="44"/>
      <c r="D746" s="8"/>
      <c r="E746" s="8"/>
      <c r="F746" s="8"/>
    </row>
    <row r="747" spans="2:6">
      <c r="B747" s="44"/>
      <c r="D747" s="8"/>
      <c r="E747" s="8"/>
      <c r="F747" s="8"/>
    </row>
    <row r="748" spans="2:6">
      <c r="B748" s="44"/>
      <c r="D748" s="8"/>
      <c r="E748" s="8"/>
      <c r="F748" s="8"/>
    </row>
    <row r="749" spans="2:6">
      <c r="B749" s="44"/>
      <c r="D749" s="8"/>
      <c r="E749" s="8"/>
      <c r="F749" s="8"/>
    </row>
    <row r="750" spans="2:6">
      <c r="B750" s="44"/>
      <c r="D750" s="8"/>
      <c r="E750" s="8"/>
      <c r="F750" s="8"/>
    </row>
    <row r="751" spans="2:6">
      <c r="B751" s="44"/>
      <c r="D751" s="8"/>
      <c r="E751" s="8"/>
      <c r="F751" s="8"/>
    </row>
    <row r="752" spans="2:6">
      <c r="B752" s="44"/>
      <c r="D752" s="8"/>
      <c r="E752" s="8"/>
      <c r="F752" s="8"/>
    </row>
    <row r="753" spans="2:6">
      <c r="B753" s="44"/>
      <c r="D753" s="8"/>
      <c r="E753" s="8"/>
      <c r="F753" s="8"/>
    </row>
    <row r="754" spans="2:6">
      <c r="B754" s="44"/>
      <c r="D754" s="8"/>
      <c r="E754" s="8"/>
      <c r="F754" s="8"/>
    </row>
    <row r="755" spans="2:6">
      <c r="B755" s="44"/>
      <c r="D755" s="8"/>
      <c r="E755" s="8"/>
      <c r="F755" s="8"/>
    </row>
    <row r="756" spans="2:6">
      <c r="B756" s="44"/>
      <c r="D756" s="8"/>
      <c r="E756" s="8"/>
      <c r="F756" s="8"/>
    </row>
    <row r="757" spans="2:6">
      <c r="B757" s="44"/>
      <c r="D757" s="8"/>
      <c r="E757" s="8"/>
      <c r="F757" s="8"/>
    </row>
    <row r="758" spans="2:6">
      <c r="B758" s="44"/>
      <c r="D758" s="8"/>
      <c r="E758" s="8"/>
      <c r="F758" s="8"/>
    </row>
    <row r="759" spans="2:6">
      <c r="B759" s="44"/>
      <c r="D759" s="8"/>
      <c r="E759" s="8"/>
      <c r="F759" s="8"/>
    </row>
    <row r="760" spans="2:6">
      <c r="B760" s="44"/>
      <c r="D760" s="8"/>
      <c r="E760" s="8"/>
      <c r="F760" s="8"/>
    </row>
    <row r="761" spans="2:6">
      <c r="B761" s="44"/>
      <c r="D761" s="8"/>
      <c r="E761" s="8"/>
      <c r="F761" s="8"/>
    </row>
    <row r="762" spans="2:6">
      <c r="B762" s="44"/>
      <c r="D762" s="8"/>
      <c r="E762" s="8"/>
      <c r="F762" s="8"/>
    </row>
    <row r="763" spans="2:6">
      <c r="B763" s="44"/>
      <c r="D763" s="8"/>
      <c r="E763" s="8"/>
      <c r="F763" s="8"/>
    </row>
    <row r="764" spans="2:6">
      <c r="B764" s="44"/>
      <c r="D764" s="8"/>
      <c r="E764" s="8"/>
      <c r="F764" s="8"/>
    </row>
    <row r="765" spans="2:6">
      <c r="B765" s="44"/>
      <c r="D765" s="8"/>
      <c r="E765" s="8"/>
      <c r="F765" s="8"/>
    </row>
    <row r="766" spans="2:6">
      <c r="B766" s="44"/>
      <c r="D766" s="8"/>
      <c r="E766" s="8"/>
      <c r="F766" s="8"/>
    </row>
    <row r="767" spans="2:6">
      <c r="B767" s="44"/>
      <c r="D767" s="8"/>
      <c r="E767" s="8"/>
      <c r="F767" s="8"/>
    </row>
    <row r="768" spans="2:6">
      <c r="B768" s="44"/>
      <c r="D768" s="8"/>
      <c r="E768" s="8"/>
      <c r="F768" s="8"/>
    </row>
    <row r="769" spans="2:6">
      <c r="B769" s="44"/>
      <c r="D769" s="8"/>
      <c r="E769" s="8"/>
      <c r="F769" s="8"/>
    </row>
    <row r="770" spans="2:6">
      <c r="B770" s="44"/>
      <c r="D770" s="8"/>
      <c r="E770" s="8"/>
      <c r="F770" s="8"/>
    </row>
    <row r="771" spans="2:6">
      <c r="B771" s="44"/>
      <c r="D771" s="8"/>
      <c r="E771" s="8"/>
      <c r="F771" s="8"/>
    </row>
    <row r="772" spans="2:6">
      <c r="B772" s="44"/>
      <c r="D772" s="8"/>
      <c r="E772" s="8"/>
      <c r="F772" s="8"/>
    </row>
    <row r="773" spans="2:6">
      <c r="B773" s="44"/>
      <c r="D773" s="8"/>
      <c r="E773" s="8"/>
      <c r="F773" s="8"/>
    </row>
    <row r="774" spans="2:6">
      <c r="B774" s="44"/>
      <c r="D774" s="8"/>
      <c r="E774" s="8"/>
      <c r="F774" s="8"/>
    </row>
    <row r="775" spans="2:6">
      <c r="B775" s="44"/>
      <c r="D775" s="8"/>
      <c r="E775" s="8"/>
      <c r="F775" s="8"/>
    </row>
    <row r="776" spans="2:6">
      <c r="B776" s="44"/>
      <c r="D776" s="8"/>
      <c r="E776" s="8"/>
      <c r="F776" s="8"/>
    </row>
    <row r="777" spans="2:6">
      <c r="B777" s="44"/>
      <c r="D777" s="8"/>
      <c r="E777" s="8"/>
      <c r="F777" s="8"/>
    </row>
    <row r="778" spans="2:6">
      <c r="B778" s="44"/>
      <c r="D778" s="8"/>
      <c r="E778" s="8"/>
      <c r="F778" s="8"/>
    </row>
    <row r="779" spans="2:6">
      <c r="B779" s="44"/>
      <c r="D779" s="8"/>
      <c r="E779" s="8"/>
      <c r="F779" s="8"/>
    </row>
    <row r="780" spans="2:6">
      <c r="B780" s="44"/>
      <c r="D780" s="8"/>
      <c r="E780" s="8"/>
      <c r="F780" s="8"/>
    </row>
    <row r="781" spans="2:6">
      <c r="B781" s="44"/>
      <c r="D781" s="8"/>
      <c r="E781" s="8"/>
      <c r="F781" s="8"/>
    </row>
    <row r="782" spans="2:6">
      <c r="B782" s="44"/>
      <c r="D782" s="8"/>
      <c r="E782" s="8"/>
      <c r="F782" s="8"/>
    </row>
    <row r="783" spans="2:6">
      <c r="B783" s="44"/>
      <c r="D783" s="8"/>
      <c r="E783" s="8"/>
      <c r="F783" s="8"/>
    </row>
    <row r="784" spans="2:6">
      <c r="B784" s="44"/>
      <c r="D784" s="8"/>
      <c r="E784" s="8"/>
      <c r="F784" s="8"/>
    </row>
    <row r="785" spans="2:6">
      <c r="B785" s="44"/>
      <c r="D785" s="8"/>
      <c r="E785" s="8"/>
      <c r="F785" s="8"/>
    </row>
    <row r="786" spans="2:6">
      <c r="B786" s="44"/>
      <c r="D786" s="8"/>
      <c r="E786" s="8"/>
      <c r="F786" s="8"/>
    </row>
    <row r="787" spans="2:6">
      <c r="B787" s="44"/>
      <c r="D787" s="8"/>
      <c r="E787" s="8"/>
      <c r="F787" s="8"/>
    </row>
    <row r="788" spans="2:6">
      <c r="B788" s="44"/>
      <c r="D788" s="8"/>
      <c r="E788" s="8"/>
      <c r="F788" s="8"/>
    </row>
    <row r="789" spans="2:6">
      <c r="B789" s="44"/>
      <c r="D789" s="8"/>
      <c r="E789" s="8"/>
      <c r="F789" s="8"/>
    </row>
    <row r="790" spans="2:6">
      <c r="B790" s="44"/>
      <c r="D790" s="8"/>
      <c r="E790" s="8"/>
      <c r="F790" s="8"/>
    </row>
    <row r="791" spans="2:6">
      <c r="B791" s="44"/>
      <c r="D791" s="8"/>
      <c r="E791" s="8"/>
      <c r="F791" s="8"/>
    </row>
    <row r="792" spans="2:6">
      <c r="B792" s="44"/>
      <c r="D792" s="8"/>
      <c r="E792" s="8"/>
      <c r="F792" s="8"/>
    </row>
    <row r="793" spans="2:6">
      <c r="B793" s="44"/>
      <c r="D793" s="8"/>
      <c r="E793" s="8"/>
      <c r="F793" s="8"/>
    </row>
    <row r="794" spans="2:6">
      <c r="B794" s="44"/>
      <c r="D794" s="8"/>
      <c r="E794" s="8"/>
      <c r="F794" s="8"/>
    </row>
    <row r="795" spans="2:6">
      <c r="B795" s="44"/>
      <c r="D795" s="8"/>
      <c r="E795" s="8"/>
      <c r="F795" s="8"/>
    </row>
    <row r="796" spans="2:6">
      <c r="B796" s="44"/>
      <c r="D796" s="8"/>
      <c r="E796" s="8"/>
      <c r="F796" s="8"/>
    </row>
    <row r="797" spans="2:6">
      <c r="B797" s="44"/>
      <c r="D797" s="8"/>
      <c r="E797" s="8"/>
      <c r="F797" s="8"/>
    </row>
    <row r="798" spans="2:6">
      <c r="B798" s="44"/>
      <c r="D798" s="8"/>
      <c r="E798" s="8"/>
      <c r="F798" s="8"/>
    </row>
    <row r="799" spans="2:6">
      <c r="B799" s="44"/>
      <c r="D799" s="8"/>
      <c r="E799" s="8"/>
      <c r="F799" s="8"/>
    </row>
    <row r="800" spans="2:6">
      <c r="B800" s="44"/>
      <c r="D800" s="8"/>
      <c r="E800" s="8"/>
      <c r="F800" s="8"/>
    </row>
    <row r="801" spans="2:6">
      <c r="B801" s="44"/>
      <c r="D801" s="8"/>
      <c r="E801" s="8"/>
      <c r="F801" s="8"/>
    </row>
    <row r="802" spans="2:6">
      <c r="B802" s="44"/>
      <c r="D802" s="8"/>
      <c r="E802" s="8"/>
      <c r="F802" s="8"/>
    </row>
    <row r="803" spans="2:6">
      <c r="B803" s="44"/>
      <c r="D803" s="8"/>
      <c r="E803" s="8"/>
      <c r="F803" s="8"/>
    </row>
    <row r="804" spans="2:6">
      <c r="B804" s="44"/>
      <c r="D804" s="8"/>
      <c r="E804" s="8"/>
      <c r="F804" s="8"/>
    </row>
    <row r="805" spans="2:6">
      <c r="B805" s="44"/>
      <c r="D805" s="8"/>
      <c r="E805" s="8"/>
      <c r="F805" s="8"/>
    </row>
    <row r="806" spans="2:6">
      <c r="B806" s="44"/>
      <c r="D806" s="8"/>
      <c r="E806" s="8"/>
      <c r="F806" s="8"/>
    </row>
    <row r="807" spans="2:6">
      <c r="B807" s="44"/>
      <c r="D807" s="8"/>
      <c r="E807" s="8"/>
      <c r="F807" s="8"/>
    </row>
    <row r="808" spans="2:6">
      <c r="B808" s="44"/>
      <c r="D808" s="8"/>
      <c r="E808" s="8"/>
      <c r="F808" s="8"/>
    </row>
    <row r="809" spans="2:6">
      <c r="B809" s="44"/>
      <c r="D809" s="8"/>
      <c r="E809" s="8"/>
      <c r="F809" s="8"/>
    </row>
    <row r="810" spans="2:6">
      <c r="B810" s="44"/>
      <c r="D810" s="8"/>
      <c r="E810" s="8"/>
      <c r="F810" s="8"/>
    </row>
    <row r="811" spans="2:6">
      <c r="B811" s="44"/>
      <c r="D811" s="8"/>
      <c r="E811" s="8"/>
      <c r="F811" s="8"/>
    </row>
    <row r="812" spans="2:6">
      <c r="B812" s="44"/>
      <c r="D812" s="8"/>
      <c r="E812" s="8"/>
      <c r="F812" s="8"/>
    </row>
    <row r="813" spans="2:6">
      <c r="B813" s="44"/>
      <c r="D813" s="8"/>
      <c r="E813" s="8"/>
      <c r="F813" s="8"/>
    </row>
    <row r="814" spans="2:6">
      <c r="B814" s="44"/>
      <c r="D814" s="8"/>
      <c r="E814" s="8"/>
      <c r="F814" s="8"/>
    </row>
    <row r="815" spans="2:6">
      <c r="B815" s="44"/>
      <c r="D815" s="8"/>
      <c r="E815" s="8"/>
      <c r="F815" s="8"/>
    </row>
    <row r="816" spans="2:6">
      <c r="B816" s="44"/>
      <c r="D816" s="8"/>
      <c r="E816" s="8"/>
      <c r="F816" s="8"/>
    </row>
    <row r="817" spans="2:6">
      <c r="B817" s="44"/>
      <c r="D817" s="8"/>
      <c r="E817" s="8"/>
      <c r="F817" s="8"/>
    </row>
    <row r="818" spans="2:6">
      <c r="B818" s="44"/>
      <c r="D818" s="8"/>
      <c r="E818" s="8"/>
      <c r="F818" s="8"/>
    </row>
    <row r="819" spans="2:6">
      <c r="B819" s="44"/>
      <c r="D819" s="8"/>
      <c r="E819" s="8"/>
      <c r="F819" s="8"/>
    </row>
    <row r="820" spans="2:6">
      <c r="B820" s="44"/>
      <c r="D820" s="8"/>
      <c r="E820" s="8"/>
      <c r="F820" s="8"/>
    </row>
    <row r="821" spans="2:6">
      <c r="B821" s="44"/>
      <c r="D821" s="8"/>
      <c r="E821" s="8"/>
      <c r="F821" s="8"/>
    </row>
    <row r="822" spans="2:6">
      <c r="B822" s="44"/>
      <c r="D822" s="8"/>
      <c r="E822" s="8"/>
      <c r="F822" s="8"/>
    </row>
    <row r="823" spans="2:6">
      <c r="B823" s="44"/>
      <c r="D823" s="8"/>
      <c r="E823" s="8"/>
      <c r="F823" s="8"/>
    </row>
    <row r="824" spans="2:6">
      <c r="B824" s="44"/>
      <c r="D824" s="8"/>
      <c r="E824" s="8"/>
      <c r="F824" s="8"/>
    </row>
    <row r="825" spans="2:6">
      <c r="B825" s="44"/>
      <c r="D825" s="8"/>
      <c r="E825" s="8"/>
      <c r="F825" s="8"/>
    </row>
    <row r="826" spans="2:6">
      <c r="B826" s="44"/>
      <c r="D826" s="8"/>
      <c r="E826" s="8"/>
      <c r="F826" s="8"/>
    </row>
    <row r="827" spans="2:6">
      <c r="B827" s="44"/>
      <c r="D827" s="8"/>
      <c r="E827" s="8"/>
      <c r="F827" s="8"/>
    </row>
    <row r="828" spans="2:6">
      <c r="B828" s="44"/>
      <c r="D828" s="8"/>
      <c r="E828" s="8"/>
      <c r="F828" s="8"/>
    </row>
    <row r="829" spans="2:6">
      <c r="B829" s="44"/>
      <c r="D829" s="8"/>
      <c r="E829" s="8"/>
      <c r="F829" s="8"/>
    </row>
    <row r="830" spans="2:6">
      <c r="B830" s="44"/>
      <c r="D830" s="8"/>
      <c r="E830" s="8"/>
      <c r="F830" s="8"/>
    </row>
    <row r="831" spans="2:6">
      <c r="B831" s="44"/>
      <c r="D831" s="8"/>
      <c r="E831" s="8"/>
      <c r="F831" s="8"/>
    </row>
    <row r="832" spans="2:6">
      <c r="B832" s="44"/>
      <c r="D832" s="8"/>
      <c r="E832" s="8"/>
      <c r="F832" s="8"/>
    </row>
    <row r="833" spans="2:6">
      <c r="B833" s="44"/>
      <c r="D833" s="8"/>
      <c r="E833" s="8"/>
      <c r="F833" s="8"/>
    </row>
    <row r="834" spans="2:6">
      <c r="B834" s="44"/>
      <c r="D834" s="8"/>
      <c r="E834" s="8"/>
      <c r="F834" s="8"/>
    </row>
    <row r="835" spans="2:6">
      <c r="B835" s="44"/>
      <c r="D835" s="8"/>
      <c r="E835" s="8"/>
      <c r="F835" s="8"/>
    </row>
    <row r="836" spans="2:6">
      <c r="B836" s="44"/>
      <c r="D836" s="8"/>
      <c r="E836" s="8"/>
      <c r="F836" s="8"/>
    </row>
    <row r="837" spans="2:6">
      <c r="B837" s="44"/>
      <c r="D837" s="8"/>
      <c r="E837" s="8"/>
      <c r="F837" s="8"/>
    </row>
    <row r="838" spans="2:6">
      <c r="B838" s="44"/>
      <c r="D838" s="8"/>
      <c r="E838" s="8"/>
      <c r="F838" s="8"/>
    </row>
    <row r="839" spans="2:6">
      <c r="B839" s="44"/>
      <c r="D839" s="8"/>
      <c r="E839" s="8"/>
      <c r="F839" s="8"/>
    </row>
    <row r="840" spans="2:6">
      <c r="B840" s="44"/>
      <c r="D840" s="8"/>
      <c r="E840" s="8"/>
      <c r="F840" s="8"/>
    </row>
    <row r="841" spans="2:6">
      <c r="B841" s="44"/>
      <c r="D841" s="8"/>
      <c r="E841" s="8"/>
      <c r="F841" s="8"/>
    </row>
    <row r="842" spans="2:6">
      <c r="B842" s="44"/>
      <c r="D842" s="8"/>
      <c r="E842" s="8"/>
      <c r="F842" s="8"/>
    </row>
    <row r="843" spans="2:6">
      <c r="B843" s="44"/>
      <c r="D843" s="8"/>
      <c r="E843" s="8"/>
      <c r="F843" s="8"/>
    </row>
    <row r="844" spans="2:6">
      <c r="B844" s="44"/>
      <c r="D844" s="8"/>
      <c r="E844" s="8"/>
      <c r="F844" s="8"/>
    </row>
    <row r="845" spans="2:6">
      <c r="B845" s="44"/>
      <c r="D845" s="8"/>
      <c r="E845" s="8"/>
      <c r="F845" s="8"/>
    </row>
    <row r="846" spans="2:6">
      <c r="B846" s="44"/>
      <c r="D846" s="8"/>
      <c r="E846" s="8"/>
      <c r="F846" s="8"/>
    </row>
    <row r="847" spans="2:6">
      <c r="B847" s="44"/>
      <c r="D847" s="8"/>
      <c r="E847" s="8"/>
      <c r="F847" s="8"/>
    </row>
    <row r="848" spans="2:6">
      <c r="B848" s="44"/>
      <c r="D848" s="8"/>
      <c r="E848" s="8"/>
      <c r="F848" s="8"/>
    </row>
    <row r="849" spans="2:6">
      <c r="B849" s="44"/>
      <c r="D849" s="8"/>
      <c r="E849" s="8"/>
      <c r="F849" s="8"/>
    </row>
    <row r="850" spans="2:6">
      <c r="B850" s="44"/>
      <c r="D850" s="8"/>
      <c r="E850" s="8"/>
      <c r="F850" s="8"/>
    </row>
    <row r="851" spans="2:6">
      <c r="B851" s="44"/>
      <c r="D851" s="8"/>
      <c r="E851" s="8"/>
      <c r="F851" s="8"/>
    </row>
    <row r="852" spans="2:6">
      <c r="B852" s="44"/>
      <c r="D852" s="8"/>
      <c r="E852" s="8"/>
      <c r="F852" s="8"/>
    </row>
    <row r="853" spans="2:6">
      <c r="B853" s="44"/>
      <c r="D853" s="8"/>
      <c r="E853" s="8"/>
      <c r="F853" s="8"/>
    </row>
    <row r="854" spans="2:6">
      <c r="B854" s="44"/>
      <c r="D854" s="8"/>
      <c r="E854" s="8"/>
      <c r="F854" s="8"/>
    </row>
    <row r="855" spans="2:6">
      <c r="B855" s="44"/>
      <c r="D855" s="8"/>
      <c r="E855" s="8"/>
      <c r="F855" s="8"/>
    </row>
    <row r="856" spans="2:6">
      <c r="B856" s="44"/>
      <c r="D856" s="8"/>
      <c r="E856" s="8"/>
      <c r="F856" s="8"/>
    </row>
    <row r="857" spans="2:6">
      <c r="B857" s="44"/>
      <c r="D857" s="8"/>
      <c r="E857" s="8"/>
      <c r="F857" s="8"/>
    </row>
    <row r="858" spans="2:6">
      <c r="B858" s="44"/>
      <c r="D858" s="8"/>
      <c r="E858" s="8"/>
      <c r="F858" s="8"/>
    </row>
    <row r="859" spans="2:6">
      <c r="B859" s="44"/>
      <c r="D859" s="8"/>
      <c r="E859" s="8"/>
      <c r="F859" s="8"/>
    </row>
    <row r="860" spans="2:6">
      <c r="B860" s="44"/>
      <c r="D860" s="8"/>
      <c r="E860" s="8"/>
      <c r="F860" s="8"/>
    </row>
    <row r="861" spans="2:6">
      <c r="B861" s="44"/>
      <c r="D861" s="8"/>
      <c r="E861" s="8"/>
      <c r="F861" s="8"/>
    </row>
    <row r="862" spans="2:6">
      <c r="B862" s="44"/>
      <c r="D862" s="8"/>
      <c r="E862" s="8"/>
      <c r="F862" s="8"/>
    </row>
    <row r="863" spans="2:6">
      <c r="B863" s="44"/>
      <c r="D863" s="8"/>
      <c r="E863" s="8"/>
      <c r="F863" s="8"/>
    </row>
    <row r="864" spans="2:6">
      <c r="B864" s="44"/>
      <c r="D864" s="8"/>
      <c r="E864" s="8"/>
      <c r="F864" s="8"/>
    </row>
    <row r="865" spans="2:6">
      <c r="B865" s="44"/>
      <c r="D865" s="8"/>
      <c r="E865" s="8"/>
      <c r="F865" s="8"/>
    </row>
    <row r="866" spans="2:6">
      <c r="B866" s="44"/>
      <c r="D866" s="8"/>
      <c r="E866" s="8"/>
      <c r="F866" s="8"/>
    </row>
    <row r="867" spans="2:6">
      <c r="B867" s="44"/>
      <c r="D867" s="8"/>
      <c r="E867" s="8"/>
      <c r="F867" s="8"/>
    </row>
    <row r="868" spans="2:6">
      <c r="B868" s="44"/>
      <c r="D868" s="8"/>
      <c r="E868" s="8"/>
      <c r="F868" s="8"/>
    </row>
    <row r="869" spans="2:6">
      <c r="B869" s="44"/>
      <c r="D869" s="8"/>
      <c r="E869" s="8"/>
      <c r="F869" s="8"/>
    </row>
    <row r="870" spans="2:6">
      <c r="B870" s="44"/>
      <c r="D870" s="8"/>
      <c r="E870" s="8"/>
      <c r="F870" s="8"/>
    </row>
    <row r="871" spans="2:6">
      <c r="B871" s="44"/>
      <c r="D871" s="8"/>
      <c r="E871" s="8"/>
      <c r="F871" s="8"/>
    </row>
    <row r="872" spans="2:6">
      <c r="B872" s="44"/>
      <c r="D872" s="8"/>
      <c r="E872" s="8"/>
      <c r="F872" s="8"/>
    </row>
    <row r="873" spans="2:6">
      <c r="B873" s="44"/>
      <c r="D873" s="8"/>
      <c r="E873" s="8"/>
      <c r="F873" s="8"/>
    </row>
    <row r="874" spans="2:6">
      <c r="B874" s="44"/>
      <c r="D874" s="8"/>
      <c r="E874" s="8"/>
      <c r="F874" s="8"/>
    </row>
    <row r="875" spans="2:6">
      <c r="B875" s="44"/>
      <c r="D875" s="8"/>
      <c r="E875" s="8"/>
      <c r="F875" s="8"/>
    </row>
    <row r="876" spans="2:6">
      <c r="B876" s="44"/>
      <c r="D876" s="8"/>
      <c r="E876" s="8"/>
      <c r="F876" s="8"/>
    </row>
    <row r="877" spans="2:6">
      <c r="B877" s="44"/>
      <c r="D877" s="8"/>
      <c r="E877" s="8"/>
      <c r="F877" s="8"/>
    </row>
    <row r="878" spans="2:6">
      <c r="B878" s="44"/>
      <c r="D878" s="8"/>
      <c r="E878" s="8"/>
      <c r="F878" s="8"/>
    </row>
    <row r="879" spans="2:6">
      <c r="B879" s="44"/>
      <c r="D879" s="8"/>
      <c r="E879" s="8"/>
      <c r="F879" s="8"/>
    </row>
    <row r="880" spans="2:6">
      <c r="B880" s="44"/>
      <c r="D880" s="8"/>
      <c r="E880" s="8"/>
      <c r="F880" s="8"/>
    </row>
    <row r="881" spans="2:6">
      <c r="B881" s="44"/>
      <c r="D881" s="8"/>
      <c r="E881" s="8"/>
      <c r="F881" s="8"/>
    </row>
    <row r="882" spans="2:6">
      <c r="B882" s="44"/>
      <c r="D882" s="8"/>
      <c r="E882" s="8"/>
      <c r="F882" s="8"/>
    </row>
    <row r="883" spans="2:6">
      <c r="B883" s="44"/>
      <c r="D883" s="8"/>
      <c r="E883" s="8"/>
      <c r="F883" s="8"/>
    </row>
    <row r="884" spans="2:6">
      <c r="B884" s="44"/>
      <c r="D884" s="8"/>
      <c r="E884" s="8"/>
      <c r="F884" s="8"/>
    </row>
    <row r="885" spans="2:6">
      <c r="B885" s="44"/>
      <c r="D885" s="8"/>
      <c r="E885" s="8"/>
      <c r="F885" s="8"/>
    </row>
    <row r="886" spans="2:6">
      <c r="B886" s="44"/>
      <c r="D886" s="8"/>
      <c r="E886" s="8"/>
      <c r="F886" s="8"/>
    </row>
    <row r="887" spans="2:6">
      <c r="B887" s="44"/>
      <c r="D887" s="8"/>
      <c r="E887" s="8"/>
      <c r="F887" s="8"/>
    </row>
    <row r="888" spans="2:6">
      <c r="B888" s="44"/>
      <c r="D888" s="8"/>
      <c r="E888" s="8"/>
      <c r="F888" s="8"/>
    </row>
    <row r="889" spans="2:6">
      <c r="B889" s="44"/>
      <c r="D889" s="8"/>
      <c r="E889" s="8"/>
      <c r="F889" s="8"/>
    </row>
    <row r="890" spans="2:6">
      <c r="B890" s="44"/>
      <c r="D890" s="8"/>
      <c r="E890" s="8"/>
      <c r="F890" s="8"/>
    </row>
    <row r="891" spans="2:6">
      <c r="B891" s="44"/>
      <c r="D891" s="8"/>
      <c r="E891" s="8"/>
      <c r="F891" s="8"/>
    </row>
    <row r="892" spans="2:6">
      <c r="B892" s="44"/>
      <c r="D892" s="8"/>
      <c r="E892" s="8"/>
      <c r="F892" s="8"/>
    </row>
    <row r="893" spans="2:6">
      <c r="B893" s="44"/>
      <c r="D893" s="8"/>
      <c r="E893" s="8"/>
      <c r="F893" s="8"/>
    </row>
    <row r="894" spans="2:6">
      <c r="B894" s="44"/>
      <c r="D894" s="8"/>
      <c r="E894" s="8"/>
      <c r="F894" s="8"/>
    </row>
    <row r="895" spans="2:6">
      <c r="B895" s="44"/>
      <c r="D895" s="8"/>
      <c r="E895" s="8"/>
      <c r="F895" s="8"/>
    </row>
    <row r="896" spans="2:6">
      <c r="B896" s="44"/>
      <c r="D896" s="8"/>
      <c r="E896" s="8"/>
      <c r="F896" s="8"/>
    </row>
    <row r="897" spans="2:6">
      <c r="B897" s="44"/>
      <c r="D897" s="8"/>
      <c r="E897" s="8"/>
      <c r="F897" s="8"/>
    </row>
    <row r="898" spans="2:6">
      <c r="B898" s="44"/>
      <c r="D898" s="8"/>
      <c r="E898" s="8"/>
      <c r="F898" s="8"/>
    </row>
    <row r="899" spans="2:6">
      <c r="B899" s="44"/>
      <c r="D899" s="8"/>
      <c r="E899" s="8"/>
      <c r="F899" s="8"/>
    </row>
    <row r="900" spans="2:6">
      <c r="B900" s="44"/>
      <c r="D900" s="8"/>
      <c r="E900" s="8"/>
      <c r="F900" s="8"/>
    </row>
    <row r="901" spans="2:6">
      <c r="B901" s="44"/>
      <c r="D901" s="8"/>
      <c r="E901" s="8"/>
      <c r="F901" s="8"/>
    </row>
    <row r="902" spans="2:6">
      <c r="B902" s="44"/>
      <c r="D902" s="8"/>
      <c r="E902" s="8"/>
      <c r="F902" s="8"/>
    </row>
    <row r="903" spans="2:6">
      <c r="B903" s="44"/>
      <c r="D903" s="8"/>
      <c r="E903" s="8"/>
      <c r="F903" s="8"/>
    </row>
    <row r="904" spans="2:6">
      <c r="B904" s="44"/>
      <c r="D904" s="8"/>
      <c r="E904" s="8"/>
      <c r="F904" s="8"/>
    </row>
    <row r="905" spans="2:6">
      <c r="B905" s="44"/>
      <c r="D905" s="8"/>
      <c r="E905" s="8"/>
      <c r="F905" s="8"/>
    </row>
    <row r="906" spans="2:6">
      <c r="B906" s="44"/>
      <c r="D906" s="8"/>
      <c r="E906" s="8"/>
      <c r="F906" s="8"/>
    </row>
    <row r="907" spans="2:6">
      <c r="B907" s="44"/>
      <c r="D907" s="8"/>
      <c r="E907" s="8"/>
      <c r="F907" s="8"/>
    </row>
    <row r="908" spans="2:6">
      <c r="B908" s="44"/>
      <c r="D908" s="8"/>
      <c r="E908" s="8"/>
      <c r="F908" s="8"/>
    </row>
    <row r="909" spans="2:6">
      <c r="B909" s="44"/>
      <c r="D909" s="8"/>
      <c r="E909" s="8"/>
      <c r="F909" s="8"/>
    </row>
    <row r="910" spans="2:6">
      <c r="B910" s="44"/>
      <c r="D910" s="8"/>
      <c r="E910" s="8"/>
      <c r="F910" s="8"/>
    </row>
    <row r="911" spans="2:6">
      <c r="B911" s="44"/>
      <c r="D911" s="8"/>
      <c r="E911" s="8"/>
      <c r="F911" s="8"/>
    </row>
    <row r="912" spans="2:6">
      <c r="B912" s="44"/>
      <c r="D912" s="8"/>
      <c r="E912" s="8"/>
      <c r="F912" s="8"/>
    </row>
    <row r="913" spans="2:6">
      <c r="B913" s="44"/>
      <c r="D913" s="8"/>
      <c r="E913" s="8"/>
      <c r="F913" s="8"/>
    </row>
    <row r="914" spans="2:6">
      <c r="B914" s="44"/>
      <c r="D914" s="8"/>
      <c r="E914" s="8"/>
      <c r="F914" s="8"/>
    </row>
    <row r="915" spans="2:6">
      <c r="B915" s="44"/>
      <c r="D915" s="8"/>
      <c r="E915" s="8"/>
      <c r="F915" s="8"/>
    </row>
    <row r="916" spans="2:6">
      <c r="B916" s="44"/>
      <c r="D916" s="8"/>
      <c r="E916" s="8"/>
      <c r="F916" s="8"/>
    </row>
    <row r="917" spans="2:6">
      <c r="B917" s="44"/>
      <c r="D917" s="8"/>
      <c r="E917" s="8"/>
      <c r="F917" s="8"/>
    </row>
    <row r="918" spans="2:6">
      <c r="B918" s="44"/>
      <c r="D918" s="8"/>
      <c r="E918" s="8"/>
      <c r="F918" s="8"/>
    </row>
    <row r="919" spans="2:6">
      <c r="B919" s="44"/>
      <c r="D919" s="8"/>
      <c r="E919" s="8"/>
      <c r="F919" s="8"/>
    </row>
    <row r="920" spans="2:6">
      <c r="B920" s="44"/>
      <c r="D920" s="8"/>
      <c r="E920" s="8"/>
      <c r="F920" s="8"/>
    </row>
    <row r="921" spans="2:6">
      <c r="B921" s="44"/>
      <c r="D921" s="8"/>
      <c r="E921" s="8"/>
      <c r="F921" s="8"/>
    </row>
    <row r="922" spans="2:6">
      <c r="B922" s="44"/>
      <c r="D922" s="8"/>
      <c r="E922" s="8"/>
      <c r="F922" s="8"/>
    </row>
    <row r="923" spans="2:6">
      <c r="B923" s="44"/>
      <c r="D923" s="8"/>
      <c r="E923" s="8"/>
      <c r="F923" s="8"/>
    </row>
    <row r="924" spans="2:6">
      <c r="B924" s="44"/>
      <c r="D924" s="8"/>
      <c r="E924" s="8"/>
      <c r="F924" s="8"/>
    </row>
    <row r="925" spans="2:6">
      <c r="B925" s="44"/>
      <c r="D925" s="8"/>
      <c r="E925" s="8"/>
      <c r="F925" s="8"/>
    </row>
    <row r="926" spans="2:6">
      <c r="B926" s="44"/>
      <c r="D926" s="8"/>
      <c r="E926" s="8"/>
      <c r="F926" s="8"/>
    </row>
    <row r="927" spans="2:6">
      <c r="B927" s="44"/>
      <c r="D927" s="8"/>
      <c r="E927" s="8"/>
      <c r="F927" s="8"/>
    </row>
    <row r="928" spans="2:6">
      <c r="B928" s="44"/>
      <c r="D928" s="8"/>
      <c r="E928" s="8"/>
      <c r="F928" s="8"/>
    </row>
    <row r="929" spans="2:6">
      <c r="B929" s="44"/>
      <c r="D929" s="8"/>
      <c r="E929" s="8"/>
      <c r="F929" s="8"/>
    </row>
    <row r="930" spans="2:6">
      <c r="B930" s="44"/>
      <c r="D930" s="8"/>
      <c r="E930" s="8"/>
      <c r="F930" s="8"/>
    </row>
    <row r="931" spans="2:6">
      <c r="B931" s="44"/>
      <c r="D931" s="8"/>
      <c r="E931" s="8"/>
      <c r="F931" s="8"/>
    </row>
    <row r="932" spans="2:6">
      <c r="B932" s="44"/>
      <c r="D932" s="8"/>
      <c r="E932" s="8"/>
      <c r="F932" s="8"/>
    </row>
    <row r="933" spans="2:6">
      <c r="B933" s="44"/>
      <c r="D933" s="8"/>
      <c r="E933" s="8"/>
      <c r="F933" s="8"/>
    </row>
    <row r="934" spans="2:6">
      <c r="B934" s="44"/>
      <c r="D934" s="8"/>
      <c r="E934" s="8"/>
      <c r="F934" s="8"/>
    </row>
    <row r="935" spans="2:6">
      <c r="B935" s="44"/>
      <c r="D935" s="8"/>
      <c r="E935" s="8"/>
      <c r="F935" s="8"/>
    </row>
    <row r="936" spans="2:6">
      <c r="B936" s="44"/>
      <c r="D936" s="8"/>
      <c r="E936" s="8"/>
      <c r="F936" s="8"/>
    </row>
    <row r="937" spans="2:6">
      <c r="B937" s="44"/>
      <c r="D937" s="8"/>
      <c r="E937" s="8"/>
      <c r="F937" s="8"/>
    </row>
    <row r="938" spans="2:6">
      <c r="B938" s="44"/>
      <c r="D938" s="8"/>
      <c r="E938" s="8"/>
      <c r="F938" s="8"/>
    </row>
    <row r="939" spans="2:6">
      <c r="B939" s="44"/>
      <c r="D939" s="8"/>
      <c r="E939" s="8"/>
      <c r="F939" s="8"/>
    </row>
    <row r="940" spans="2:6">
      <c r="B940" s="44"/>
      <c r="D940" s="8"/>
      <c r="E940" s="8"/>
      <c r="F940" s="8"/>
    </row>
    <row r="941" spans="2:6">
      <c r="B941" s="44"/>
      <c r="D941" s="8"/>
      <c r="E941" s="8"/>
      <c r="F941" s="8"/>
    </row>
    <row r="942" spans="2:6">
      <c r="B942" s="44"/>
      <c r="D942" s="8"/>
      <c r="E942" s="8"/>
      <c r="F942" s="8"/>
    </row>
    <row r="943" spans="2:6">
      <c r="B943" s="44"/>
      <c r="D943" s="8"/>
      <c r="E943" s="8"/>
      <c r="F943" s="8"/>
    </row>
    <row r="944" spans="2:6">
      <c r="B944" s="44"/>
      <c r="D944" s="8"/>
      <c r="E944" s="8"/>
      <c r="F944" s="8"/>
    </row>
    <row r="945" spans="2:6">
      <c r="B945" s="44"/>
      <c r="D945" s="8"/>
      <c r="E945" s="8"/>
      <c r="F945" s="8"/>
    </row>
    <row r="946" spans="2:6">
      <c r="B946" s="44"/>
      <c r="D946" s="8"/>
      <c r="E946" s="8"/>
      <c r="F946" s="8"/>
    </row>
    <row r="947" spans="2:6">
      <c r="B947" s="44"/>
      <c r="D947" s="8"/>
      <c r="E947" s="8"/>
      <c r="F947" s="8"/>
    </row>
    <row r="948" spans="2:6">
      <c r="B948" s="44"/>
      <c r="D948" s="8"/>
      <c r="E948" s="8"/>
      <c r="F948" s="8"/>
    </row>
    <row r="949" spans="2:6">
      <c r="B949" s="44"/>
      <c r="D949" s="8"/>
      <c r="E949" s="8"/>
      <c r="F949" s="8"/>
    </row>
    <row r="950" spans="2:6">
      <c r="B950" s="44"/>
      <c r="D950" s="8"/>
      <c r="E950" s="8"/>
      <c r="F950" s="8"/>
    </row>
    <row r="951" spans="2:6">
      <c r="B951" s="44"/>
      <c r="D951" s="8"/>
      <c r="E951" s="8"/>
      <c r="F951" s="8"/>
    </row>
    <row r="952" spans="2:6">
      <c r="B952" s="44"/>
      <c r="D952" s="8"/>
      <c r="E952" s="8"/>
      <c r="F952" s="8"/>
    </row>
    <row r="953" spans="2:6">
      <c r="B953" s="44"/>
      <c r="D953" s="8"/>
      <c r="E953" s="8"/>
      <c r="F953" s="8"/>
    </row>
    <row r="954" spans="2:6">
      <c r="B954" s="44"/>
      <c r="D954" s="8"/>
      <c r="E954" s="8"/>
      <c r="F954" s="8"/>
    </row>
    <row r="955" spans="2:6">
      <c r="B955" s="44"/>
      <c r="D955" s="8"/>
      <c r="E955" s="8"/>
      <c r="F955" s="8"/>
    </row>
    <row r="956" spans="2:6">
      <c r="B956" s="44"/>
      <c r="D956" s="8"/>
      <c r="E956" s="8"/>
      <c r="F956" s="8"/>
    </row>
    <row r="957" spans="2:6">
      <c r="B957" s="44"/>
      <c r="D957" s="8"/>
      <c r="E957" s="8"/>
      <c r="F957" s="8"/>
    </row>
    <row r="958" spans="2:6">
      <c r="B958" s="44"/>
      <c r="D958" s="8"/>
      <c r="E958" s="8"/>
      <c r="F958" s="8"/>
    </row>
    <row r="959" spans="2:6">
      <c r="B959" s="44"/>
      <c r="D959" s="8"/>
      <c r="E959" s="8"/>
      <c r="F959" s="8"/>
    </row>
    <row r="960" spans="2:6">
      <c r="B960" s="44"/>
      <c r="D960" s="8"/>
      <c r="E960" s="8"/>
      <c r="F960" s="8"/>
    </row>
    <row r="961" spans="2:6">
      <c r="B961" s="44"/>
      <c r="D961" s="8"/>
      <c r="E961" s="8"/>
      <c r="F961" s="8"/>
    </row>
    <row r="962" spans="2:6">
      <c r="B962" s="44"/>
      <c r="D962" s="8"/>
      <c r="E962" s="8"/>
      <c r="F962" s="8"/>
    </row>
    <row r="963" spans="2:6">
      <c r="B963" s="44"/>
      <c r="D963" s="8"/>
      <c r="E963" s="8"/>
      <c r="F963" s="8"/>
    </row>
    <row r="964" spans="2:6">
      <c r="B964" s="44"/>
      <c r="D964" s="8"/>
      <c r="E964" s="8"/>
      <c r="F964" s="8"/>
    </row>
    <row r="965" spans="2:6">
      <c r="B965" s="44"/>
      <c r="D965" s="8"/>
      <c r="E965" s="8"/>
      <c r="F965" s="8"/>
    </row>
    <row r="966" spans="2:6">
      <c r="B966" s="44"/>
      <c r="D966" s="8"/>
      <c r="E966" s="8"/>
      <c r="F966" s="8"/>
    </row>
    <row r="967" spans="2:6">
      <c r="B967" s="44"/>
      <c r="D967" s="8"/>
      <c r="E967" s="8"/>
      <c r="F967" s="8"/>
    </row>
    <row r="968" spans="2:6">
      <c r="B968" s="44"/>
      <c r="D968" s="8"/>
      <c r="E968" s="8"/>
      <c r="F968" s="8"/>
    </row>
    <row r="969" spans="2:6">
      <c r="B969" s="44"/>
      <c r="D969" s="8"/>
      <c r="E969" s="8"/>
      <c r="F969" s="8"/>
    </row>
    <row r="970" spans="2:6">
      <c r="B970" s="44"/>
      <c r="D970" s="8"/>
      <c r="E970" s="8"/>
      <c r="F970" s="8"/>
    </row>
    <row r="971" spans="2:6">
      <c r="B971" s="44"/>
      <c r="D971" s="8"/>
      <c r="E971" s="8"/>
      <c r="F971" s="8"/>
    </row>
    <row r="972" spans="2:6">
      <c r="B972" s="44"/>
      <c r="D972" s="8"/>
      <c r="E972" s="8"/>
      <c r="F972" s="8"/>
    </row>
    <row r="973" spans="2:6">
      <c r="B973" s="44"/>
      <c r="D973" s="8"/>
      <c r="E973" s="8"/>
      <c r="F973" s="8"/>
    </row>
    <row r="974" spans="2:6">
      <c r="B974" s="44"/>
      <c r="D974" s="8"/>
      <c r="E974" s="8"/>
      <c r="F974" s="8"/>
    </row>
    <row r="975" spans="2:6">
      <c r="B975" s="44"/>
      <c r="D975" s="8"/>
      <c r="E975" s="8"/>
      <c r="F975" s="8"/>
    </row>
    <row r="976" spans="2:6">
      <c r="B976" s="44"/>
      <c r="D976" s="8"/>
      <c r="E976" s="8"/>
      <c r="F976" s="8"/>
    </row>
    <row r="977" spans="2:6">
      <c r="B977" s="44"/>
      <c r="D977" s="8"/>
      <c r="E977" s="8"/>
      <c r="F977" s="8"/>
    </row>
    <row r="978" spans="2:6">
      <c r="B978" s="44"/>
      <c r="D978" s="8"/>
      <c r="E978" s="8"/>
      <c r="F978" s="8"/>
    </row>
    <row r="979" spans="2:6">
      <c r="B979" s="44"/>
      <c r="D979" s="8"/>
      <c r="E979" s="8"/>
      <c r="F979" s="8"/>
    </row>
    <row r="980" spans="2:6">
      <c r="B980" s="44"/>
      <c r="D980" s="8"/>
      <c r="E980" s="8"/>
      <c r="F980" s="8"/>
    </row>
    <row r="981" spans="2:6">
      <c r="B981" s="44"/>
      <c r="D981" s="8"/>
      <c r="E981" s="8"/>
      <c r="F981" s="8"/>
    </row>
    <row r="982" spans="2:6">
      <c r="B982" s="44"/>
      <c r="D982" s="8"/>
      <c r="E982" s="8"/>
      <c r="F982" s="8"/>
    </row>
    <row r="983" spans="2:6">
      <c r="B983" s="44"/>
      <c r="D983" s="8"/>
      <c r="E983" s="8"/>
      <c r="F983" s="8"/>
    </row>
    <row r="984" spans="2:6">
      <c r="B984" s="44"/>
      <c r="D984" s="8"/>
      <c r="E984" s="8"/>
      <c r="F984" s="8"/>
    </row>
    <row r="985" spans="2:6">
      <c r="B985" s="44"/>
      <c r="D985" s="8"/>
      <c r="E985" s="8"/>
      <c r="F985" s="8"/>
    </row>
    <row r="986" spans="2:6">
      <c r="B986" s="44"/>
      <c r="D986" s="8"/>
      <c r="E986" s="8"/>
      <c r="F986" s="8"/>
    </row>
    <row r="987" spans="2:6">
      <c r="B987" s="44"/>
      <c r="D987" s="8"/>
      <c r="E987" s="8"/>
      <c r="F987" s="8"/>
    </row>
    <row r="988" spans="2:6">
      <c r="B988" s="44"/>
      <c r="D988" s="8"/>
      <c r="E988" s="8"/>
      <c r="F988" s="8"/>
    </row>
    <row r="989" spans="2:6">
      <c r="B989" s="44"/>
      <c r="D989" s="8"/>
      <c r="E989" s="8"/>
      <c r="F989" s="8"/>
    </row>
    <row r="990" spans="2:6">
      <c r="B990" s="44"/>
      <c r="D990" s="8"/>
      <c r="E990" s="8"/>
      <c r="F990" s="8"/>
    </row>
    <row r="991" spans="2:6">
      <c r="B991" s="44"/>
      <c r="D991" s="8"/>
      <c r="E991" s="8"/>
      <c r="F991" s="8"/>
    </row>
    <row r="992" spans="2:6">
      <c r="B992" s="44"/>
      <c r="D992" s="8"/>
      <c r="E992" s="8"/>
      <c r="F992" s="8"/>
    </row>
    <row r="993" spans="2:6">
      <c r="B993" s="44"/>
      <c r="D993" s="8"/>
      <c r="E993" s="8"/>
      <c r="F993" s="8"/>
    </row>
    <row r="994" spans="2:6">
      <c r="B994" s="44"/>
      <c r="D994" s="8"/>
      <c r="E994" s="8"/>
      <c r="F994" s="8"/>
    </row>
    <row r="995" spans="2:6">
      <c r="B995" s="44"/>
      <c r="D995" s="8"/>
      <c r="E995" s="8"/>
      <c r="F995" s="8"/>
    </row>
    <row r="996" spans="2:6">
      <c r="B996" s="44"/>
      <c r="D996" s="8"/>
      <c r="E996" s="8"/>
      <c r="F996" s="8"/>
    </row>
    <row r="997" spans="2:6">
      <c r="B997" s="44"/>
      <c r="D997" s="8"/>
      <c r="E997" s="8"/>
      <c r="F997" s="8"/>
    </row>
    <row r="998" spans="2:6">
      <c r="B998" s="44"/>
      <c r="D998" s="8"/>
      <c r="E998" s="8"/>
      <c r="F998" s="8"/>
    </row>
    <row r="999" spans="2:6">
      <c r="B999" s="44"/>
      <c r="D999" s="8"/>
      <c r="E999" s="8"/>
      <c r="F999" s="8"/>
    </row>
    <row r="1000" spans="2:6">
      <c r="B1000" s="44"/>
      <c r="D1000" s="8"/>
      <c r="E1000" s="8"/>
      <c r="F1000" s="8"/>
    </row>
    <row r="1001" spans="2:6">
      <c r="B1001" s="44"/>
      <c r="D1001" s="8"/>
      <c r="E1001" s="8"/>
      <c r="F1001" s="8"/>
    </row>
    <row r="1002" spans="2:6">
      <c r="B1002" s="44"/>
      <c r="D1002" s="8"/>
      <c r="E1002" s="8"/>
      <c r="F1002" s="8"/>
    </row>
    <row r="1003" spans="2:6">
      <c r="B1003" s="44"/>
      <c r="D1003" s="8"/>
      <c r="E1003" s="8"/>
      <c r="F1003" s="8"/>
    </row>
    <row r="1004" spans="2:6">
      <c r="B1004" s="44"/>
      <c r="D1004" s="8"/>
      <c r="E1004" s="8"/>
      <c r="F1004" s="8"/>
    </row>
    <row r="1005" spans="2:6">
      <c r="B1005" s="44"/>
      <c r="D1005" s="8"/>
      <c r="E1005" s="8"/>
      <c r="F1005" s="8"/>
    </row>
    <row r="1006" spans="2:6">
      <c r="B1006" s="44"/>
      <c r="D1006" s="8"/>
      <c r="E1006" s="8"/>
      <c r="F1006" s="8"/>
    </row>
    <row r="1007" spans="2:6">
      <c r="B1007" s="44"/>
      <c r="D1007" s="8"/>
      <c r="E1007" s="8"/>
      <c r="F1007" s="8"/>
    </row>
    <row r="1008" spans="2:6">
      <c r="B1008" s="44"/>
      <c r="D1008" s="8"/>
      <c r="E1008" s="8"/>
      <c r="F1008" s="8"/>
    </row>
    <row r="1009" spans="2:6">
      <c r="B1009" s="44"/>
      <c r="D1009" s="8"/>
      <c r="E1009" s="8"/>
      <c r="F1009" s="8"/>
    </row>
    <row r="1010" spans="2:6">
      <c r="B1010" s="44"/>
      <c r="D1010" s="8"/>
      <c r="E1010" s="8"/>
      <c r="F1010" s="8"/>
    </row>
    <row r="1011" spans="2:6">
      <c r="B1011" s="44"/>
      <c r="D1011" s="8"/>
      <c r="E1011" s="8"/>
      <c r="F1011" s="8"/>
    </row>
    <row r="1012" spans="2:6">
      <c r="B1012" s="44"/>
      <c r="D1012" s="8"/>
      <c r="E1012" s="8"/>
      <c r="F1012" s="8"/>
    </row>
    <row r="1013" spans="2:6">
      <c r="B1013" s="44"/>
      <c r="D1013" s="8"/>
      <c r="E1013" s="8"/>
      <c r="F1013" s="8"/>
    </row>
    <row r="1014" spans="2:6">
      <c r="B1014" s="44"/>
      <c r="D1014" s="8"/>
      <c r="E1014" s="8"/>
      <c r="F1014" s="8"/>
    </row>
    <row r="1015" spans="2:6">
      <c r="B1015" s="44"/>
      <c r="D1015" s="8"/>
      <c r="E1015" s="8"/>
      <c r="F1015" s="8"/>
    </row>
    <row r="1016" spans="2:6">
      <c r="B1016" s="44"/>
      <c r="D1016" s="8"/>
      <c r="E1016" s="8"/>
      <c r="F1016" s="8"/>
    </row>
    <row r="1017" spans="2:6">
      <c r="B1017" s="44"/>
      <c r="D1017" s="8"/>
      <c r="E1017" s="8"/>
      <c r="F1017" s="8"/>
    </row>
    <row r="1018" spans="2:6">
      <c r="B1018" s="44"/>
      <c r="D1018" s="8"/>
      <c r="E1018" s="8"/>
      <c r="F1018" s="8"/>
    </row>
    <row r="1019" spans="2:6">
      <c r="B1019" s="44"/>
      <c r="D1019" s="8"/>
      <c r="E1019" s="8"/>
      <c r="F1019" s="8"/>
    </row>
    <row r="1020" spans="2:6">
      <c r="B1020" s="44"/>
      <c r="D1020" s="8"/>
      <c r="E1020" s="8"/>
      <c r="F1020" s="8"/>
    </row>
    <row r="1021" spans="2:6">
      <c r="B1021" s="44"/>
      <c r="D1021" s="8"/>
      <c r="E1021" s="8"/>
      <c r="F1021" s="8"/>
    </row>
    <row r="1022" spans="2:6">
      <c r="B1022" s="44"/>
      <c r="D1022" s="8"/>
      <c r="E1022" s="8"/>
      <c r="F1022" s="8"/>
    </row>
    <row r="1023" spans="2:6">
      <c r="B1023" s="44"/>
      <c r="D1023" s="8"/>
      <c r="E1023" s="8"/>
      <c r="F1023" s="8"/>
    </row>
    <row r="1024" spans="2:6">
      <c r="B1024" s="44"/>
      <c r="D1024" s="8"/>
      <c r="E1024" s="8"/>
      <c r="F1024" s="8"/>
    </row>
    <row r="1025" spans="2:6">
      <c r="B1025" s="44"/>
      <c r="D1025" s="8"/>
      <c r="E1025" s="8"/>
      <c r="F1025" s="8"/>
    </row>
    <row r="1026" spans="2:6">
      <c r="B1026" s="44"/>
      <c r="D1026" s="8"/>
      <c r="E1026" s="8"/>
      <c r="F1026" s="8"/>
    </row>
    <row r="1027" spans="2:6">
      <c r="B1027" s="44"/>
      <c r="D1027" s="8"/>
      <c r="E1027" s="8"/>
      <c r="F1027" s="8"/>
    </row>
    <row r="1028" spans="2:6">
      <c r="B1028" s="44"/>
      <c r="D1028" s="8"/>
      <c r="E1028" s="8"/>
      <c r="F1028" s="8"/>
    </row>
    <row r="1029" spans="2:6">
      <c r="B1029" s="44"/>
      <c r="D1029" s="8"/>
      <c r="E1029" s="8"/>
      <c r="F1029" s="8"/>
    </row>
    <row r="1030" spans="2:6">
      <c r="B1030" s="44"/>
      <c r="D1030" s="8"/>
      <c r="E1030" s="8"/>
      <c r="F1030" s="8"/>
    </row>
    <row r="1031" spans="2:6">
      <c r="B1031" s="44"/>
      <c r="D1031" s="8"/>
      <c r="E1031" s="8"/>
      <c r="F1031" s="8"/>
    </row>
    <row r="1032" spans="2:6">
      <c r="B1032" s="44"/>
      <c r="D1032" s="8"/>
      <c r="E1032" s="8"/>
      <c r="F1032" s="8"/>
    </row>
    <row r="1033" spans="2:6">
      <c r="B1033" s="44"/>
      <c r="D1033" s="8"/>
      <c r="E1033" s="8"/>
      <c r="F1033" s="8"/>
    </row>
    <row r="1034" spans="2:6">
      <c r="B1034" s="44"/>
      <c r="D1034" s="8"/>
      <c r="E1034" s="8"/>
      <c r="F1034" s="8"/>
    </row>
    <row r="1035" spans="2:6">
      <c r="B1035" s="44"/>
      <c r="D1035" s="8"/>
      <c r="E1035" s="8"/>
      <c r="F1035" s="8"/>
    </row>
    <row r="1036" spans="2:6">
      <c r="B1036" s="44"/>
      <c r="D1036" s="8"/>
      <c r="E1036" s="8"/>
      <c r="F1036" s="8"/>
    </row>
    <row r="1037" spans="2:6">
      <c r="B1037" s="44"/>
      <c r="D1037" s="8"/>
      <c r="E1037" s="8"/>
      <c r="F1037" s="8"/>
    </row>
    <row r="1038" spans="2:6">
      <c r="B1038" s="44"/>
      <c r="D1038" s="8"/>
      <c r="E1038" s="8"/>
      <c r="F1038" s="8"/>
    </row>
    <row r="1039" spans="2:6">
      <c r="B1039" s="44"/>
      <c r="D1039" s="8"/>
      <c r="E1039" s="8"/>
      <c r="F1039" s="8"/>
    </row>
    <row r="1040" spans="2:6">
      <c r="B1040" s="44"/>
      <c r="D1040" s="8"/>
      <c r="E1040" s="8"/>
      <c r="F1040" s="8"/>
    </row>
    <row r="1041" spans="2:6">
      <c r="B1041" s="44"/>
      <c r="D1041" s="8"/>
      <c r="E1041" s="8"/>
      <c r="F1041" s="8"/>
    </row>
    <row r="1042" spans="2:6">
      <c r="B1042" s="44"/>
      <c r="D1042" s="8"/>
      <c r="E1042" s="8"/>
      <c r="F1042" s="8"/>
    </row>
    <row r="1043" spans="2:6">
      <c r="B1043" s="44"/>
      <c r="D1043" s="8"/>
      <c r="E1043" s="8"/>
      <c r="F1043" s="8"/>
    </row>
    <row r="1044" spans="2:6">
      <c r="B1044" s="44"/>
      <c r="D1044" s="8"/>
      <c r="E1044" s="8"/>
      <c r="F1044" s="8"/>
    </row>
    <row r="1045" spans="2:6">
      <c r="B1045" s="44"/>
      <c r="D1045" s="8"/>
      <c r="E1045" s="8"/>
      <c r="F1045" s="8"/>
    </row>
    <row r="1046" spans="2:6">
      <c r="B1046" s="44"/>
      <c r="D1046" s="8"/>
      <c r="E1046" s="8"/>
      <c r="F1046" s="8"/>
    </row>
    <row r="1047" spans="2:6">
      <c r="B1047" s="44"/>
      <c r="D1047" s="8"/>
      <c r="E1047" s="8"/>
      <c r="F1047" s="8"/>
    </row>
    <row r="1048" spans="2:6">
      <c r="B1048" s="44"/>
      <c r="D1048" s="8"/>
      <c r="E1048" s="8"/>
      <c r="F1048" s="8"/>
    </row>
    <row r="1049" spans="2:6">
      <c r="B1049" s="44"/>
      <c r="D1049" s="8"/>
      <c r="E1049" s="8"/>
      <c r="F1049" s="8"/>
    </row>
    <row r="1050" spans="2:6">
      <c r="B1050" s="44"/>
      <c r="D1050" s="8"/>
      <c r="E1050" s="8"/>
      <c r="F1050" s="8"/>
    </row>
    <row r="1051" spans="2:6">
      <c r="B1051" s="44"/>
      <c r="D1051" s="8"/>
      <c r="E1051" s="8"/>
      <c r="F1051" s="8"/>
    </row>
    <row r="1052" spans="2:6">
      <c r="B1052" s="44"/>
      <c r="D1052" s="8"/>
      <c r="E1052" s="8"/>
      <c r="F1052" s="8"/>
    </row>
    <row r="1053" spans="2:6">
      <c r="B1053" s="44"/>
      <c r="D1053" s="8"/>
      <c r="E1053" s="8"/>
      <c r="F1053" s="8"/>
    </row>
    <row r="1054" spans="2:6">
      <c r="B1054" s="44"/>
      <c r="D1054" s="8"/>
      <c r="E1054" s="8"/>
      <c r="F1054" s="8"/>
    </row>
    <row r="1055" spans="2:6">
      <c r="B1055" s="44"/>
      <c r="D1055" s="8"/>
      <c r="E1055" s="8"/>
      <c r="F1055" s="8"/>
    </row>
    <row r="1056" spans="2:6">
      <c r="B1056" s="44"/>
      <c r="D1056" s="8"/>
      <c r="E1056" s="8"/>
      <c r="F1056" s="8"/>
    </row>
    <row r="1057" spans="2:6">
      <c r="B1057" s="44"/>
      <c r="D1057" s="8"/>
      <c r="E1057" s="8"/>
      <c r="F1057" s="8"/>
    </row>
    <row r="1058" spans="2:6">
      <c r="B1058" s="44"/>
      <c r="D1058" s="8"/>
      <c r="E1058" s="8"/>
      <c r="F1058" s="8"/>
    </row>
    <row r="1059" spans="2:6">
      <c r="B1059" s="44"/>
      <c r="D1059" s="8"/>
      <c r="E1059" s="8"/>
      <c r="F1059" s="8"/>
    </row>
    <row r="1060" spans="2:6">
      <c r="B1060" s="44"/>
      <c r="D1060" s="8"/>
      <c r="E1060" s="8"/>
      <c r="F1060" s="8"/>
    </row>
    <row r="1061" spans="2:6">
      <c r="B1061" s="44"/>
      <c r="D1061" s="8"/>
      <c r="E1061" s="8"/>
      <c r="F1061" s="8"/>
    </row>
    <row r="1062" spans="2:6">
      <c r="B1062" s="44"/>
      <c r="D1062" s="8"/>
      <c r="E1062" s="8"/>
      <c r="F1062" s="8"/>
    </row>
    <row r="1063" spans="2:6">
      <c r="B1063" s="44"/>
      <c r="D1063" s="8"/>
      <c r="E1063" s="8"/>
      <c r="F1063" s="8"/>
    </row>
    <row r="1064" spans="2:6">
      <c r="B1064" s="44"/>
      <c r="D1064" s="8"/>
      <c r="E1064" s="8"/>
      <c r="F1064" s="8"/>
    </row>
    <row r="1065" spans="2:6">
      <c r="B1065" s="44"/>
      <c r="D1065" s="8"/>
      <c r="E1065" s="8"/>
      <c r="F1065" s="8"/>
    </row>
    <row r="1066" spans="2:6">
      <c r="B1066" s="44"/>
      <c r="D1066" s="8"/>
      <c r="E1066" s="8"/>
      <c r="F1066" s="8"/>
    </row>
    <row r="1067" spans="2:6">
      <c r="B1067" s="44"/>
      <c r="D1067" s="8"/>
      <c r="E1067" s="8"/>
      <c r="F1067" s="8"/>
    </row>
    <row r="1068" spans="2:6">
      <c r="B1068" s="44"/>
      <c r="D1068" s="8"/>
      <c r="E1068" s="8"/>
      <c r="F1068" s="8"/>
    </row>
    <row r="1069" spans="2:6">
      <c r="B1069" s="44"/>
      <c r="D1069" s="8"/>
      <c r="E1069" s="8"/>
      <c r="F1069" s="8"/>
    </row>
    <row r="1070" spans="2:6">
      <c r="B1070" s="44"/>
      <c r="D1070" s="8"/>
      <c r="E1070" s="8"/>
      <c r="F1070" s="8"/>
    </row>
    <row r="1071" spans="2:6">
      <c r="B1071" s="44"/>
      <c r="D1071" s="8"/>
      <c r="E1071" s="8"/>
      <c r="F1071" s="8"/>
    </row>
    <row r="1072" spans="2:6">
      <c r="B1072" s="44"/>
      <c r="D1072" s="8"/>
      <c r="E1072" s="8"/>
      <c r="F1072" s="8"/>
    </row>
    <row r="1073" spans="2:6">
      <c r="B1073" s="44"/>
      <c r="D1073" s="8"/>
      <c r="E1073" s="8"/>
      <c r="F1073" s="8"/>
    </row>
    <row r="1074" spans="2:6">
      <c r="B1074" s="44"/>
      <c r="D1074" s="8"/>
      <c r="E1074" s="8"/>
      <c r="F1074" s="8"/>
    </row>
    <row r="1075" spans="2:6">
      <c r="B1075" s="44"/>
      <c r="D1075" s="8"/>
      <c r="E1075" s="8"/>
      <c r="F1075" s="8"/>
    </row>
    <row r="1076" spans="2:6">
      <c r="B1076" s="44"/>
      <c r="D1076" s="8"/>
      <c r="E1076" s="8"/>
      <c r="F1076" s="8"/>
    </row>
    <row r="1077" spans="2:6">
      <c r="B1077" s="44"/>
      <c r="D1077" s="8"/>
      <c r="E1077" s="8"/>
      <c r="F1077" s="8"/>
    </row>
    <row r="1078" spans="2:6">
      <c r="B1078" s="44"/>
      <c r="D1078" s="8"/>
      <c r="E1078" s="8"/>
      <c r="F1078" s="8"/>
    </row>
    <row r="1079" spans="2:6">
      <c r="B1079" s="44"/>
      <c r="D1079" s="8"/>
      <c r="E1079" s="8"/>
      <c r="F1079" s="8"/>
    </row>
    <row r="1080" spans="2:6">
      <c r="B1080" s="44"/>
      <c r="D1080" s="8"/>
      <c r="E1080" s="8"/>
      <c r="F1080" s="8"/>
    </row>
    <row r="1081" spans="2:6">
      <c r="B1081" s="44"/>
      <c r="D1081" s="8"/>
      <c r="E1081" s="8"/>
      <c r="F1081" s="8"/>
    </row>
    <row r="1082" spans="2:6">
      <c r="B1082" s="44"/>
      <c r="D1082" s="8"/>
      <c r="E1082" s="8"/>
      <c r="F1082" s="8"/>
    </row>
    <row r="1083" spans="2:6">
      <c r="B1083" s="44"/>
      <c r="D1083" s="8"/>
      <c r="E1083" s="8"/>
      <c r="F1083" s="8"/>
    </row>
    <row r="1084" spans="2:6">
      <c r="B1084" s="44"/>
      <c r="D1084" s="8"/>
      <c r="E1084" s="8"/>
      <c r="F1084" s="8"/>
    </row>
    <row r="1085" spans="2:6">
      <c r="B1085" s="44"/>
      <c r="D1085" s="8"/>
      <c r="E1085" s="8"/>
      <c r="F1085" s="8"/>
    </row>
    <row r="1086" spans="2:6">
      <c r="B1086" s="44"/>
      <c r="D1086" s="8"/>
      <c r="E1086" s="8"/>
      <c r="F1086" s="8"/>
    </row>
    <row r="1087" spans="2:6">
      <c r="B1087" s="44"/>
      <c r="D1087" s="8"/>
      <c r="E1087" s="8"/>
      <c r="F1087" s="8"/>
    </row>
    <row r="1088" spans="2:6">
      <c r="B1088" s="44"/>
      <c r="D1088" s="8"/>
      <c r="E1088" s="8"/>
      <c r="F1088" s="8"/>
    </row>
    <row r="1089" spans="2:6">
      <c r="B1089" s="44"/>
      <c r="D1089" s="8"/>
      <c r="E1089" s="8"/>
      <c r="F1089" s="8"/>
    </row>
    <row r="1090" spans="2:6">
      <c r="B1090" s="44"/>
      <c r="D1090" s="8"/>
      <c r="E1090" s="8"/>
      <c r="F1090" s="8"/>
    </row>
    <row r="1091" spans="2:6">
      <c r="B1091" s="44"/>
      <c r="D1091" s="8"/>
      <c r="E1091" s="8"/>
      <c r="F1091" s="8"/>
    </row>
    <row r="1092" spans="2:6">
      <c r="B1092" s="44"/>
      <c r="D1092" s="8"/>
      <c r="E1092" s="8"/>
      <c r="F1092" s="8"/>
    </row>
    <row r="1093" spans="2:6">
      <c r="B1093" s="44"/>
      <c r="D1093" s="8"/>
      <c r="E1093" s="8"/>
      <c r="F1093" s="8"/>
    </row>
    <row r="1094" spans="2:6">
      <c r="B1094" s="44"/>
      <c r="D1094" s="8"/>
      <c r="E1094" s="8"/>
      <c r="F1094" s="8"/>
    </row>
    <row r="1095" spans="2:6">
      <c r="B1095" s="44"/>
      <c r="D1095" s="8"/>
      <c r="E1095" s="8"/>
      <c r="F1095" s="8"/>
    </row>
    <row r="1096" spans="2:6">
      <c r="B1096" s="44"/>
      <c r="D1096" s="8"/>
      <c r="E1096" s="8"/>
      <c r="F1096" s="8"/>
    </row>
    <row r="1097" spans="2:6">
      <c r="B1097" s="44"/>
      <c r="D1097" s="8"/>
      <c r="E1097" s="8"/>
      <c r="F1097" s="8"/>
    </row>
    <row r="1098" spans="2:6">
      <c r="B1098" s="44"/>
      <c r="D1098" s="8"/>
      <c r="E1098" s="8"/>
      <c r="F1098" s="8"/>
    </row>
    <row r="1099" spans="2:6">
      <c r="B1099" s="44"/>
      <c r="D1099" s="8"/>
      <c r="E1099" s="8"/>
      <c r="F1099" s="8"/>
    </row>
    <row r="1100" spans="2:6">
      <c r="B1100" s="44"/>
      <c r="D1100" s="8"/>
      <c r="E1100" s="8"/>
      <c r="F1100" s="8"/>
    </row>
    <row r="1101" spans="2:6">
      <c r="B1101" s="44"/>
      <c r="D1101" s="8"/>
      <c r="E1101" s="8"/>
      <c r="F1101" s="8"/>
    </row>
    <row r="1102" spans="2:6">
      <c r="B1102" s="44"/>
      <c r="D1102" s="8"/>
      <c r="E1102" s="8"/>
      <c r="F1102" s="8"/>
    </row>
    <row r="1103" spans="2:6">
      <c r="B1103" s="44"/>
      <c r="D1103" s="8"/>
      <c r="E1103" s="8"/>
      <c r="F1103" s="8"/>
    </row>
    <row r="1104" spans="2:6">
      <c r="B1104" s="44"/>
      <c r="D1104" s="8"/>
      <c r="E1104" s="8"/>
      <c r="F1104" s="8"/>
    </row>
    <row r="1105" spans="2:6">
      <c r="B1105" s="44"/>
      <c r="D1105" s="8"/>
      <c r="E1105" s="8"/>
      <c r="F1105" s="8"/>
    </row>
    <row r="1106" spans="2:6">
      <c r="B1106" s="44"/>
      <c r="D1106" s="8"/>
      <c r="E1106" s="8"/>
      <c r="F1106" s="8"/>
    </row>
    <row r="1107" spans="2:6">
      <c r="B1107" s="44"/>
      <c r="D1107" s="8"/>
      <c r="E1107" s="8"/>
      <c r="F1107" s="8"/>
    </row>
    <row r="1108" spans="2:6">
      <c r="B1108" s="44"/>
      <c r="D1108" s="8"/>
      <c r="E1108" s="8"/>
      <c r="F1108" s="8"/>
    </row>
    <row r="1109" spans="2:6">
      <c r="B1109" s="44"/>
      <c r="D1109" s="8"/>
      <c r="E1109" s="8"/>
      <c r="F1109" s="8"/>
    </row>
    <row r="1110" spans="2:6">
      <c r="B1110" s="44"/>
      <c r="D1110" s="8"/>
      <c r="E1110" s="8"/>
      <c r="F1110" s="8"/>
    </row>
    <row r="1111" spans="2:6">
      <c r="B1111" s="44"/>
      <c r="D1111" s="8"/>
      <c r="E1111" s="8"/>
      <c r="F1111" s="8"/>
    </row>
    <row r="1112" spans="2:6">
      <c r="B1112" s="44"/>
      <c r="D1112" s="8"/>
      <c r="E1112" s="8"/>
      <c r="F1112" s="8"/>
    </row>
    <row r="1113" spans="2:6">
      <c r="B1113" s="44"/>
      <c r="D1113" s="8"/>
      <c r="E1113" s="8"/>
      <c r="F1113" s="8"/>
    </row>
    <row r="1114" spans="2:6">
      <c r="B1114" s="44"/>
      <c r="D1114" s="8"/>
      <c r="E1114" s="8"/>
      <c r="F1114" s="8"/>
    </row>
    <row r="1115" spans="2:6">
      <c r="B1115" s="44"/>
      <c r="D1115" s="8"/>
      <c r="E1115" s="8"/>
      <c r="F1115" s="8"/>
    </row>
    <row r="1116" spans="2:6">
      <c r="B1116" s="44"/>
      <c r="D1116" s="8"/>
      <c r="E1116" s="8"/>
      <c r="F1116" s="8"/>
    </row>
    <row r="1117" spans="2:6">
      <c r="B1117" s="44"/>
      <c r="D1117" s="8"/>
      <c r="E1117" s="8"/>
      <c r="F1117" s="8"/>
    </row>
    <row r="1118" spans="2:6">
      <c r="B1118" s="44"/>
      <c r="D1118" s="8"/>
      <c r="E1118" s="8"/>
      <c r="F1118" s="8"/>
    </row>
    <row r="1119" spans="2:6">
      <c r="B1119" s="44"/>
      <c r="D1119" s="8"/>
      <c r="E1119" s="8"/>
      <c r="F1119" s="8"/>
    </row>
    <row r="1120" spans="2:6">
      <c r="B1120" s="44"/>
      <c r="D1120" s="8"/>
      <c r="E1120" s="8"/>
      <c r="F1120" s="8"/>
    </row>
    <row r="1121" spans="2:6">
      <c r="B1121" s="44"/>
      <c r="D1121" s="8"/>
      <c r="E1121" s="8"/>
      <c r="F1121" s="8"/>
    </row>
    <row r="1122" spans="2:6">
      <c r="B1122" s="44"/>
      <c r="D1122" s="8"/>
      <c r="E1122" s="8"/>
      <c r="F1122" s="8"/>
    </row>
    <row r="1123" spans="2:6">
      <c r="B1123" s="44"/>
      <c r="D1123" s="8"/>
      <c r="E1123" s="8"/>
      <c r="F1123" s="8"/>
    </row>
    <row r="1124" spans="2:6">
      <c r="B1124" s="44"/>
      <c r="D1124" s="8"/>
      <c r="E1124" s="8"/>
      <c r="F1124" s="8"/>
    </row>
    <row r="1125" spans="2:6">
      <c r="B1125" s="44"/>
      <c r="D1125" s="8"/>
      <c r="E1125" s="8"/>
      <c r="F1125" s="8"/>
    </row>
    <row r="1126" spans="2:6">
      <c r="B1126" s="44"/>
      <c r="D1126" s="8"/>
      <c r="E1126" s="8"/>
      <c r="F1126" s="8"/>
    </row>
    <row r="1127" spans="2:6">
      <c r="B1127" s="44"/>
      <c r="D1127" s="8"/>
      <c r="E1127" s="8"/>
      <c r="F1127" s="8"/>
    </row>
    <row r="1128" spans="2:6">
      <c r="B1128" s="44"/>
      <c r="D1128" s="8"/>
      <c r="E1128" s="8"/>
      <c r="F1128" s="8"/>
    </row>
    <row r="1129" spans="2:6">
      <c r="B1129" s="44"/>
      <c r="D1129" s="8"/>
      <c r="E1129" s="8"/>
      <c r="F1129" s="8"/>
    </row>
    <row r="1130" spans="2:6">
      <c r="B1130" s="44"/>
      <c r="D1130" s="8"/>
      <c r="E1130" s="8"/>
      <c r="F1130" s="8"/>
    </row>
    <row r="1131" spans="2:6">
      <c r="B1131" s="44"/>
      <c r="D1131" s="8"/>
      <c r="E1131" s="8"/>
      <c r="F1131" s="8"/>
    </row>
    <row r="1132" spans="2:6">
      <c r="B1132" s="44"/>
      <c r="D1132" s="8"/>
      <c r="E1132" s="8"/>
      <c r="F1132" s="8"/>
    </row>
    <row r="1133" spans="2:6">
      <c r="B1133" s="44"/>
      <c r="D1133" s="8"/>
      <c r="E1133" s="8"/>
      <c r="F1133" s="8"/>
    </row>
    <row r="1134" spans="2:6">
      <c r="B1134" s="44"/>
      <c r="D1134" s="8"/>
      <c r="E1134" s="8"/>
      <c r="F1134" s="8"/>
    </row>
    <row r="1135" spans="2:6">
      <c r="B1135" s="44"/>
      <c r="D1135" s="8"/>
      <c r="E1135" s="8"/>
      <c r="F1135" s="8"/>
    </row>
    <row r="1136" spans="2:6">
      <c r="B1136" s="44"/>
      <c r="D1136" s="8"/>
      <c r="E1136" s="8"/>
      <c r="F1136" s="8"/>
    </row>
    <row r="1137" spans="2:6">
      <c r="B1137" s="44"/>
      <c r="D1137" s="8"/>
      <c r="E1137" s="8"/>
      <c r="F1137" s="8"/>
    </row>
    <row r="1138" spans="2:6">
      <c r="B1138" s="44"/>
      <c r="D1138" s="8"/>
      <c r="E1138" s="8"/>
      <c r="F1138" s="8"/>
    </row>
    <row r="1139" spans="2:6">
      <c r="B1139" s="44"/>
      <c r="D1139" s="8"/>
      <c r="E1139" s="8"/>
      <c r="F1139" s="8"/>
    </row>
    <row r="1140" spans="2:6">
      <c r="B1140" s="44"/>
      <c r="D1140" s="8"/>
      <c r="E1140" s="8"/>
      <c r="F1140" s="8"/>
    </row>
    <row r="1141" spans="2:6">
      <c r="B1141" s="44"/>
      <c r="D1141" s="8"/>
      <c r="E1141" s="8"/>
      <c r="F1141" s="8"/>
    </row>
    <row r="1142" spans="2:6">
      <c r="B1142" s="44"/>
      <c r="D1142" s="8"/>
      <c r="E1142" s="8"/>
      <c r="F1142" s="8"/>
    </row>
    <row r="1143" spans="2:6">
      <c r="B1143" s="44"/>
      <c r="D1143" s="8"/>
      <c r="E1143" s="8"/>
      <c r="F1143" s="8"/>
    </row>
    <row r="1144" spans="2:6">
      <c r="B1144" s="44"/>
      <c r="D1144" s="8"/>
      <c r="E1144" s="8"/>
      <c r="F1144" s="8"/>
    </row>
    <row r="1145" spans="2:6">
      <c r="B1145" s="44"/>
      <c r="D1145" s="8"/>
      <c r="E1145" s="8"/>
      <c r="F1145" s="8"/>
    </row>
    <row r="1146" spans="2:6">
      <c r="B1146" s="44"/>
      <c r="D1146" s="8"/>
      <c r="E1146" s="8"/>
      <c r="F1146" s="8"/>
    </row>
    <row r="1147" spans="2:6">
      <c r="B1147" s="44"/>
      <c r="D1147" s="8"/>
      <c r="E1147" s="8"/>
      <c r="F1147" s="8"/>
    </row>
    <row r="1148" spans="2:6">
      <c r="B1148" s="44"/>
      <c r="D1148" s="8"/>
      <c r="E1148" s="8"/>
      <c r="F1148" s="8"/>
    </row>
    <row r="1149" spans="2:6">
      <c r="B1149" s="44"/>
      <c r="D1149" s="8"/>
      <c r="E1149" s="8"/>
      <c r="F1149" s="8"/>
    </row>
    <row r="1150" spans="2:6">
      <c r="B1150" s="44"/>
      <c r="D1150" s="8"/>
      <c r="E1150" s="8"/>
      <c r="F1150" s="8"/>
    </row>
    <row r="1151" spans="2:6">
      <c r="B1151" s="44"/>
      <c r="D1151" s="8"/>
      <c r="E1151" s="8"/>
      <c r="F1151" s="8"/>
    </row>
    <row r="1152" spans="2:6">
      <c r="B1152" s="44"/>
      <c r="D1152" s="8"/>
      <c r="E1152" s="8"/>
      <c r="F1152" s="8"/>
    </row>
    <row r="1153" spans="2:6">
      <c r="B1153" s="44"/>
      <c r="D1153" s="8"/>
      <c r="E1153" s="8"/>
      <c r="F1153" s="8"/>
    </row>
    <row r="1154" spans="2:6">
      <c r="B1154" s="44"/>
      <c r="D1154" s="8"/>
      <c r="E1154" s="8"/>
      <c r="F1154" s="8"/>
    </row>
    <row r="1155" spans="2:6">
      <c r="B1155" s="44"/>
      <c r="D1155" s="8"/>
      <c r="E1155" s="8"/>
      <c r="F1155" s="8"/>
    </row>
    <row r="1156" spans="2:6">
      <c r="B1156" s="44"/>
      <c r="D1156" s="8"/>
      <c r="E1156" s="8"/>
      <c r="F1156" s="8"/>
    </row>
    <row r="1157" spans="2:6">
      <c r="B1157" s="44"/>
      <c r="D1157" s="8"/>
      <c r="E1157" s="8"/>
      <c r="F1157" s="8"/>
    </row>
    <row r="1158" spans="2:6">
      <c r="B1158" s="44"/>
      <c r="D1158" s="8"/>
      <c r="E1158" s="8"/>
      <c r="F1158" s="8"/>
    </row>
    <row r="1159" spans="2:6">
      <c r="B1159" s="44"/>
      <c r="D1159" s="8"/>
      <c r="E1159" s="8"/>
      <c r="F1159" s="8"/>
    </row>
    <row r="1160" spans="2:6">
      <c r="B1160" s="44"/>
      <c r="D1160" s="8"/>
      <c r="E1160" s="8"/>
      <c r="F1160" s="8"/>
    </row>
    <row r="1161" spans="2:6">
      <c r="B1161" s="44"/>
      <c r="D1161" s="8"/>
      <c r="E1161" s="8"/>
      <c r="F1161" s="8"/>
    </row>
    <row r="1162" spans="2:6">
      <c r="B1162" s="44"/>
      <c r="D1162" s="8"/>
      <c r="E1162" s="8"/>
      <c r="F1162" s="8"/>
    </row>
    <row r="1163" spans="2:6">
      <c r="B1163" s="44"/>
      <c r="D1163" s="8"/>
      <c r="E1163" s="8"/>
      <c r="F1163" s="8"/>
    </row>
    <row r="1164" spans="2:6">
      <c r="B1164" s="44"/>
      <c r="D1164" s="8"/>
      <c r="E1164" s="8"/>
      <c r="F1164" s="8"/>
    </row>
    <row r="1165" spans="2:6">
      <c r="B1165" s="44"/>
      <c r="D1165" s="8"/>
      <c r="E1165" s="8"/>
      <c r="F1165" s="8"/>
    </row>
    <row r="1166" spans="2:6">
      <c r="B1166" s="44"/>
      <c r="D1166" s="8"/>
      <c r="E1166" s="8"/>
      <c r="F1166" s="8"/>
    </row>
    <row r="1167" spans="2:6">
      <c r="B1167" s="44"/>
      <c r="D1167" s="8"/>
      <c r="E1167" s="8"/>
      <c r="F1167" s="8"/>
    </row>
    <row r="1168" spans="2:6">
      <c r="B1168" s="44"/>
      <c r="D1168" s="8"/>
      <c r="E1168" s="8"/>
      <c r="F1168" s="8"/>
    </row>
    <row r="1169" spans="2:6">
      <c r="B1169" s="44"/>
      <c r="D1169" s="8"/>
      <c r="E1169" s="8"/>
      <c r="F1169" s="8"/>
    </row>
    <row r="1170" spans="2:6">
      <c r="B1170" s="44"/>
      <c r="D1170" s="8"/>
      <c r="E1170" s="8"/>
      <c r="F1170" s="8"/>
    </row>
    <row r="1171" spans="2:6">
      <c r="B1171" s="44"/>
      <c r="D1171" s="8"/>
      <c r="E1171" s="8"/>
      <c r="F1171" s="8"/>
    </row>
    <row r="1172" spans="2:6">
      <c r="B1172" s="44"/>
      <c r="D1172" s="8"/>
      <c r="E1172" s="8"/>
      <c r="F1172" s="8"/>
    </row>
    <row r="1173" spans="2:6">
      <c r="B1173" s="44"/>
      <c r="D1173" s="8"/>
      <c r="E1173" s="8"/>
      <c r="F1173" s="8"/>
    </row>
    <row r="1174" spans="2:6">
      <c r="B1174" s="44"/>
      <c r="D1174" s="8"/>
      <c r="E1174" s="8"/>
      <c r="F1174" s="8"/>
    </row>
    <row r="1175" spans="2:6">
      <c r="B1175" s="44"/>
      <c r="D1175" s="8"/>
      <c r="E1175" s="8"/>
      <c r="F1175" s="8"/>
    </row>
    <row r="1176" spans="2:6">
      <c r="B1176" s="44"/>
      <c r="D1176" s="8"/>
      <c r="E1176" s="8"/>
      <c r="F1176" s="8"/>
    </row>
    <row r="1177" spans="2:6">
      <c r="B1177" s="44"/>
      <c r="D1177" s="8"/>
      <c r="E1177" s="8"/>
      <c r="F1177" s="8"/>
    </row>
    <row r="1178" spans="2:6">
      <c r="B1178" s="44"/>
      <c r="D1178" s="8"/>
      <c r="E1178" s="8"/>
      <c r="F1178" s="8"/>
    </row>
    <row r="1179" spans="2:6">
      <c r="B1179" s="44"/>
      <c r="D1179" s="8"/>
      <c r="E1179" s="8"/>
      <c r="F1179" s="8"/>
    </row>
    <row r="1180" spans="2:6">
      <c r="B1180" s="44"/>
      <c r="D1180" s="8"/>
      <c r="E1180" s="8"/>
      <c r="F1180" s="8"/>
    </row>
    <row r="1181" spans="2:6">
      <c r="B1181" s="44"/>
      <c r="D1181" s="8"/>
      <c r="E1181" s="8"/>
      <c r="F1181" s="8"/>
    </row>
    <row r="1182" spans="2:6">
      <c r="B1182" s="44"/>
      <c r="D1182" s="8"/>
      <c r="E1182" s="8"/>
      <c r="F1182" s="8"/>
    </row>
    <row r="1183" spans="2:6">
      <c r="B1183" s="44"/>
      <c r="D1183" s="8"/>
      <c r="E1183" s="8"/>
      <c r="F1183" s="8"/>
    </row>
    <row r="1184" spans="2:6">
      <c r="B1184" s="44"/>
      <c r="D1184" s="8"/>
      <c r="E1184" s="8"/>
      <c r="F1184" s="8"/>
    </row>
    <row r="1185" spans="2:6">
      <c r="B1185" s="44"/>
      <c r="D1185" s="8"/>
      <c r="E1185" s="8"/>
      <c r="F1185" s="8"/>
    </row>
    <row r="1186" spans="2:6">
      <c r="B1186" s="44"/>
      <c r="D1186" s="8"/>
      <c r="E1186" s="8"/>
      <c r="F1186" s="8"/>
    </row>
    <row r="1187" spans="2:6">
      <c r="B1187" s="44"/>
      <c r="D1187" s="8"/>
      <c r="E1187" s="8"/>
      <c r="F1187" s="8"/>
    </row>
    <row r="1188" spans="2:6">
      <c r="B1188" s="44"/>
      <c r="D1188" s="8"/>
      <c r="E1188" s="8"/>
      <c r="F1188" s="8"/>
    </row>
    <row r="1189" spans="2:6">
      <c r="B1189" s="44"/>
      <c r="D1189" s="8"/>
      <c r="E1189" s="8"/>
      <c r="F1189" s="8"/>
    </row>
    <row r="1190" spans="2:6">
      <c r="B1190" s="44"/>
      <c r="D1190" s="8"/>
      <c r="E1190" s="8"/>
      <c r="F1190" s="8"/>
    </row>
    <row r="1191" spans="2:6">
      <c r="B1191" s="44"/>
      <c r="D1191" s="8"/>
      <c r="E1191" s="8"/>
      <c r="F1191" s="8"/>
    </row>
    <row r="1192" spans="2:6">
      <c r="B1192" s="44"/>
      <c r="D1192" s="8"/>
      <c r="E1192" s="8"/>
      <c r="F1192" s="8"/>
    </row>
    <row r="1193" spans="2:6">
      <c r="B1193" s="44"/>
      <c r="D1193" s="8"/>
      <c r="E1193" s="8"/>
      <c r="F1193" s="8"/>
    </row>
    <row r="1194" spans="2:6">
      <c r="B1194" s="44"/>
      <c r="D1194" s="8"/>
      <c r="E1194" s="8"/>
      <c r="F1194" s="8"/>
    </row>
    <row r="1195" spans="2:6">
      <c r="B1195" s="44"/>
      <c r="D1195" s="8"/>
      <c r="E1195" s="8"/>
      <c r="F1195" s="8"/>
    </row>
    <row r="1196" spans="2:6">
      <c r="B1196" s="44"/>
      <c r="D1196" s="8"/>
      <c r="E1196" s="8"/>
      <c r="F1196" s="8"/>
    </row>
    <row r="1197" spans="2:6">
      <c r="B1197" s="44"/>
      <c r="D1197" s="8"/>
      <c r="E1197" s="8"/>
      <c r="F1197" s="8"/>
    </row>
    <row r="1198" spans="2:6">
      <c r="B1198" s="44"/>
      <c r="D1198" s="8"/>
      <c r="E1198" s="8"/>
      <c r="F1198" s="8"/>
    </row>
    <row r="1199" spans="2:6">
      <c r="B1199" s="44"/>
      <c r="D1199" s="8"/>
      <c r="E1199" s="8"/>
      <c r="F1199" s="8"/>
    </row>
    <row r="1200" spans="2:6">
      <c r="B1200" s="44"/>
      <c r="D1200" s="8"/>
      <c r="E1200" s="8"/>
      <c r="F1200" s="8"/>
    </row>
    <row r="1201" spans="2:6">
      <c r="B1201" s="44"/>
      <c r="D1201" s="8"/>
      <c r="E1201" s="8"/>
      <c r="F1201" s="8"/>
    </row>
    <row r="1202" spans="2:6">
      <c r="B1202" s="44"/>
      <c r="D1202" s="8"/>
      <c r="E1202" s="8"/>
      <c r="F1202" s="8"/>
    </row>
    <row r="1203" spans="2:6">
      <c r="B1203" s="44"/>
      <c r="D1203" s="8"/>
      <c r="E1203" s="8"/>
      <c r="F1203" s="8"/>
    </row>
    <row r="1204" spans="2:6">
      <c r="B1204" s="44"/>
      <c r="D1204" s="8"/>
      <c r="E1204" s="8"/>
      <c r="F1204" s="8"/>
    </row>
    <row r="1205" spans="2:6">
      <c r="B1205" s="44"/>
      <c r="D1205" s="8"/>
      <c r="E1205" s="8"/>
      <c r="F1205" s="8"/>
    </row>
    <row r="1206" spans="2:6">
      <c r="B1206" s="44"/>
      <c r="D1206" s="8"/>
      <c r="E1206" s="8"/>
      <c r="F1206" s="8"/>
    </row>
    <row r="1207" spans="2:6">
      <c r="B1207" s="44"/>
      <c r="D1207" s="8"/>
      <c r="E1207" s="8"/>
      <c r="F1207" s="8"/>
    </row>
    <row r="1208" spans="2:6">
      <c r="B1208" s="44"/>
      <c r="D1208" s="8"/>
      <c r="E1208" s="8"/>
      <c r="F1208" s="8"/>
    </row>
    <row r="1209" spans="2:6">
      <c r="B1209" s="44"/>
      <c r="D1209" s="8"/>
      <c r="E1209" s="8"/>
      <c r="F1209" s="8"/>
    </row>
    <row r="1210" spans="2:6">
      <c r="B1210" s="44"/>
      <c r="D1210" s="8"/>
      <c r="E1210" s="8"/>
      <c r="F1210" s="8"/>
    </row>
    <row r="1211" spans="2:6">
      <c r="B1211" s="44"/>
      <c r="D1211" s="8"/>
      <c r="E1211" s="8"/>
      <c r="F1211" s="8"/>
    </row>
    <row r="1212" spans="2:6">
      <c r="B1212" s="44"/>
      <c r="D1212" s="8"/>
      <c r="E1212" s="8"/>
      <c r="F1212" s="8"/>
    </row>
    <row r="1213" spans="2:6">
      <c r="B1213" s="44"/>
      <c r="D1213" s="8"/>
      <c r="E1213" s="8"/>
      <c r="F1213" s="8"/>
    </row>
    <row r="1214" spans="2:6">
      <c r="B1214" s="44"/>
      <c r="D1214" s="8"/>
      <c r="E1214" s="8"/>
      <c r="F1214" s="8"/>
    </row>
    <row r="1215" spans="2:6">
      <c r="B1215" s="44"/>
      <c r="D1215" s="8"/>
      <c r="E1215" s="8"/>
      <c r="F1215" s="8"/>
    </row>
    <row r="1216" spans="2:6">
      <c r="B1216" s="44"/>
      <c r="D1216" s="8"/>
      <c r="E1216" s="8"/>
      <c r="F1216" s="8"/>
    </row>
    <row r="1217" spans="2:6">
      <c r="B1217" s="44"/>
      <c r="D1217" s="8"/>
      <c r="E1217" s="8"/>
      <c r="F1217" s="8"/>
    </row>
    <row r="1218" spans="2:6">
      <c r="B1218" s="44"/>
      <c r="D1218" s="8"/>
      <c r="E1218" s="8"/>
      <c r="F1218" s="8"/>
    </row>
    <row r="1219" spans="2:6">
      <c r="B1219" s="44"/>
      <c r="D1219" s="8"/>
      <c r="E1219" s="8"/>
      <c r="F1219" s="8"/>
    </row>
    <row r="1220" spans="2:6">
      <c r="B1220" s="44"/>
      <c r="D1220" s="8"/>
      <c r="E1220" s="8"/>
      <c r="F1220" s="8"/>
    </row>
    <row r="1221" spans="2:6">
      <c r="B1221" s="44"/>
      <c r="D1221" s="8"/>
      <c r="E1221" s="8"/>
      <c r="F1221" s="8"/>
    </row>
    <row r="1222" spans="2:6">
      <c r="B1222" s="44"/>
      <c r="D1222" s="8"/>
      <c r="E1222" s="8"/>
      <c r="F1222" s="8"/>
    </row>
    <row r="1223" spans="2:6">
      <c r="B1223" s="44"/>
      <c r="D1223" s="8"/>
      <c r="E1223" s="8"/>
      <c r="F1223" s="8"/>
    </row>
    <row r="1224" spans="2:6">
      <c r="B1224" s="44"/>
      <c r="D1224" s="8"/>
      <c r="E1224" s="8"/>
      <c r="F1224" s="8"/>
    </row>
    <row r="1225" spans="2:6">
      <c r="B1225" s="44"/>
      <c r="D1225" s="8"/>
      <c r="E1225" s="8"/>
      <c r="F1225" s="8"/>
    </row>
    <row r="1226" spans="2:6">
      <c r="B1226" s="44"/>
      <c r="D1226" s="8"/>
      <c r="E1226" s="8"/>
      <c r="F1226" s="8"/>
    </row>
    <row r="1227" spans="2:6">
      <c r="B1227" s="44"/>
      <c r="D1227" s="8"/>
      <c r="E1227" s="8"/>
      <c r="F1227" s="8"/>
    </row>
    <row r="1228" spans="2:6">
      <c r="B1228" s="44"/>
      <c r="D1228" s="8"/>
      <c r="E1228" s="8"/>
      <c r="F1228" s="8"/>
    </row>
    <row r="1229" spans="2:6">
      <c r="B1229" s="44"/>
      <c r="D1229" s="8"/>
      <c r="E1229" s="8"/>
      <c r="F1229" s="8"/>
    </row>
    <row r="1230" spans="2:6">
      <c r="B1230" s="44"/>
      <c r="D1230" s="8"/>
      <c r="E1230" s="8"/>
      <c r="F1230" s="8"/>
    </row>
    <row r="1231" spans="2:6">
      <c r="B1231" s="44"/>
      <c r="D1231" s="8"/>
      <c r="E1231" s="8"/>
      <c r="F1231" s="8"/>
    </row>
    <row r="1232" spans="2:6">
      <c r="B1232" s="44"/>
      <c r="D1232" s="8"/>
      <c r="E1232" s="8"/>
      <c r="F1232" s="8"/>
    </row>
    <row r="1233" spans="2:6">
      <c r="B1233" s="44"/>
      <c r="D1233" s="8"/>
      <c r="E1233" s="8"/>
      <c r="F1233" s="8"/>
    </row>
    <row r="1234" spans="2:6">
      <c r="B1234" s="44"/>
      <c r="D1234" s="8"/>
      <c r="E1234" s="8"/>
      <c r="F1234" s="8"/>
    </row>
    <row r="1235" spans="2:6">
      <c r="B1235" s="44"/>
      <c r="D1235" s="8"/>
      <c r="E1235" s="8"/>
      <c r="F1235" s="8"/>
    </row>
    <row r="1236" spans="2:6">
      <c r="B1236" s="44"/>
      <c r="D1236" s="8"/>
      <c r="E1236" s="8"/>
      <c r="F1236" s="8"/>
    </row>
    <row r="1237" spans="2:6">
      <c r="B1237" s="44"/>
      <c r="D1237" s="8"/>
      <c r="E1237" s="8"/>
      <c r="F1237" s="8"/>
    </row>
    <row r="1238" spans="2:6">
      <c r="B1238" s="44"/>
      <c r="D1238" s="8"/>
      <c r="E1238" s="8"/>
      <c r="F1238" s="8"/>
    </row>
    <row r="1239" spans="2:6">
      <c r="B1239" s="44"/>
      <c r="D1239" s="8"/>
      <c r="E1239" s="8"/>
      <c r="F1239" s="8"/>
    </row>
    <row r="1240" spans="2:6">
      <c r="B1240" s="44"/>
      <c r="D1240" s="8"/>
      <c r="E1240" s="8"/>
      <c r="F1240" s="8"/>
    </row>
    <row r="1241" spans="2:6">
      <c r="B1241" s="44"/>
      <c r="D1241" s="8"/>
      <c r="E1241" s="8"/>
      <c r="F1241" s="8"/>
    </row>
    <row r="1242" spans="2:6">
      <c r="B1242" s="44"/>
      <c r="D1242" s="8"/>
      <c r="E1242" s="8"/>
      <c r="F1242" s="8"/>
    </row>
    <row r="1243" spans="2:6">
      <c r="B1243" s="44"/>
      <c r="D1243" s="8"/>
      <c r="E1243" s="8"/>
      <c r="F1243" s="8"/>
    </row>
    <row r="1244" spans="2:6">
      <c r="B1244" s="44"/>
      <c r="D1244" s="8"/>
      <c r="E1244" s="8"/>
      <c r="F1244" s="8"/>
    </row>
    <row r="1245" spans="2:6">
      <c r="B1245" s="44"/>
      <c r="D1245" s="8"/>
      <c r="E1245" s="8"/>
      <c r="F1245" s="8"/>
    </row>
    <row r="1246" spans="2:6">
      <c r="B1246" s="44"/>
      <c r="D1246" s="8"/>
      <c r="E1246" s="8"/>
      <c r="F1246" s="8"/>
    </row>
    <row r="1247" spans="2:6">
      <c r="B1247" s="44"/>
      <c r="D1247" s="8"/>
      <c r="E1247" s="8"/>
      <c r="F1247" s="8"/>
    </row>
    <row r="1248" spans="2:6">
      <c r="B1248" s="44"/>
      <c r="D1248" s="8"/>
      <c r="E1248" s="8"/>
      <c r="F1248" s="8"/>
    </row>
    <row r="1249" spans="2:6">
      <c r="B1249" s="44"/>
      <c r="D1249" s="8"/>
      <c r="E1249" s="8"/>
      <c r="F1249" s="8"/>
    </row>
    <row r="1250" spans="2:6">
      <c r="B1250" s="44"/>
      <c r="D1250" s="8"/>
      <c r="E1250" s="8"/>
      <c r="F1250" s="8"/>
    </row>
    <row r="1251" spans="2:6">
      <c r="B1251" s="44"/>
      <c r="D1251" s="8"/>
      <c r="E1251" s="8"/>
      <c r="F1251" s="8"/>
    </row>
    <row r="1252" spans="2:6">
      <c r="B1252" s="44"/>
      <c r="D1252" s="8"/>
      <c r="E1252" s="8"/>
      <c r="F1252" s="8"/>
    </row>
    <row r="1253" spans="2:6">
      <c r="B1253" s="44"/>
      <c r="D1253" s="8"/>
      <c r="E1253" s="8"/>
      <c r="F1253" s="8"/>
    </row>
    <row r="1254" spans="2:6">
      <c r="B1254" s="44"/>
      <c r="D1254" s="8"/>
      <c r="E1254" s="8"/>
      <c r="F1254" s="8"/>
    </row>
    <row r="1255" spans="2:6">
      <c r="B1255" s="44"/>
      <c r="D1255" s="8"/>
      <c r="E1255" s="8"/>
      <c r="F1255" s="8"/>
    </row>
    <row r="1256" spans="2:6">
      <c r="B1256" s="44"/>
      <c r="D1256" s="8"/>
      <c r="E1256" s="8"/>
      <c r="F1256" s="8"/>
    </row>
    <row r="1257" spans="2:6">
      <c r="B1257" s="44"/>
      <c r="D1257" s="8"/>
      <c r="E1257" s="8"/>
      <c r="F1257" s="8"/>
    </row>
    <row r="1258" spans="2:6">
      <c r="B1258" s="44"/>
      <c r="D1258" s="8"/>
      <c r="E1258" s="8"/>
      <c r="F1258" s="8"/>
    </row>
    <row r="1259" spans="2:6">
      <c r="B1259" s="44"/>
      <c r="D1259" s="8"/>
      <c r="E1259" s="8"/>
      <c r="F1259" s="8"/>
    </row>
    <row r="1260" spans="2:6">
      <c r="B1260" s="44"/>
      <c r="D1260" s="8"/>
      <c r="E1260" s="8"/>
      <c r="F1260" s="8"/>
    </row>
    <row r="1261" spans="2:6">
      <c r="B1261" s="44"/>
      <c r="D1261" s="8"/>
      <c r="E1261" s="8"/>
      <c r="F1261" s="8"/>
    </row>
    <row r="1262" spans="2:6">
      <c r="B1262" s="44"/>
      <c r="D1262" s="8"/>
      <c r="E1262" s="8"/>
      <c r="F1262" s="8"/>
    </row>
    <row r="1263" spans="2:6">
      <c r="B1263" s="44"/>
      <c r="D1263" s="8"/>
      <c r="E1263" s="8"/>
      <c r="F1263" s="8"/>
    </row>
    <row r="1264" spans="2:6">
      <c r="B1264" s="44"/>
      <c r="D1264" s="8"/>
      <c r="E1264" s="8"/>
      <c r="F1264" s="8"/>
    </row>
    <row r="1265" spans="2:6">
      <c r="B1265" s="44"/>
      <c r="D1265" s="8"/>
      <c r="E1265" s="8"/>
      <c r="F1265" s="8"/>
    </row>
    <row r="1266" spans="2:6">
      <c r="B1266" s="44"/>
      <c r="D1266" s="8"/>
      <c r="E1266" s="8"/>
      <c r="F1266" s="8"/>
    </row>
    <row r="1267" spans="2:6">
      <c r="B1267" s="44"/>
      <c r="D1267" s="8"/>
      <c r="E1267" s="8"/>
      <c r="F1267" s="8"/>
    </row>
    <row r="1268" spans="2:6">
      <c r="B1268" s="44"/>
      <c r="D1268" s="8"/>
      <c r="E1268" s="8"/>
      <c r="F1268" s="8"/>
    </row>
    <row r="1269" spans="2:6">
      <c r="B1269" s="44"/>
      <c r="D1269" s="8"/>
      <c r="E1269" s="8"/>
      <c r="F1269" s="8"/>
    </row>
    <row r="1270" spans="2:6">
      <c r="B1270" s="44"/>
      <c r="D1270" s="8"/>
      <c r="E1270" s="8"/>
      <c r="F1270" s="8"/>
    </row>
    <row r="1271" spans="2:6">
      <c r="B1271" s="44"/>
      <c r="D1271" s="8"/>
      <c r="E1271" s="8"/>
      <c r="F1271" s="8"/>
    </row>
    <row r="1272" spans="2:6">
      <c r="B1272" s="44"/>
      <c r="D1272" s="8"/>
      <c r="E1272" s="8"/>
      <c r="F1272" s="8"/>
    </row>
    <row r="1273" spans="2:6">
      <c r="B1273" s="44"/>
      <c r="D1273" s="8"/>
      <c r="E1273" s="8"/>
      <c r="F1273" s="8"/>
    </row>
    <row r="1274" spans="2:6">
      <c r="B1274" s="44"/>
      <c r="D1274" s="8"/>
      <c r="E1274" s="8"/>
      <c r="F1274" s="8"/>
    </row>
    <row r="1275" spans="2:6">
      <c r="B1275" s="44"/>
      <c r="D1275" s="8"/>
      <c r="E1275" s="8"/>
      <c r="F1275" s="8"/>
    </row>
    <row r="1276" spans="2:6">
      <c r="B1276" s="44"/>
      <c r="D1276" s="8"/>
      <c r="E1276" s="8"/>
      <c r="F1276" s="8"/>
    </row>
    <row r="1277" spans="2:6">
      <c r="B1277" s="44"/>
      <c r="D1277" s="8"/>
      <c r="E1277" s="8"/>
      <c r="F1277" s="8"/>
    </row>
    <row r="1278" spans="2:6">
      <c r="B1278" s="44"/>
      <c r="D1278" s="8"/>
      <c r="E1278" s="8"/>
      <c r="F1278" s="8"/>
    </row>
    <row r="1279" spans="2:6">
      <c r="B1279" s="44"/>
      <c r="D1279" s="8"/>
      <c r="E1279" s="8"/>
      <c r="F1279" s="8"/>
    </row>
    <row r="1280" spans="2:6">
      <c r="B1280" s="44"/>
      <c r="D1280" s="8"/>
      <c r="E1280" s="8"/>
      <c r="F1280" s="8"/>
    </row>
    <row r="1281" spans="2:6">
      <c r="B1281" s="44"/>
      <c r="D1281" s="8"/>
      <c r="E1281" s="8"/>
      <c r="F1281" s="8"/>
    </row>
    <row r="1282" spans="2:6">
      <c r="B1282" s="44"/>
      <c r="D1282" s="8"/>
      <c r="E1282" s="8"/>
      <c r="F1282" s="8"/>
    </row>
    <row r="1283" spans="2:6">
      <c r="B1283" s="44"/>
      <c r="D1283" s="8"/>
      <c r="E1283" s="8"/>
      <c r="F1283" s="8"/>
    </row>
    <row r="1284" spans="2:6">
      <c r="B1284" s="44"/>
      <c r="D1284" s="8"/>
      <c r="E1284" s="8"/>
      <c r="F1284" s="8"/>
    </row>
    <row r="1285" spans="2:6">
      <c r="B1285" s="44"/>
      <c r="D1285" s="8"/>
      <c r="E1285" s="8"/>
      <c r="F1285" s="8"/>
    </row>
    <row r="1286" spans="2:6">
      <c r="B1286" s="44"/>
      <c r="D1286" s="8"/>
      <c r="E1286" s="8"/>
      <c r="F1286" s="8"/>
    </row>
    <row r="1287" spans="2:6">
      <c r="B1287" s="44"/>
      <c r="D1287" s="8"/>
      <c r="E1287" s="8"/>
      <c r="F1287" s="8"/>
    </row>
    <row r="1288" spans="2:6">
      <c r="B1288" s="44"/>
      <c r="D1288" s="8"/>
      <c r="E1288" s="8"/>
      <c r="F1288" s="8"/>
    </row>
    <row r="1289" spans="2:6">
      <c r="B1289" s="44"/>
      <c r="D1289" s="8"/>
      <c r="E1289" s="8"/>
      <c r="F1289" s="8"/>
    </row>
    <row r="1290" spans="2:6">
      <c r="B1290" s="44"/>
      <c r="D1290" s="8"/>
      <c r="E1290" s="8"/>
      <c r="F1290" s="8"/>
    </row>
    <row r="1291" spans="2:6">
      <c r="B1291" s="44"/>
      <c r="D1291" s="8"/>
      <c r="E1291" s="8"/>
      <c r="F1291" s="8"/>
    </row>
    <row r="1292" spans="2:6">
      <c r="B1292" s="44"/>
      <c r="D1292" s="8"/>
      <c r="E1292" s="8"/>
      <c r="F1292" s="8"/>
    </row>
    <row r="1293" spans="2:6">
      <c r="B1293" s="44"/>
      <c r="D1293" s="8"/>
      <c r="E1293" s="8"/>
      <c r="F1293" s="8"/>
    </row>
    <row r="1294" spans="2:6">
      <c r="B1294" s="44"/>
      <c r="D1294" s="8"/>
      <c r="E1294" s="8"/>
      <c r="F1294" s="8"/>
    </row>
    <row r="1295" spans="2:6">
      <c r="B1295" s="44"/>
      <c r="D1295" s="8"/>
      <c r="E1295" s="8"/>
      <c r="F1295" s="8"/>
    </row>
    <row r="1296" spans="2:6">
      <c r="B1296" s="44"/>
      <c r="D1296" s="8"/>
      <c r="E1296" s="8"/>
      <c r="F1296" s="8"/>
    </row>
    <row r="1297" spans="2:6">
      <c r="B1297" s="44"/>
      <c r="D1297" s="8"/>
      <c r="E1297" s="8"/>
      <c r="F1297" s="8"/>
    </row>
    <row r="1298" spans="2:6">
      <c r="B1298" s="44"/>
      <c r="D1298" s="8"/>
      <c r="E1298" s="8"/>
      <c r="F1298" s="8"/>
    </row>
    <row r="1299" spans="2:6">
      <c r="B1299" s="44"/>
      <c r="D1299" s="8"/>
      <c r="E1299" s="8"/>
      <c r="F1299" s="8"/>
    </row>
    <row r="1300" spans="2:6">
      <c r="B1300" s="44"/>
      <c r="D1300" s="8"/>
      <c r="E1300" s="8"/>
      <c r="F1300" s="8"/>
    </row>
    <row r="1301" spans="2:6">
      <c r="B1301" s="44"/>
      <c r="D1301" s="8"/>
      <c r="E1301" s="8"/>
      <c r="F1301" s="8"/>
    </row>
    <row r="1302" spans="2:6">
      <c r="B1302" s="44"/>
      <c r="D1302" s="8"/>
      <c r="E1302" s="8"/>
      <c r="F1302" s="8"/>
    </row>
    <row r="1303" spans="2:6">
      <c r="B1303" s="44"/>
      <c r="D1303" s="8"/>
      <c r="E1303" s="8"/>
      <c r="F1303" s="8"/>
    </row>
    <row r="1304" spans="2:6">
      <c r="B1304" s="44"/>
      <c r="D1304" s="8"/>
      <c r="E1304" s="8"/>
      <c r="F1304" s="8"/>
    </row>
    <row r="1305" spans="2:6">
      <c r="B1305" s="44"/>
      <c r="D1305" s="8"/>
      <c r="E1305" s="8"/>
      <c r="F1305" s="8"/>
    </row>
    <row r="1306" spans="2:6">
      <c r="B1306" s="44"/>
      <c r="D1306" s="8"/>
      <c r="E1306" s="8"/>
      <c r="F1306" s="8"/>
    </row>
    <row r="1307" spans="2:6">
      <c r="B1307" s="44"/>
      <c r="D1307" s="8"/>
      <c r="E1307" s="8"/>
      <c r="F1307" s="8"/>
    </row>
    <row r="1308" spans="2:6">
      <c r="B1308" s="44"/>
      <c r="D1308" s="8"/>
      <c r="E1308" s="8"/>
      <c r="F1308" s="8"/>
    </row>
    <row r="1309" spans="2:6">
      <c r="B1309" s="44"/>
      <c r="D1309" s="8"/>
      <c r="E1309" s="8"/>
      <c r="F1309" s="8"/>
    </row>
    <row r="1310" spans="2:6">
      <c r="B1310" s="44"/>
      <c r="D1310" s="8"/>
      <c r="E1310" s="8"/>
      <c r="F1310" s="8"/>
    </row>
    <row r="1311" spans="2:6">
      <c r="B1311" s="44"/>
      <c r="D1311" s="8"/>
      <c r="E1311" s="8"/>
      <c r="F1311" s="8"/>
    </row>
    <row r="1312" spans="2:6">
      <c r="B1312" s="44"/>
      <c r="D1312" s="8"/>
      <c r="E1312" s="8"/>
      <c r="F1312" s="8"/>
    </row>
    <row r="1313" spans="2:6">
      <c r="B1313" s="44"/>
      <c r="D1313" s="8"/>
      <c r="E1313" s="8"/>
      <c r="F1313" s="8"/>
    </row>
    <row r="1314" spans="2:6">
      <c r="B1314" s="44"/>
      <c r="D1314" s="8"/>
      <c r="E1314" s="8"/>
      <c r="F1314" s="8"/>
    </row>
    <row r="1315" spans="2:6">
      <c r="B1315" s="44"/>
      <c r="D1315" s="8"/>
      <c r="E1315" s="8"/>
      <c r="F1315" s="8"/>
    </row>
    <row r="1316" spans="2:6">
      <c r="B1316" s="44"/>
      <c r="D1316" s="8"/>
      <c r="E1316" s="8"/>
      <c r="F1316" s="8"/>
    </row>
    <row r="1317" spans="2:6">
      <c r="B1317" s="44"/>
      <c r="D1317" s="8"/>
      <c r="E1317" s="8"/>
      <c r="F1317" s="8"/>
    </row>
    <row r="1318" spans="2:6">
      <c r="B1318" s="44"/>
      <c r="D1318" s="8"/>
      <c r="E1318" s="8"/>
      <c r="F1318" s="8"/>
    </row>
    <row r="1319" spans="2:6">
      <c r="B1319" s="44"/>
      <c r="D1319" s="8"/>
      <c r="E1319" s="8"/>
      <c r="F1319" s="8"/>
    </row>
    <row r="1320" spans="2:6">
      <c r="B1320" s="44"/>
      <c r="D1320" s="8"/>
      <c r="E1320" s="8"/>
      <c r="F1320" s="8"/>
    </row>
    <row r="1321" spans="2:6">
      <c r="B1321" s="44"/>
      <c r="D1321" s="8"/>
      <c r="E1321" s="8"/>
      <c r="F1321" s="8"/>
    </row>
    <row r="1322" spans="2:6">
      <c r="B1322" s="44"/>
      <c r="D1322" s="8"/>
      <c r="E1322" s="8"/>
      <c r="F1322" s="8"/>
    </row>
    <row r="1323" spans="2:6">
      <c r="B1323" s="44"/>
      <c r="D1323" s="8"/>
      <c r="E1323" s="8"/>
      <c r="F1323" s="8"/>
    </row>
    <row r="1324" spans="2:6">
      <c r="B1324" s="44"/>
      <c r="D1324" s="8"/>
      <c r="E1324" s="8"/>
      <c r="F1324" s="8"/>
    </row>
    <row r="1325" spans="2:6">
      <c r="B1325" s="44"/>
      <c r="D1325" s="8"/>
      <c r="E1325" s="8"/>
      <c r="F1325" s="8"/>
    </row>
    <row r="1326" spans="2:6">
      <c r="B1326" s="44"/>
      <c r="D1326" s="8"/>
      <c r="E1326" s="8"/>
      <c r="F1326" s="8"/>
    </row>
    <row r="1327" spans="2:6">
      <c r="B1327" s="44"/>
      <c r="D1327" s="8"/>
      <c r="E1327" s="8"/>
      <c r="F1327" s="8"/>
    </row>
    <row r="1328" spans="2:6">
      <c r="B1328" s="44"/>
      <c r="D1328" s="8"/>
      <c r="E1328" s="8"/>
      <c r="F1328" s="8"/>
    </row>
    <row r="1329" spans="2:6">
      <c r="B1329" s="44"/>
      <c r="D1329" s="8"/>
      <c r="E1329" s="8"/>
      <c r="F1329" s="8"/>
    </row>
    <row r="1330" spans="2:6">
      <c r="B1330" s="44"/>
      <c r="D1330" s="8"/>
      <c r="E1330" s="8"/>
      <c r="F1330" s="8"/>
    </row>
    <row r="1331" spans="2:6">
      <c r="B1331" s="44"/>
      <c r="D1331" s="8"/>
      <c r="E1331" s="8"/>
      <c r="F1331" s="8"/>
    </row>
    <row r="1332" spans="2:6">
      <c r="B1332" s="44"/>
      <c r="D1332" s="8"/>
      <c r="E1332" s="8"/>
      <c r="F1332" s="8"/>
    </row>
    <row r="1333" spans="2:6">
      <c r="B1333" s="44"/>
      <c r="D1333" s="8"/>
      <c r="E1333" s="8"/>
      <c r="F1333" s="8"/>
    </row>
    <row r="1334" spans="2:6">
      <c r="B1334" s="44"/>
      <c r="D1334" s="8"/>
      <c r="E1334" s="8"/>
      <c r="F1334" s="8"/>
    </row>
    <row r="1335" spans="2:6">
      <c r="B1335" s="44"/>
      <c r="D1335" s="8"/>
      <c r="E1335" s="8"/>
      <c r="F1335" s="8"/>
    </row>
    <row r="1336" spans="2:6">
      <c r="B1336" s="44"/>
      <c r="D1336" s="8"/>
      <c r="E1336" s="8"/>
      <c r="F1336" s="8"/>
    </row>
    <row r="1337" spans="2:6">
      <c r="B1337" s="44"/>
      <c r="D1337" s="8"/>
      <c r="E1337" s="8"/>
      <c r="F1337" s="8"/>
    </row>
    <row r="1338" spans="2:6">
      <c r="B1338" s="44"/>
      <c r="D1338" s="8"/>
      <c r="E1338" s="8"/>
      <c r="F1338" s="8"/>
    </row>
    <row r="1339" spans="2:6">
      <c r="B1339" s="44"/>
      <c r="D1339" s="8"/>
      <c r="E1339" s="8"/>
      <c r="F1339" s="8"/>
    </row>
    <row r="1340" spans="2:6">
      <c r="B1340" s="44"/>
      <c r="D1340" s="8"/>
      <c r="E1340" s="8"/>
      <c r="F1340" s="8"/>
    </row>
    <row r="1341" spans="2:6">
      <c r="B1341" s="44"/>
      <c r="D1341" s="8"/>
      <c r="E1341" s="8"/>
      <c r="F1341" s="8"/>
    </row>
    <row r="1342" spans="2:6">
      <c r="B1342" s="44"/>
      <c r="D1342" s="8"/>
      <c r="E1342" s="8"/>
      <c r="F1342" s="8"/>
    </row>
    <row r="1343" spans="2:6">
      <c r="B1343" s="44"/>
      <c r="D1343" s="8"/>
      <c r="E1343" s="8"/>
      <c r="F1343" s="8"/>
    </row>
    <row r="1344" spans="2:6">
      <c r="B1344" s="44"/>
      <c r="D1344" s="8"/>
      <c r="E1344" s="8"/>
      <c r="F1344" s="8"/>
    </row>
    <row r="1345" spans="2:6">
      <c r="B1345" s="44"/>
      <c r="D1345" s="8"/>
      <c r="E1345" s="8"/>
      <c r="F1345" s="8"/>
    </row>
    <row r="1346" spans="2:6">
      <c r="B1346" s="44"/>
      <c r="D1346" s="8"/>
      <c r="E1346" s="8"/>
      <c r="F1346" s="8"/>
    </row>
    <row r="1347" spans="2:6">
      <c r="B1347" s="44"/>
      <c r="D1347" s="8"/>
      <c r="E1347" s="8"/>
      <c r="F1347" s="8"/>
    </row>
    <row r="1348" spans="2:6">
      <c r="B1348" s="44"/>
      <c r="D1348" s="8"/>
      <c r="E1348" s="8"/>
      <c r="F1348" s="8"/>
    </row>
    <row r="1349" spans="2:6">
      <c r="B1349" s="44"/>
      <c r="D1349" s="8"/>
      <c r="E1349" s="8"/>
      <c r="F1349" s="8"/>
    </row>
    <row r="1350" spans="2:6">
      <c r="B1350" s="44"/>
      <c r="D1350" s="8"/>
      <c r="E1350" s="8"/>
      <c r="F1350" s="8"/>
    </row>
    <row r="1351" spans="2:6">
      <c r="B1351" s="44"/>
      <c r="D1351" s="8"/>
      <c r="E1351" s="8"/>
      <c r="F1351" s="8"/>
    </row>
    <row r="1352" spans="2:6">
      <c r="B1352" s="44"/>
      <c r="D1352" s="8"/>
      <c r="E1352" s="8"/>
      <c r="F1352" s="8"/>
    </row>
    <row r="1353" spans="2:6">
      <c r="B1353" s="44"/>
      <c r="D1353" s="8"/>
      <c r="E1353" s="8"/>
      <c r="F1353" s="8"/>
    </row>
    <row r="1354" spans="2:6">
      <c r="B1354" s="44"/>
      <c r="D1354" s="8"/>
      <c r="E1354" s="8"/>
      <c r="F1354" s="8"/>
    </row>
    <row r="1355" spans="2:6">
      <c r="B1355" s="44"/>
      <c r="D1355" s="8"/>
      <c r="E1355" s="8"/>
      <c r="F1355" s="8"/>
    </row>
    <row r="1356" spans="2:6">
      <c r="B1356" s="44"/>
      <c r="D1356" s="8"/>
      <c r="E1356" s="8"/>
      <c r="F1356" s="8"/>
    </row>
    <row r="1357" spans="2:6">
      <c r="B1357" s="44"/>
      <c r="D1357" s="8"/>
      <c r="E1357" s="8"/>
      <c r="F1357" s="8"/>
    </row>
    <row r="1358" spans="2:6">
      <c r="B1358" s="44"/>
      <c r="D1358" s="8"/>
      <c r="E1358" s="8"/>
      <c r="F1358" s="8"/>
    </row>
    <row r="1359" spans="2:6">
      <c r="B1359" s="44"/>
      <c r="D1359" s="8"/>
      <c r="E1359" s="8"/>
      <c r="F1359" s="8"/>
    </row>
    <row r="1360" spans="2:6">
      <c r="B1360" s="44"/>
      <c r="D1360" s="8"/>
      <c r="E1360" s="8"/>
      <c r="F1360" s="8"/>
    </row>
    <row r="1361" spans="2:6">
      <c r="B1361" s="44"/>
      <c r="D1361" s="8"/>
      <c r="E1361" s="8"/>
      <c r="F1361" s="8"/>
    </row>
    <row r="1362" spans="2:6">
      <c r="B1362" s="44"/>
      <c r="D1362" s="8"/>
      <c r="E1362" s="8"/>
      <c r="F1362" s="8"/>
    </row>
    <row r="1363" spans="2:6">
      <c r="B1363" s="44"/>
      <c r="D1363" s="8"/>
      <c r="E1363" s="8"/>
      <c r="F1363" s="8"/>
    </row>
    <row r="1364" spans="2:6">
      <c r="B1364" s="44"/>
      <c r="D1364" s="8"/>
      <c r="E1364" s="8"/>
      <c r="F1364" s="8"/>
    </row>
    <row r="1365" spans="2:6">
      <c r="B1365" s="44"/>
      <c r="D1365" s="8"/>
      <c r="E1365" s="8"/>
      <c r="F1365" s="8"/>
    </row>
    <row r="1366" spans="2:6">
      <c r="B1366" s="44"/>
      <c r="D1366" s="8"/>
      <c r="E1366" s="8"/>
      <c r="F1366" s="8"/>
    </row>
    <row r="1367" spans="2:6">
      <c r="B1367" s="44"/>
      <c r="D1367" s="8"/>
      <c r="E1367" s="8"/>
      <c r="F1367" s="8"/>
    </row>
    <row r="1368" spans="2:6">
      <c r="B1368" s="44"/>
      <c r="D1368" s="8"/>
      <c r="E1368" s="8"/>
      <c r="F1368" s="8"/>
    </row>
    <row r="1369" spans="2:6">
      <c r="B1369" s="44"/>
      <c r="D1369" s="8"/>
      <c r="E1369" s="8"/>
      <c r="F1369" s="8"/>
    </row>
    <row r="1370" spans="2:6">
      <c r="B1370" s="44"/>
      <c r="D1370" s="8"/>
      <c r="E1370" s="8"/>
      <c r="F1370" s="8"/>
    </row>
    <row r="1371" spans="2:6">
      <c r="B1371" s="44"/>
      <c r="D1371" s="8"/>
      <c r="E1371" s="8"/>
      <c r="F1371" s="8"/>
    </row>
    <row r="1372" spans="2:6">
      <c r="B1372" s="44"/>
      <c r="D1372" s="8"/>
      <c r="E1372" s="8"/>
      <c r="F1372" s="8"/>
    </row>
    <row r="1373" spans="2:6">
      <c r="B1373" s="44"/>
      <c r="D1373" s="8"/>
      <c r="E1373" s="8"/>
      <c r="F1373" s="8"/>
    </row>
    <row r="1374" spans="2:6">
      <c r="B1374" s="44"/>
      <c r="D1374" s="8"/>
      <c r="E1374" s="8"/>
      <c r="F1374" s="8"/>
    </row>
    <row r="1375" spans="2:6">
      <c r="B1375" s="44"/>
      <c r="D1375" s="8"/>
      <c r="E1375" s="8"/>
      <c r="F1375" s="8"/>
    </row>
    <row r="1376" spans="2:6">
      <c r="B1376" s="44"/>
      <c r="D1376" s="8"/>
      <c r="E1376" s="8"/>
      <c r="F1376" s="8"/>
    </row>
    <row r="1377" spans="2:6">
      <c r="B1377" s="44"/>
      <c r="D1377" s="8"/>
      <c r="E1377" s="8"/>
      <c r="F1377" s="8"/>
    </row>
    <row r="1378" spans="2:6">
      <c r="B1378" s="44"/>
      <c r="D1378" s="8"/>
      <c r="E1378" s="8"/>
      <c r="F1378" s="8"/>
    </row>
    <row r="1379" spans="2:6">
      <c r="B1379" s="44"/>
      <c r="D1379" s="8"/>
      <c r="E1379" s="8"/>
      <c r="F1379" s="8"/>
    </row>
    <row r="1380" spans="2:6">
      <c r="B1380" s="44"/>
      <c r="D1380" s="8"/>
      <c r="E1380" s="8"/>
      <c r="F1380" s="8"/>
    </row>
    <row r="1381" spans="2:6">
      <c r="B1381" s="44"/>
      <c r="D1381" s="8"/>
      <c r="E1381" s="8"/>
      <c r="F1381" s="8"/>
    </row>
    <row r="1382" spans="2:6">
      <c r="B1382" s="44"/>
      <c r="D1382" s="8"/>
      <c r="E1382" s="8"/>
      <c r="F1382" s="8"/>
    </row>
    <row r="1383" spans="2:6">
      <c r="B1383" s="44"/>
      <c r="D1383" s="8"/>
      <c r="E1383" s="8"/>
      <c r="F1383" s="8"/>
    </row>
    <row r="1384" spans="2:6">
      <c r="B1384" s="44"/>
      <c r="D1384" s="8"/>
      <c r="E1384" s="8"/>
      <c r="F1384" s="8"/>
    </row>
    <row r="1385" spans="2:6">
      <c r="B1385" s="44"/>
      <c r="D1385" s="8"/>
      <c r="E1385" s="8"/>
      <c r="F1385" s="8"/>
    </row>
    <row r="1386" spans="2:6">
      <c r="B1386" s="44"/>
      <c r="D1386" s="8"/>
      <c r="E1386" s="8"/>
      <c r="F1386" s="8"/>
    </row>
    <row r="1387" spans="2:6">
      <c r="B1387" s="44"/>
      <c r="D1387" s="8"/>
      <c r="E1387" s="8"/>
      <c r="F1387" s="8"/>
    </row>
    <row r="1388" spans="2:6">
      <c r="B1388" s="44"/>
      <c r="D1388" s="8"/>
      <c r="E1388" s="8"/>
      <c r="F1388" s="8"/>
    </row>
    <row r="1389" spans="2:6">
      <c r="B1389" s="44"/>
      <c r="D1389" s="8"/>
      <c r="E1389" s="8"/>
      <c r="F1389" s="8"/>
    </row>
    <row r="1390" spans="2:6">
      <c r="B1390" s="44"/>
      <c r="D1390" s="8"/>
      <c r="E1390" s="8"/>
      <c r="F1390" s="8"/>
    </row>
    <row r="1391" spans="2:6">
      <c r="B1391" s="44"/>
      <c r="D1391" s="8"/>
      <c r="E1391" s="8"/>
      <c r="F1391" s="8"/>
    </row>
    <row r="1392" spans="2:6">
      <c r="B1392" s="44"/>
      <c r="D1392" s="8"/>
      <c r="E1392" s="8"/>
      <c r="F1392" s="8"/>
    </row>
    <row r="1393" spans="2:6">
      <c r="B1393" s="44"/>
      <c r="D1393" s="8"/>
      <c r="E1393" s="8"/>
      <c r="F1393" s="8"/>
    </row>
    <row r="1394" spans="2:6">
      <c r="B1394" s="44"/>
      <c r="D1394" s="8"/>
      <c r="E1394" s="8"/>
      <c r="F1394" s="8"/>
    </row>
    <row r="1395" spans="2:6">
      <c r="B1395" s="44"/>
      <c r="D1395" s="8"/>
      <c r="E1395" s="8"/>
      <c r="F1395" s="8"/>
    </row>
    <row r="1396" spans="2:6">
      <c r="B1396" s="44"/>
      <c r="D1396" s="8"/>
      <c r="E1396" s="8"/>
      <c r="F1396" s="8"/>
    </row>
    <row r="1397" spans="2:6">
      <c r="B1397" s="44"/>
      <c r="D1397" s="8"/>
      <c r="E1397" s="8"/>
      <c r="F1397" s="8"/>
    </row>
    <row r="1398" spans="2:6">
      <c r="B1398" s="44"/>
      <c r="D1398" s="8"/>
      <c r="E1398" s="8"/>
      <c r="F1398" s="8"/>
    </row>
    <row r="1399" spans="2:6">
      <c r="B1399" s="44"/>
      <c r="D1399" s="8"/>
      <c r="E1399" s="8"/>
      <c r="F1399" s="8"/>
    </row>
    <row r="1400" spans="2:6">
      <c r="B1400" s="44"/>
      <c r="D1400" s="8"/>
      <c r="E1400" s="8"/>
      <c r="F1400" s="8"/>
    </row>
    <row r="1401" spans="2:6">
      <c r="B1401" s="44"/>
      <c r="D1401" s="8"/>
      <c r="E1401" s="8"/>
      <c r="F1401" s="8"/>
    </row>
    <row r="1402" spans="2:6">
      <c r="B1402" s="44"/>
      <c r="D1402" s="8"/>
      <c r="E1402" s="8"/>
      <c r="F1402" s="8"/>
    </row>
    <row r="1403" spans="2:6">
      <c r="B1403" s="44"/>
      <c r="D1403" s="8"/>
      <c r="E1403" s="8"/>
      <c r="F1403" s="8"/>
    </row>
    <row r="1404" spans="2:6">
      <c r="B1404" s="44"/>
      <c r="D1404" s="8"/>
      <c r="E1404" s="8"/>
      <c r="F1404" s="8"/>
    </row>
    <row r="1405" spans="2:6">
      <c r="B1405" s="44"/>
      <c r="D1405" s="8"/>
      <c r="E1405" s="8"/>
      <c r="F1405" s="8"/>
    </row>
    <row r="1406" spans="2:6">
      <c r="B1406" s="44"/>
      <c r="D1406" s="8"/>
      <c r="E1406" s="8"/>
      <c r="F1406" s="8"/>
    </row>
    <row r="1407" spans="2:6">
      <c r="B1407" s="44"/>
      <c r="D1407" s="8"/>
      <c r="E1407" s="8"/>
      <c r="F1407" s="8"/>
    </row>
    <row r="1408" spans="2:6">
      <c r="B1408" s="44"/>
      <c r="D1408" s="8"/>
      <c r="E1408" s="8"/>
      <c r="F1408" s="8"/>
    </row>
    <row r="1409" spans="2:6">
      <c r="B1409" s="44"/>
      <c r="D1409" s="8"/>
      <c r="E1409" s="8"/>
      <c r="F1409" s="8"/>
    </row>
    <row r="1410" spans="2:6">
      <c r="B1410" s="44"/>
      <c r="D1410" s="8"/>
      <c r="E1410" s="8"/>
      <c r="F1410" s="8"/>
    </row>
    <row r="1411" spans="2:6">
      <c r="B1411" s="44"/>
      <c r="D1411" s="8"/>
      <c r="E1411" s="8"/>
      <c r="F1411" s="8"/>
    </row>
    <row r="1412" spans="2:6">
      <c r="B1412" s="44"/>
      <c r="D1412" s="8"/>
      <c r="E1412" s="8"/>
      <c r="F1412" s="8"/>
    </row>
    <row r="1413" spans="2:6">
      <c r="B1413" s="44"/>
      <c r="D1413" s="8"/>
      <c r="E1413" s="8"/>
      <c r="F1413" s="8"/>
    </row>
    <row r="1414" spans="2:6">
      <c r="B1414" s="44"/>
      <c r="D1414" s="8"/>
      <c r="E1414" s="8"/>
      <c r="F1414" s="8"/>
    </row>
    <row r="1415" spans="2:6">
      <c r="B1415" s="44"/>
      <c r="D1415" s="8"/>
      <c r="E1415" s="8"/>
      <c r="F1415" s="8"/>
    </row>
    <row r="1416" spans="2:6">
      <c r="B1416" s="44"/>
      <c r="D1416" s="8"/>
      <c r="E1416" s="8"/>
      <c r="F1416" s="8"/>
    </row>
    <row r="1417" spans="2:6">
      <c r="B1417" s="44"/>
      <c r="D1417" s="8"/>
      <c r="E1417" s="8"/>
      <c r="F1417" s="8"/>
    </row>
    <row r="1418" spans="2:6">
      <c r="B1418" s="44"/>
      <c r="D1418" s="8"/>
      <c r="E1418" s="8"/>
      <c r="F1418" s="8"/>
    </row>
    <row r="1419" spans="2:6">
      <c r="B1419" s="44"/>
      <c r="D1419" s="8"/>
      <c r="E1419" s="8"/>
      <c r="F1419" s="8"/>
    </row>
    <row r="1420" spans="2:6">
      <c r="B1420" s="44"/>
      <c r="D1420" s="8"/>
      <c r="E1420" s="8"/>
      <c r="F1420" s="8"/>
    </row>
    <row r="1421" spans="2:6">
      <c r="B1421" s="44"/>
      <c r="D1421" s="8"/>
      <c r="E1421" s="8"/>
      <c r="F1421" s="8"/>
    </row>
    <row r="1422" spans="2:6">
      <c r="B1422" s="44"/>
      <c r="D1422" s="8"/>
      <c r="E1422" s="8"/>
      <c r="F1422" s="8"/>
    </row>
    <row r="1423" spans="2:6">
      <c r="B1423" s="44"/>
      <c r="D1423" s="8"/>
      <c r="E1423" s="8"/>
      <c r="F1423" s="8"/>
    </row>
    <row r="1424" spans="2:6">
      <c r="B1424" s="44"/>
      <c r="D1424" s="8"/>
      <c r="E1424" s="8"/>
      <c r="F1424" s="8"/>
    </row>
    <row r="1425" spans="2:6">
      <c r="B1425" s="44"/>
      <c r="D1425" s="8"/>
      <c r="E1425" s="8"/>
      <c r="F1425" s="8"/>
    </row>
    <row r="1426" spans="2:6">
      <c r="B1426" s="44"/>
      <c r="D1426" s="8"/>
      <c r="E1426" s="8"/>
      <c r="F1426" s="8"/>
    </row>
    <row r="1427" spans="2:6">
      <c r="B1427" s="44"/>
      <c r="D1427" s="8"/>
      <c r="E1427" s="8"/>
      <c r="F1427" s="8"/>
    </row>
    <row r="1428" spans="2:6">
      <c r="B1428" s="44"/>
      <c r="D1428" s="8"/>
      <c r="E1428" s="8"/>
      <c r="F1428" s="8"/>
    </row>
    <row r="1429" spans="2:6">
      <c r="B1429" s="44"/>
      <c r="D1429" s="8"/>
      <c r="E1429" s="8"/>
      <c r="F1429" s="8"/>
    </row>
    <row r="1430" spans="2:6">
      <c r="B1430" s="44"/>
      <c r="D1430" s="8"/>
      <c r="E1430" s="8"/>
      <c r="F1430" s="8"/>
    </row>
    <row r="1431" spans="2:6">
      <c r="B1431" s="44"/>
      <c r="D1431" s="8"/>
      <c r="E1431" s="8"/>
      <c r="F1431" s="8"/>
    </row>
    <row r="1432" spans="2:6">
      <c r="B1432" s="44"/>
      <c r="D1432" s="8"/>
      <c r="E1432" s="8"/>
      <c r="F1432" s="8"/>
    </row>
    <row r="1433" spans="2:6">
      <c r="B1433" s="44"/>
      <c r="D1433" s="8"/>
      <c r="E1433" s="8"/>
      <c r="F1433" s="8"/>
    </row>
    <row r="1434" spans="2:6">
      <c r="B1434" s="44"/>
      <c r="D1434" s="8"/>
      <c r="E1434" s="8"/>
      <c r="F1434" s="8"/>
    </row>
    <row r="1435" spans="2:6">
      <c r="B1435" s="44"/>
      <c r="D1435" s="8"/>
      <c r="E1435" s="8"/>
      <c r="F1435" s="8"/>
    </row>
    <row r="1436" spans="2:6">
      <c r="B1436" s="44"/>
      <c r="D1436" s="8"/>
      <c r="E1436" s="8"/>
      <c r="F1436" s="8"/>
    </row>
    <row r="1437" spans="2:6">
      <c r="B1437" s="44"/>
      <c r="D1437" s="8"/>
      <c r="E1437" s="8"/>
      <c r="F1437" s="8"/>
    </row>
    <row r="1438" spans="2:6">
      <c r="B1438" s="44"/>
      <c r="D1438" s="8"/>
      <c r="E1438" s="8"/>
      <c r="F1438" s="8"/>
    </row>
    <row r="1439" spans="2:6">
      <c r="B1439" s="44"/>
      <c r="D1439" s="8"/>
      <c r="E1439" s="8"/>
      <c r="F1439" s="8"/>
    </row>
    <row r="1440" spans="2:6">
      <c r="B1440" s="44"/>
      <c r="D1440" s="8"/>
      <c r="E1440" s="8"/>
      <c r="F1440" s="8"/>
    </row>
    <row r="1441" spans="2:6">
      <c r="B1441" s="44"/>
      <c r="D1441" s="8"/>
      <c r="E1441" s="8"/>
      <c r="F1441" s="8"/>
    </row>
    <row r="1442" spans="2:6">
      <c r="B1442" s="44"/>
      <c r="D1442" s="8"/>
      <c r="E1442" s="8"/>
      <c r="F1442" s="8"/>
    </row>
    <row r="1443" spans="2:6">
      <c r="B1443" s="44"/>
      <c r="D1443" s="8"/>
      <c r="E1443" s="8"/>
      <c r="F1443" s="8"/>
    </row>
    <row r="1444" spans="2:6">
      <c r="B1444" s="44"/>
      <c r="D1444" s="8"/>
      <c r="E1444" s="8"/>
      <c r="F1444" s="8"/>
    </row>
    <row r="1445" spans="2:6">
      <c r="B1445" s="44"/>
      <c r="D1445" s="8"/>
      <c r="E1445" s="8"/>
      <c r="F1445" s="8"/>
    </row>
    <row r="1446" spans="2:6">
      <c r="B1446" s="44"/>
      <c r="D1446" s="8"/>
      <c r="E1446" s="8"/>
      <c r="F1446" s="8"/>
    </row>
    <row r="1447" spans="2:6">
      <c r="B1447" s="44"/>
      <c r="D1447" s="8"/>
      <c r="E1447" s="8"/>
      <c r="F1447" s="8"/>
    </row>
    <row r="1448" spans="2:6">
      <c r="B1448" s="44"/>
      <c r="D1448" s="8"/>
      <c r="E1448" s="8"/>
      <c r="F1448" s="8"/>
    </row>
    <row r="1449" spans="2:6">
      <c r="B1449" s="44"/>
      <c r="D1449" s="8"/>
      <c r="E1449" s="8"/>
      <c r="F1449" s="8"/>
    </row>
    <row r="1450" spans="2:6">
      <c r="B1450" s="44"/>
      <c r="D1450" s="8"/>
      <c r="E1450" s="8"/>
      <c r="F1450" s="8"/>
    </row>
    <row r="1451" spans="2:6">
      <c r="B1451" s="44"/>
      <c r="D1451" s="8"/>
      <c r="E1451" s="8"/>
      <c r="F1451" s="8"/>
    </row>
    <row r="1452" spans="2:6">
      <c r="B1452" s="44"/>
      <c r="D1452" s="8"/>
      <c r="E1452" s="8"/>
      <c r="F1452" s="8"/>
    </row>
    <row r="1453" spans="2:6">
      <c r="B1453" s="44"/>
      <c r="D1453" s="8"/>
      <c r="E1453" s="8"/>
      <c r="F1453" s="8"/>
    </row>
    <row r="1454" spans="2:6">
      <c r="B1454" s="44"/>
      <c r="D1454" s="8"/>
      <c r="E1454" s="8"/>
      <c r="F1454" s="8"/>
    </row>
    <row r="1455" spans="2:6">
      <c r="B1455" s="44"/>
      <c r="D1455" s="8"/>
      <c r="E1455" s="8"/>
      <c r="F1455" s="8"/>
    </row>
    <row r="1456" spans="2:6">
      <c r="B1456" s="44"/>
      <c r="D1456" s="8"/>
      <c r="E1456" s="8"/>
      <c r="F1456" s="8"/>
    </row>
    <row r="1457" spans="2:6">
      <c r="B1457" s="44"/>
      <c r="D1457" s="8"/>
      <c r="E1457" s="8"/>
      <c r="F1457" s="8"/>
    </row>
    <row r="1458" spans="2:6">
      <c r="B1458" s="44"/>
      <c r="D1458" s="8"/>
      <c r="E1458" s="8"/>
      <c r="F1458" s="8"/>
    </row>
    <row r="1459" spans="2:6">
      <c r="B1459" s="44"/>
      <c r="D1459" s="8"/>
      <c r="E1459" s="8"/>
      <c r="F1459" s="8"/>
    </row>
    <row r="1460" spans="2:6">
      <c r="B1460" s="44"/>
      <c r="D1460" s="8"/>
      <c r="E1460" s="8"/>
      <c r="F1460" s="8"/>
    </row>
    <row r="1461" spans="2:6">
      <c r="B1461" s="44"/>
      <c r="D1461" s="8"/>
      <c r="E1461" s="8"/>
      <c r="F1461" s="8"/>
    </row>
    <row r="1462" spans="2:6">
      <c r="B1462" s="44"/>
      <c r="D1462" s="8"/>
      <c r="E1462" s="8"/>
      <c r="F1462" s="8"/>
    </row>
    <row r="1463" spans="2:6">
      <c r="B1463" s="44"/>
      <c r="D1463" s="8"/>
      <c r="E1463" s="8"/>
      <c r="F1463" s="8"/>
    </row>
    <row r="1464" spans="2:6">
      <c r="B1464" s="44"/>
      <c r="D1464" s="8"/>
      <c r="E1464" s="8"/>
      <c r="F1464" s="8"/>
    </row>
    <row r="1465" spans="2:6">
      <c r="B1465" s="44"/>
      <c r="D1465" s="8"/>
      <c r="E1465" s="8"/>
      <c r="F1465" s="8"/>
    </row>
    <row r="1466" spans="2:6">
      <c r="B1466" s="44"/>
      <c r="D1466" s="8"/>
      <c r="E1466" s="8"/>
      <c r="F1466" s="8"/>
    </row>
    <row r="1467" spans="2:6">
      <c r="B1467" s="44"/>
      <c r="D1467" s="8"/>
      <c r="E1467" s="8"/>
      <c r="F1467" s="8"/>
    </row>
    <row r="1468" spans="2:6">
      <c r="B1468" s="44"/>
      <c r="D1468" s="8"/>
      <c r="E1468" s="8"/>
      <c r="F1468" s="8"/>
    </row>
    <row r="1469" spans="2:6">
      <c r="B1469" s="44"/>
      <c r="D1469" s="8"/>
      <c r="E1469" s="8"/>
      <c r="F1469" s="8"/>
    </row>
    <row r="1470" spans="2:6">
      <c r="B1470" s="44"/>
      <c r="D1470" s="8"/>
      <c r="E1470" s="8"/>
      <c r="F1470" s="8"/>
    </row>
    <row r="1471" spans="2:6">
      <c r="B1471" s="44"/>
      <c r="D1471" s="8"/>
      <c r="E1471" s="8"/>
      <c r="F1471" s="8"/>
    </row>
    <row r="1472" spans="2:6">
      <c r="B1472" s="44"/>
      <c r="D1472" s="8"/>
      <c r="E1472" s="8"/>
      <c r="F1472" s="8"/>
    </row>
    <row r="1473" spans="2:6">
      <c r="B1473" s="44"/>
      <c r="D1473" s="8"/>
      <c r="E1473" s="8"/>
      <c r="F1473" s="8"/>
    </row>
    <row r="1474" spans="2:6">
      <c r="B1474" s="44"/>
      <c r="D1474" s="8"/>
      <c r="E1474" s="8"/>
      <c r="F1474" s="8"/>
    </row>
    <row r="1475" spans="2:6">
      <c r="B1475" s="44"/>
      <c r="D1475" s="8"/>
      <c r="E1475" s="8"/>
      <c r="F1475" s="8"/>
    </row>
    <row r="1476" spans="2:6">
      <c r="B1476" s="44"/>
      <c r="D1476" s="8"/>
      <c r="E1476" s="8"/>
      <c r="F1476" s="8"/>
    </row>
    <row r="1477" spans="2:6">
      <c r="B1477" s="44"/>
      <c r="D1477" s="8"/>
      <c r="E1477" s="8"/>
      <c r="F1477" s="8"/>
    </row>
    <row r="1478" spans="2:6">
      <c r="B1478" s="44"/>
      <c r="D1478" s="8"/>
      <c r="E1478" s="8"/>
      <c r="F1478" s="8"/>
    </row>
    <row r="1479" spans="2:6">
      <c r="B1479" s="44"/>
      <c r="D1479" s="8"/>
      <c r="E1479" s="8"/>
      <c r="F1479" s="8"/>
    </row>
    <row r="1480" spans="2:6">
      <c r="B1480" s="44"/>
      <c r="D1480" s="8"/>
      <c r="E1480" s="8"/>
      <c r="F1480" s="8"/>
    </row>
    <row r="1481" spans="2:6">
      <c r="B1481" s="44"/>
      <c r="D1481" s="8"/>
      <c r="E1481" s="8"/>
      <c r="F1481" s="8"/>
    </row>
    <row r="1482" spans="2:6">
      <c r="B1482" s="44"/>
      <c r="D1482" s="8"/>
      <c r="E1482" s="8"/>
      <c r="F1482" s="8"/>
    </row>
    <row r="1483" spans="2:6">
      <c r="B1483" s="44"/>
      <c r="D1483" s="8"/>
      <c r="E1483" s="8"/>
      <c r="F1483" s="8"/>
    </row>
    <row r="1484" spans="2:6">
      <c r="B1484" s="44"/>
      <c r="D1484" s="8"/>
      <c r="E1484" s="8"/>
      <c r="F1484" s="8"/>
    </row>
    <row r="1485" spans="2:6">
      <c r="B1485" s="44"/>
      <c r="D1485" s="8"/>
      <c r="E1485" s="8"/>
      <c r="F1485" s="8"/>
    </row>
    <row r="1486" spans="2:6">
      <c r="B1486" s="44"/>
      <c r="D1486" s="8"/>
      <c r="E1486" s="8"/>
      <c r="F1486" s="8"/>
    </row>
    <row r="1487" spans="2:6">
      <c r="B1487" s="44"/>
      <c r="D1487" s="8"/>
      <c r="E1487" s="8"/>
      <c r="F1487" s="8"/>
    </row>
    <row r="1488" spans="2:6">
      <c r="B1488" s="44"/>
      <c r="D1488" s="8"/>
      <c r="E1488" s="8"/>
      <c r="F1488" s="8"/>
    </row>
    <row r="1489" spans="2:6">
      <c r="B1489" s="44"/>
      <c r="D1489" s="8"/>
      <c r="E1489" s="8"/>
      <c r="F1489" s="8"/>
    </row>
    <row r="1490" spans="2:6">
      <c r="B1490" s="44"/>
      <c r="D1490" s="8"/>
      <c r="E1490" s="8"/>
      <c r="F1490" s="8"/>
    </row>
    <row r="1491" spans="2:6">
      <c r="B1491" s="44"/>
      <c r="D1491" s="8"/>
      <c r="E1491" s="8"/>
      <c r="F1491" s="8"/>
    </row>
    <row r="1492" spans="2:6">
      <c r="B1492" s="44"/>
      <c r="D1492" s="8"/>
      <c r="E1492" s="8"/>
      <c r="F1492" s="8"/>
    </row>
    <row r="1493" spans="2:6">
      <c r="B1493" s="44"/>
      <c r="D1493" s="8"/>
      <c r="E1493" s="8"/>
      <c r="F1493" s="8"/>
    </row>
    <row r="1494" spans="2:6">
      <c r="B1494" s="44"/>
      <c r="D1494" s="8"/>
      <c r="E1494" s="8"/>
      <c r="F1494" s="8"/>
    </row>
    <row r="1495" spans="2:6">
      <c r="B1495" s="44"/>
      <c r="D1495" s="8"/>
      <c r="E1495" s="8"/>
      <c r="F1495" s="8"/>
    </row>
    <row r="1496" spans="2:6">
      <c r="B1496" s="44"/>
      <c r="D1496" s="8"/>
      <c r="E1496" s="8"/>
      <c r="F1496" s="8"/>
    </row>
    <row r="1497" spans="2:6">
      <c r="B1497" s="44"/>
      <c r="D1497" s="8"/>
      <c r="E1497" s="8"/>
      <c r="F1497" s="8"/>
    </row>
    <row r="1498" spans="2:6">
      <c r="B1498" s="44"/>
      <c r="D1498" s="8"/>
      <c r="E1498" s="8"/>
      <c r="F1498" s="8"/>
    </row>
    <row r="1499" spans="2:6">
      <c r="B1499" s="44"/>
      <c r="D1499" s="8"/>
      <c r="E1499" s="8"/>
      <c r="F1499" s="8"/>
    </row>
    <row r="1500" spans="2:6">
      <c r="B1500" s="44"/>
      <c r="D1500" s="8"/>
      <c r="E1500" s="8"/>
      <c r="F1500" s="8"/>
    </row>
    <row r="1501" spans="2:6">
      <c r="B1501" s="44"/>
      <c r="D1501" s="8"/>
      <c r="E1501" s="8"/>
      <c r="F1501" s="8"/>
    </row>
    <row r="1502" spans="2:6">
      <c r="B1502" s="44"/>
      <c r="D1502" s="8"/>
      <c r="E1502" s="8"/>
      <c r="F1502" s="8"/>
    </row>
    <row r="1503" spans="2:6">
      <c r="B1503" s="44"/>
      <c r="D1503" s="8"/>
      <c r="E1503" s="8"/>
      <c r="F1503" s="8"/>
    </row>
    <row r="1504" spans="2:6">
      <c r="B1504" s="44"/>
      <c r="D1504" s="8"/>
      <c r="E1504" s="8"/>
      <c r="F1504" s="8"/>
    </row>
    <row r="1505" spans="2:6">
      <c r="B1505" s="44"/>
      <c r="D1505" s="8"/>
      <c r="E1505" s="8"/>
      <c r="F1505" s="8"/>
    </row>
    <row r="1506" spans="2:6">
      <c r="B1506" s="44"/>
      <c r="D1506" s="8"/>
      <c r="E1506" s="8"/>
      <c r="F1506" s="8"/>
    </row>
    <row r="1507" spans="2:6">
      <c r="B1507" s="44"/>
      <c r="D1507" s="8"/>
      <c r="E1507" s="8"/>
      <c r="F1507" s="8"/>
    </row>
    <row r="1508" spans="2:6">
      <c r="B1508" s="44"/>
      <c r="D1508" s="8"/>
      <c r="E1508" s="8"/>
      <c r="F1508" s="8"/>
    </row>
    <row r="1509" spans="2:6">
      <c r="B1509" s="44"/>
      <c r="D1509" s="8"/>
      <c r="E1509" s="8"/>
      <c r="F1509" s="8"/>
    </row>
    <row r="1510" spans="2:6">
      <c r="B1510" s="44"/>
      <c r="D1510" s="8"/>
      <c r="E1510" s="8"/>
      <c r="F1510" s="8"/>
    </row>
    <row r="1511" spans="2:6">
      <c r="B1511" s="44"/>
      <c r="D1511" s="8"/>
      <c r="E1511" s="8"/>
      <c r="F1511" s="8"/>
    </row>
    <row r="1512" spans="2:6">
      <c r="B1512" s="44"/>
      <c r="D1512" s="8"/>
      <c r="E1512" s="8"/>
      <c r="F1512" s="8"/>
    </row>
    <row r="1513" spans="2:6">
      <c r="B1513" s="44"/>
      <c r="D1513" s="8"/>
      <c r="E1513" s="8"/>
      <c r="F1513" s="8"/>
    </row>
    <row r="1514" spans="2:6">
      <c r="B1514" s="44"/>
      <c r="D1514" s="8"/>
      <c r="E1514" s="8"/>
      <c r="F1514" s="8"/>
    </row>
    <row r="1515" spans="2:6">
      <c r="B1515" s="44"/>
      <c r="D1515" s="8"/>
      <c r="E1515" s="8"/>
      <c r="F1515" s="8"/>
    </row>
    <row r="1516" spans="2:6">
      <c r="B1516" s="44"/>
      <c r="D1516" s="8"/>
      <c r="E1516" s="8"/>
      <c r="F1516" s="8"/>
    </row>
    <row r="1517" spans="2:6">
      <c r="B1517" s="44"/>
      <c r="D1517" s="8"/>
      <c r="E1517" s="8"/>
      <c r="F1517" s="8"/>
    </row>
    <row r="1518" spans="2:6">
      <c r="B1518" s="44"/>
      <c r="D1518" s="8"/>
      <c r="E1518" s="8"/>
      <c r="F1518" s="8"/>
    </row>
    <row r="1519" spans="2:6">
      <c r="B1519" s="44"/>
      <c r="D1519" s="8"/>
      <c r="E1519" s="8"/>
      <c r="F1519" s="8"/>
    </row>
    <row r="1520" spans="2:6">
      <c r="B1520" s="44"/>
      <c r="D1520" s="8"/>
      <c r="E1520" s="8"/>
      <c r="F1520" s="8"/>
    </row>
    <row r="1521" spans="2:6">
      <c r="B1521" s="44"/>
      <c r="D1521" s="8"/>
      <c r="E1521" s="8"/>
      <c r="F1521" s="8"/>
    </row>
    <row r="1522" spans="2:6">
      <c r="B1522" s="44"/>
      <c r="D1522" s="8"/>
      <c r="E1522" s="8"/>
      <c r="F1522" s="8"/>
    </row>
    <row r="1523" spans="2:6">
      <c r="B1523" s="44"/>
      <c r="D1523" s="8"/>
      <c r="E1523" s="8"/>
      <c r="F1523" s="8"/>
    </row>
    <row r="1524" spans="2:6">
      <c r="B1524" s="44"/>
      <c r="D1524" s="8"/>
      <c r="E1524" s="8"/>
      <c r="F1524" s="8"/>
    </row>
    <row r="1525" spans="2:6">
      <c r="B1525" s="44"/>
      <c r="D1525" s="8"/>
      <c r="E1525" s="8"/>
      <c r="F1525" s="8"/>
    </row>
    <row r="1526" spans="2:6">
      <c r="B1526" s="44"/>
      <c r="D1526" s="8"/>
      <c r="E1526" s="8"/>
      <c r="F1526" s="8"/>
    </row>
    <row r="1527" spans="2:6">
      <c r="B1527" s="44"/>
      <c r="D1527" s="8"/>
      <c r="E1527" s="8"/>
      <c r="F1527" s="8"/>
    </row>
    <row r="1528" spans="2:6">
      <c r="B1528" s="44"/>
      <c r="D1528" s="8"/>
      <c r="E1528" s="8"/>
      <c r="F1528" s="8"/>
    </row>
    <row r="1529" spans="2:6">
      <c r="B1529" s="44"/>
      <c r="D1529" s="8"/>
      <c r="E1529" s="8"/>
      <c r="F1529" s="8"/>
    </row>
    <row r="1530" spans="2:6">
      <c r="B1530" s="44"/>
      <c r="D1530" s="8"/>
      <c r="E1530" s="8"/>
      <c r="F1530" s="8"/>
    </row>
    <row r="1531" spans="2:6">
      <c r="B1531" s="44"/>
      <c r="D1531" s="8"/>
      <c r="E1531" s="8"/>
      <c r="F1531" s="8"/>
    </row>
    <row r="1532" spans="2:6">
      <c r="B1532" s="44"/>
      <c r="D1532" s="8"/>
      <c r="E1532" s="8"/>
      <c r="F1532" s="8"/>
    </row>
    <row r="1533" spans="2:6">
      <c r="B1533" s="44"/>
      <c r="D1533" s="8"/>
      <c r="E1533" s="8"/>
      <c r="F1533" s="8"/>
    </row>
    <row r="1534" spans="2:6">
      <c r="B1534" s="44"/>
      <c r="D1534" s="8"/>
      <c r="E1534" s="8"/>
      <c r="F1534" s="8"/>
    </row>
    <row r="1535" spans="2:6">
      <c r="B1535" s="44"/>
      <c r="D1535" s="8"/>
      <c r="E1535" s="8"/>
      <c r="F1535" s="8"/>
    </row>
    <row r="1536" spans="2:6">
      <c r="B1536" s="44"/>
      <c r="D1536" s="8"/>
      <c r="E1536" s="8"/>
      <c r="F1536" s="8"/>
    </row>
    <row r="1537" spans="2:6">
      <c r="B1537" s="44"/>
      <c r="D1537" s="8"/>
      <c r="E1537" s="8"/>
      <c r="F1537" s="8"/>
    </row>
    <row r="1538" spans="2:6">
      <c r="B1538" s="44"/>
      <c r="D1538" s="8"/>
      <c r="E1538" s="8"/>
      <c r="F1538" s="8"/>
    </row>
    <row r="1539" spans="2:6">
      <c r="B1539" s="44"/>
      <c r="D1539" s="8"/>
      <c r="E1539" s="8"/>
      <c r="F1539" s="8"/>
    </row>
    <row r="1540" spans="2:6">
      <c r="B1540" s="44"/>
      <c r="D1540" s="8"/>
      <c r="E1540" s="8"/>
      <c r="F1540" s="8"/>
    </row>
    <row r="1541" spans="2:6">
      <c r="B1541" s="44"/>
      <c r="D1541" s="8"/>
      <c r="E1541" s="8"/>
      <c r="F1541" s="8"/>
    </row>
    <row r="1542" spans="2:6">
      <c r="B1542" s="44"/>
      <c r="D1542" s="8"/>
      <c r="E1542" s="8"/>
      <c r="F1542" s="8"/>
    </row>
    <row r="1543" spans="2:6">
      <c r="B1543" s="44"/>
      <c r="D1543" s="8"/>
      <c r="E1543" s="8"/>
      <c r="F1543" s="8"/>
    </row>
    <row r="1544" spans="2:6">
      <c r="B1544" s="44"/>
      <c r="D1544" s="8"/>
      <c r="E1544" s="8"/>
      <c r="F1544" s="8"/>
    </row>
    <row r="1545" spans="2:6">
      <c r="B1545" s="44"/>
      <c r="D1545" s="8"/>
      <c r="E1545" s="8"/>
      <c r="F1545" s="8"/>
    </row>
    <row r="1546" spans="2:6">
      <c r="B1546" s="44"/>
      <c r="D1546" s="8"/>
      <c r="E1546" s="8"/>
      <c r="F1546" s="8"/>
    </row>
    <row r="1547" spans="2:6">
      <c r="B1547" s="44"/>
      <c r="D1547" s="8"/>
      <c r="E1547" s="8"/>
      <c r="F1547" s="8"/>
    </row>
    <row r="1548" spans="2:6">
      <c r="B1548" s="44"/>
      <c r="D1548" s="8"/>
      <c r="E1548" s="8"/>
      <c r="F1548" s="8"/>
    </row>
    <row r="1549" spans="2:6">
      <c r="B1549" s="44"/>
      <c r="D1549" s="8"/>
      <c r="E1549" s="8"/>
      <c r="F1549" s="8"/>
    </row>
    <row r="1550" spans="2:6">
      <c r="B1550" s="44"/>
      <c r="D1550" s="8"/>
      <c r="E1550" s="8"/>
      <c r="F1550" s="8"/>
    </row>
    <row r="1551" spans="2:6">
      <c r="B1551" s="44"/>
      <c r="D1551" s="8"/>
      <c r="E1551" s="8"/>
      <c r="F1551" s="8"/>
    </row>
    <row r="1552" spans="2:6">
      <c r="B1552" s="44"/>
      <c r="D1552" s="8"/>
      <c r="E1552" s="8"/>
      <c r="F1552" s="8"/>
    </row>
    <row r="1553" spans="2:6">
      <c r="B1553" s="44"/>
      <c r="D1553" s="8"/>
      <c r="E1553" s="8"/>
      <c r="F1553" s="8"/>
    </row>
    <row r="1554" spans="2:6">
      <c r="B1554" s="44"/>
      <c r="D1554" s="8"/>
      <c r="E1554" s="8"/>
      <c r="F1554" s="8"/>
    </row>
    <row r="1555" spans="2:6">
      <c r="B1555" s="44"/>
      <c r="D1555" s="8"/>
      <c r="E1555" s="8"/>
      <c r="F1555" s="8"/>
    </row>
    <row r="1556" spans="2:6">
      <c r="B1556" s="44"/>
      <c r="D1556" s="8"/>
      <c r="E1556" s="8"/>
      <c r="F1556" s="8"/>
    </row>
    <row r="1557" spans="2:6">
      <c r="B1557" s="44"/>
      <c r="D1557" s="8"/>
      <c r="E1557" s="8"/>
      <c r="F1557" s="8"/>
    </row>
    <row r="1558" spans="2:6">
      <c r="B1558" s="44"/>
      <c r="D1558" s="8"/>
      <c r="E1558" s="8"/>
      <c r="F1558" s="8"/>
    </row>
    <row r="1559" spans="2:6">
      <c r="B1559" s="44"/>
      <c r="D1559" s="8"/>
      <c r="E1559" s="8"/>
      <c r="F1559" s="8"/>
    </row>
    <row r="1560" spans="2:6">
      <c r="B1560" s="44"/>
      <c r="D1560" s="8"/>
      <c r="E1560" s="8"/>
      <c r="F1560" s="8"/>
    </row>
    <row r="1561" spans="2:6">
      <c r="B1561" s="44"/>
      <c r="D1561" s="8"/>
      <c r="E1561" s="8"/>
      <c r="F1561" s="8"/>
    </row>
    <row r="1562" spans="2:6">
      <c r="B1562" s="44"/>
      <c r="D1562" s="8"/>
      <c r="E1562" s="8"/>
      <c r="F1562" s="8"/>
    </row>
    <row r="1563" spans="2:6">
      <c r="B1563" s="44"/>
      <c r="D1563" s="8"/>
      <c r="E1563" s="8"/>
      <c r="F1563" s="8"/>
    </row>
    <row r="1564" spans="2:6">
      <c r="B1564" s="44"/>
      <c r="D1564" s="8"/>
      <c r="E1564" s="8"/>
      <c r="F1564" s="8"/>
    </row>
    <row r="1565" spans="2:6">
      <c r="B1565" s="44"/>
      <c r="D1565" s="8"/>
      <c r="E1565" s="8"/>
      <c r="F1565" s="8"/>
    </row>
    <row r="1566" spans="2:6">
      <c r="B1566" s="44"/>
      <c r="D1566" s="8"/>
      <c r="E1566" s="8"/>
      <c r="F1566" s="8"/>
    </row>
    <row r="1567" spans="2:6">
      <c r="B1567" s="44"/>
      <c r="D1567" s="8"/>
      <c r="E1567" s="8"/>
      <c r="F1567" s="8"/>
    </row>
    <row r="1568" spans="2:6">
      <c r="B1568" s="44"/>
      <c r="D1568" s="8"/>
      <c r="E1568" s="8"/>
      <c r="F1568" s="8"/>
    </row>
    <row r="1569" spans="2:6">
      <c r="B1569" s="44"/>
      <c r="D1569" s="8"/>
      <c r="E1569" s="8"/>
      <c r="F1569" s="8"/>
    </row>
    <row r="1570" spans="2:6">
      <c r="B1570" s="44"/>
      <c r="D1570" s="8"/>
      <c r="E1570" s="8"/>
      <c r="F1570" s="8"/>
    </row>
    <row r="1571" spans="2:6">
      <c r="B1571" s="44"/>
      <c r="D1571" s="8"/>
      <c r="E1571" s="8"/>
      <c r="F1571" s="8"/>
    </row>
    <row r="1572" spans="2:6">
      <c r="B1572" s="44"/>
      <c r="D1572" s="8"/>
      <c r="E1572" s="8"/>
      <c r="F1572" s="8"/>
    </row>
    <row r="1573" spans="2:6">
      <c r="B1573" s="44"/>
      <c r="D1573" s="8"/>
      <c r="E1573" s="8"/>
      <c r="F1573" s="8"/>
    </row>
    <row r="1574" spans="2:6">
      <c r="B1574" s="44"/>
      <c r="D1574" s="8"/>
      <c r="E1574" s="8"/>
      <c r="F1574" s="8"/>
    </row>
    <row r="1575" spans="2:6">
      <c r="B1575" s="44"/>
      <c r="D1575" s="8"/>
      <c r="E1575" s="8"/>
      <c r="F1575" s="8"/>
    </row>
    <row r="1576" spans="2:6">
      <c r="B1576" s="44"/>
      <c r="D1576" s="8"/>
      <c r="E1576" s="8"/>
      <c r="F1576" s="8"/>
    </row>
    <row r="1577" spans="2:6">
      <c r="B1577" s="44"/>
      <c r="D1577" s="8"/>
      <c r="E1577" s="8"/>
      <c r="F1577" s="8"/>
    </row>
    <row r="1578" spans="2:6">
      <c r="B1578" s="44"/>
      <c r="D1578" s="8"/>
      <c r="E1578" s="8"/>
      <c r="F1578" s="8"/>
    </row>
    <row r="1579" spans="2:6">
      <c r="B1579" s="44"/>
      <c r="D1579" s="8"/>
      <c r="E1579" s="8"/>
      <c r="F1579" s="8"/>
    </row>
    <row r="1580" spans="2:6">
      <c r="B1580" s="44"/>
      <c r="D1580" s="8"/>
      <c r="E1580" s="8"/>
      <c r="F1580" s="8"/>
    </row>
    <row r="1581" spans="2:6">
      <c r="B1581" s="44"/>
      <c r="D1581" s="8"/>
      <c r="E1581" s="8"/>
      <c r="F1581" s="8"/>
    </row>
    <row r="1582" spans="2:6">
      <c r="B1582" s="44"/>
      <c r="D1582" s="8"/>
      <c r="E1582" s="8"/>
      <c r="F1582" s="8"/>
    </row>
    <row r="1583" spans="2:6">
      <c r="B1583" s="44"/>
      <c r="D1583" s="8"/>
      <c r="E1583" s="8"/>
      <c r="F1583" s="8"/>
    </row>
    <row r="1584" spans="2:6">
      <c r="B1584" s="44"/>
      <c r="D1584" s="8"/>
      <c r="E1584" s="8"/>
      <c r="F1584" s="8"/>
    </row>
    <row r="1585" spans="2:6">
      <c r="B1585" s="44"/>
      <c r="D1585" s="8"/>
      <c r="E1585" s="8"/>
      <c r="F1585" s="8"/>
    </row>
    <row r="1586" spans="2:6">
      <c r="B1586" s="44"/>
      <c r="D1586" s="8"/>
      <c r="E1586" s="8"/>
      <c r="F1586" s="8"/>
    </row>
    <row r="1587" spans="2:6">
      <c r="B1587" s="44"/>
      <c r="D1587" s="8"/>
      <c r="E1587" s="8"/>
      <c r="F1587" s="8"/>
    </row>
    <row r="1588" spans="2:6">
      <c r="B1588" s="44"/>
      <c r="D1588" s="8"/>
      <c r="E1588" s="8"/>
      <c r="F1588" s="8"/>
    </row>
    <row r="1589" spans="2:6">
      <c r="B1589" s="44"/>
      <c r="D1589" s="8"/>
      <c r="E1589" s="8"/>
      <c r="F1589" s="8"/>
    </row>
    <row r="1590" spans="2:6">
      <c r="B1590" s="44"/>
      <c r="D1590" s="8"/>
      <c r="E1590" s="8"/>
      <c r="F1590" s="8"/>
    </row>
    <row r="1591" spans="2:6">
      <c r="B1591" s="44"/>
      <c r="D1591" s="8"/>
      <c r="E1591" s="8"/>
      <c r="F1591" s="8"/>
    </row>
    <row r="1592" spans="2:6">
      <c r="B1592" s="44"/>
      <c r="D1592" s="8"/>
      <c r="E1592" s="8"/>
      <c r="F1592" s="8"/>
    </row>
    <row r="1593" spans="2:6">
      <c r="B1593" s="44"/>
      <c r="D1593" s="8"/>
      <c r="E1593" s="8"/>
      <c r="F1593" s="8"/>
    </row>
    <row r="1594" spans="2:6">
      <c r="B1594" s="44"/>
      <c r="D1594" s="8"/>
      <c r="E1594" s="8"/>
      <c r="F1594" s="8"/>
    </row>
    <row r="1595" spans="2:6">
      <c r="B1595" s="44"/>
      <c r="D1595" s="8"/>
      <c r="E1595" s="8"/>
      <c r="F1595" s="8"/>
    </row>
    <row r="1596" spans="2:6">
      <c r="B1596" s="44"/>
      <c r="D1596" s="8"/>
      <c r="E1596" s="8"/>
      <c r="F1596" s="8"/>
    </row>
    <row r="1597" spans="2:6">
      <c r="B1597" s="44"/>
      <c r="D1597" s="8"/>
      <c r="E1597" s="8"/>
      <c r="F1597" s="8"/>
    </row>
    <row r="1598" spans="2:6">
      <c r="B1598" s="44"/>
      <c r="D1598" s="8"/>
      <c r="E1598" s="8"/>
      <c r="F1598" s="8"/>
    </row>
    <row r="1599" spans="2:6">
      <c r="B1599" s="44"/>
      <c r="D1599" s="8"/>
      <c r="E1599" s="8"/>
      <c r="F1599" s="8"/>
    </row>
    <row r="1600" spans="2:6">
      <c r="B1600" s="44"/>
      <c r="D1600" s="8"/>
      <c r="E1600" s="8"/>
      <c r="F1600" s="8"/>
    </row>
    <row r="1601" spans="2:6">
      <c r="B1601" s="44"/>
      <c r="D1601" s="8"/>
      <c r="E1601" s="8"/>
      <c r="F1601" s="8"/>
    </row>
    <row r="1602" spans="2:6">
      <c r="B1602" s="44"/>
      <c r="D1602" s="8"/>
      <c r="E1602" s="8"/>
      <c r="F1602" s="8"/>
    </row>
    <row r="1603" spans="2:6">
      <c r="B1603" s="44"/>
      <c r="D1603" s="8"/>
      <c r="E1603" s="8"/>
      <c r="F1603" s="8"/>
    </row>
    <row r="1604" spans="2:6">
      <c r="B1604" s="44"/>
      <c r="D1604" s="8"/>
      <c r="E1604" s="8"/>
      <c r="F1604" s="8"/>
    </row>
    <row r="1605" spans="2:6">
      <c r="B1605" s="44"/>
      <c r="D1605" s="8"/>
      <c r="E1605" s="8"/>
      <c r="F1605" s="8"/>
    </row>
    <row r="1606" spans="2:6">
      <c r="B1606" s="44"/>
      <c r="D1606" s="8"/>
      <c r="E1606" s="8"/>
      <c r="F1606" s="8"/>
    </row>
    <row r="1607" spans="2:6">
      <c r="B1607" s="44"/>
      <c r="D1607" s="8"/>
      <c r="E1607" s="8"/>
      <c r="F1607" s="8"/>
    </row>
    <row r="1608" spans="2:6">
      <c r="B1608" s="44"/>
      <c r="D1608" s="8"/>
      <c r="E1608" s="8"/>
      <c r="F1608" s="8"/>
    </row>
    <row r="1609" spans="2:6">
      <c r="B1609" s="44"/>
      <c r="D1609" s="8"/>
      <c r="E1609" s="8"/>
      <c r="F1609" s="8"/>
    </row>
    <row r="1610" spans="2:6">
      <c r="B1610" s="44"/>
      <c r="D1610" s="8"/>
      <c r="E1610" s="8"/>
      <c r="F1610" s="8"/>
    </row>
    <row r="1611" spans="2:6">
      <c r="B1611" s="44"/>
      <c r="D1611" s="8"/>
      <c r="E1611" s="8"/>
      <c r="F1611" s="8"/>
    </row>
    <row r="1612" spans="2:6">
      <c r="B1612" s="44"/>
      <c r="D1612" s="8"/>
      <c r="E1612" s="8"/>
      <c r="F1612" s="8"/>
    </row>
    <row r="1613" spans="2:6">
      <c r="B1613" s="44"/>
      <c r="D1613" s="8"/>
      <c r="E1613" s="8"/>
      <c r="F1613" s="8"/>
    </row>
    <row r="1614" spans="2:6">
      <c r="B1614" s="44"/>
      <c r="D1614" s="8"/>
      <c r="E1614" s="8"/>
      <c r="F1614" s="8"/>
    </row>
    <row r="1615" spans="2:6">
      <c r="B1615" s="44"/>
      <c r="D1615" s="8"/>
      <c r="E1615" s="8"/>
      <c r="F1615" s="8"/>
    </row>
    <row r="1616" spans="2:6">
      <c r="B1616" s="44"/>
      <c r="D1616" s="8"/>
      <c r="E1616" s="8"/>
      <c r="F1616" s="8"/>
    </row>
    <row r="1617" spans="2:6">
      <c r="B1617" s="44"/>
      <c r="D1617" s="8"/>
      <c r="E1617" s="8"/>
      <c r="F1617" s="8"/>
    </row>
    <row r="1618" spans="2:6">
      <c r="B1618" s="44"/>
      <c r="D1618" s="8"/>
      <c r="E1618" s="8"/>
      <c r="F1618" s="8"/>
    </row>
    <row r="1619" spans="2:6">
      <c r="B1619" s="44"/>
      <c r="D1619" s="8"/>
      <c r="E1619" s="8"/>
      <c r="F1619" s="8"/>
    </row>
    <row r="1620" spans="2:6">
      <c r="B1620" s="44"/>
      <c r="D1620" s="8"/>
      <c r="E1620" s="8"/>
      <c r="F1620" s="8"/>
    </row>
    <row r="1621" spans="2:6">
      <c r="B1621" s="44"/>
      <c r="D1621" s="8"/>
      <c r="E1621" s="8"/>
      <c r="F1621" s="8"/>
    </row>
    <row r="1622" spans="2:6">
      <c r="B1622" s="44"/>
      <c r="D1622" s="8"/>
      <c r="E1622" s="8"/>
      <c r="F1622" s="8"/>
    </row>
    <row r="1623" spans="2:6">
      <c r="B1623" s="44"/>
      <c r="D1623" s="8"/>
      <c r="E1623" s="8"/>
      <c r="F1623" s="8"/>
    </row>
    <row r="1624" spans="2:6">
      <c r="B1624" s="44"/>
      <c r="D1624" s="8"/>
      <c r="E1624" s="8"/>
      <c r="F1624" s="8"/>
    </row>
    <row r="1625" spans="2:6">
      <c r="B1625" s="44"/>
      <c r="D1625" s="8"/>
      <c r="E1625" s="8"/>
      <c r="F1625" s="8"/>
    </row>
    <row r="1626" spans="2:6">
      <c r="B1626" s="44"/>
      <c r="D1626" s="8"/>
      <c r="E1626" s="8"/>
      <c r="F1626" s="8"/>
    </row>
    <row r="1627" spans="2:6">
      <c r="B1627" s="44"/>
      <c r="D1627" s="8"/>
      <c r="E1627" s="8"/>
      <c r="F1627" s="8"/>
    </row>
    <row r="1628" spans="2:6">
      <c r="B1628" s="44"/>
      <c r="D1628" s="8"/>
      <c r="E1628" s="8"/>
      <c r="F1628" s="8"/>
    </row>
    <row r="1629" spans="2:6">
      <c r="B1629" s="44"/>
      <c r="D1629" s="8"/>
      <c r="E1629" s="8"/>
      <c r="F1629" s="8"/>
    </row>
    <row r="1630" spans="2:6">
      <c r="B1630" s="44"/>
      <c r="D1630" s="8"/>
      <c r="E1630" s="8"/>
      <c r="F1630" s="8"/>
    </row>
    <row r="1631" spans="2:6">
      <c r="B1631" s="44"/>
      <c r="D1631" s="8"/>
      <c r="E1631" s="8"/>
      <c r="F1631" s="8"/>
    </row>
    <row r="1632" spans="2:6">
      <c r="B1632" s="44"/>
      <c r="D1632" s="8"/>
      <c r="E1632" s="8"/>
      <c r="F1632" s="8"/>
    </row>
    <row r="1633" spans="2:6">
      <c r="B1633" s="44"/>
      <c r="D1633" s="8"/>
      <c r="E1633" s="8"/>
      <c r="F1633" s="8"/>
    </row>
    <row r="1634" spans="2:6">
      <c r="B1634" s="44"/>
      <c r="D1634" s="8"/>
      <c r="E1634" s="8"/>
      <c r="F1634" s="8"/>
    </row>
    <row r="1635" spans="2:6">
      <c r="B1635" s="44"/>
      <c r="D1635" s="8"/>
      <c r="E1635" s="8"/>
      <c r="F1635" s="8"/>
    </row>
    <row r="1636" spans="2:6">
      <c r="B1636" s="44"/>
      <c r="D1636" s="8"/>
      <c r="E1636" s="8"/>
      <c r="F1636" s="8"/>
    </row>
    <row r="1637" spans="2:6">
      <c r="B1637" s="44"/>
      <c r="D1637" s="8"/>
      <c r="E1637" s="8"/>
      <c r="F1637" s="8"/>
    </row>
    <row r="1638" spans="2:6">
      <c r="B1638" s="44"/>
      <c r="D1638" s="8"/>
      <c r="E1638" s="8"/>
      <c r="F1638" s="8"/>
    </row>
    <row r="1639" spans="2:6">
      <c r="B1639" s="44"/>
      <c r="D1639" s="8"/>
      <c r="E1639" s="8"/>
      <c r="F1639" s="8"/>
    </row>
    <row r="1640" spans="2:6">
      <c r="B1640" s="44"/>
      <c r="D1640" s="8"/>
      <c r="E1640" s="8"/>
      <c r="F1640" s="8"/>
    </row>
    <row r="1641" spans="2:6">
      <c r="B1641" s="44"/>
      <c r="D1641" s="8"/>
      <c r="E1641" s="8"/>
      <c r="F1641" s="8"/>
    </row>
    <row r="1642" spans="2:6">
      <c r="B1642" s="44"/>
      <c r="D1642" s="8"/>
      <c r="E1642" s="8"/>
      <c r="F1642" s="8"/>
    </row>
    <row r="1643" spans="2:6">
      <c r="B1643" s="44"/>
      <c r="D1643" s="8"/>
      <c r="E1643" s="8"/>
      <c r="F1643" s="8"/>
    </row>
    <row r="1644" spans="2:6">
      <c r="B1644" s="44"/>
      <c r="D1644" s="8"/>
      <c r="E1644" s="8"/>
      <c r="F1644" s="8"/>
    </row>
    <row r="1645" spans="2:6">
      <c r="B1645" s="44"/>
      <c r="D1645" s="8"/>
      <c r="E1645" s="8"/>
      <c r="F1645" s="8"/>
    </row>
    <row r="1646" spans="2:6">
      <c r="B1646" s="44"/>
      <c r="D1646" s="8"/>
      <c r="E1646" s="8"/>
      <c r="F1646" s="8"/>
    </row>
    <row r="1647" spans="2:6">
      <c r="B1647" s="44"/>
      <c r="D1647" s="8"/>
      <c r="E1647" s="8"/>
      <c r="F1647" s="8"/>
    </row>
    <row r="1648" spans="2:6">
      <c r="B1648" s="44"/>
      <c r="D1648" s="8"/>
      <c r="E1648" s="8"/>
      <c r="F1648" s="8"/>
    </row>
    <row r="1649" spans="2:6">
      <c r="B1649" s="44"/>
      <c r="D1649" s="8"/>
      <c r="E1649" s="8"/>
      <c r="F1649" s="8"/>
    </row>
    <row r="1650" spans="2:6">
      <c r="B1650" s="44"/>
      <c r="D1650" s="8"/>
      <c r="E1650" s="8"/>
      <c r="F1650" s="8"/>
    </row>
    <row r="1651" spans="2:6">
      <c r="B1651" s="44"/>
      <c r="D1651" s="8"/>
      <c r="E1651" s="8"/>
      <c r="F1651" s="8"/>
    </row>
    <row r="1652" spans="2:6">
      <c r="B1652" s="44"/>
      <c r="D1652" s="8"/>
      <c r="E1652" s="8"/>
      <c r="F1652" s="8"/>
    </row>
    <row r="1653" spans="2:6">
      <c r="B1653" s="44"/>
      <c r="D1653" s="8"/>
      <c r="E1653" s="8"/>
      <c r="F1653" s="8"/>
    </row>
    <row r="1654" spans="2:6">
      <c r="B1654" s="44"/>
      <c r="D1654" s="8"/>
      <c r="E1654" s="8"/>
      <c r="F1654" s="8"/>
    </row>
    <row r="1655" spans="2:6">
      <c r="B1655" s="44"/>
      <c r="D1655" s="8"/>
      <c r="E1655" s="8"/>
      <c r="F1655" s="8"/>
    </row>
    <row r="1656" spans="2:6">
      <c r="B1656" s="44"/>
      <c r="D1656" s="8"/>
      <c r="E1656" s="8"/>
      <c r="F1656" s="8"/>
    </row>
    <row r="1657" spans="2:6">
      <c r="B1657" s="44"/>
      <c r="D1657" s="8"/>
      <c r="E1657" s="8"/>
      <c r="F1657" s="8"/>
    </row>
    <row r="1658" spans="2:6">
      <c r="B1658" s="44"/>
      <c r="D1658" s="8"/>
      <c r="E1658" s="8"/>
      <c r="F1658" s="8"/>
    </row>
    <row r="1659" spans="2:6">
      <c r="B1659" s="44"/>
      <c r="D1659" s="8"/>
      <c r="E1659" s="8"/>
      <c r="F1659" s="8"/>
    </row>
    <row r="1660" spans="2:6">
      <c r="B1660" s="44"/>
      <c r="D1660" s="8"/>
      <c r="E1660" s="8"/>
      <c r="F1660" s="8"/>
    </row>
    <row r="1661" spans="2:6">
      <c r="B1661" s="44"/>
      <c r="D1661" s="8"/>
      <c r="E1661" s="8"/>
      <c r="F1661" s="8"/>
    </row>
    <row r="1662" spans="2:6">
      <c r="B1662" s="44"/>
      <c r="D1662" s="8"/>
      <c r="E1662" s="8"/>
      <c r="F1662" s="8"/>
    </row>
    <row r="1663" spans="2:6">
      <c r="B1663" s="44"/>
      <c r="D1663" s="8"/>
      <c r="E1663" s="8"/>
      <c r="F1663" s="8"/>
    </row>
    <row r="1664" spans="2:6">
      <c r="B1664" s="44"/>
      <c r="D1664" s="8"/>
      <c r="E1664" s="8"/>
      <c r="F1664" s="8"/>
    </row>
    <row r="1665" spans="2:6">
      <c r="B1665" s="44"/>
      <c r="D1665" s="8"/>
      <c r="E1665" s="8"/>
      <c r="F1665" s="8"/>
    </row>
    <row r="1666" spans="2:6">
      <c r="B1666" s="44"/>
      <c r="D1666" s="8"/>
      <c r="E1666" s="8"/>
      <c r="F1666" s="8"/>
    </row>
    <row r="1667" spans="2:6">
      <c r="B1667" s="44"/>
      <c r="D1667" s="8"/>
      <c r="E1667" s="8"/>
      <c r="F1667" s="8"/>
    </row>
    <row r="1668" spans="2:6">
      <c r="B1668" s="44"/>
      <c r="D1668" s="8"/>
      <c r="E1668" s="8"/>
      <c r="F1668" s="8"/>
    </row>
    <row r="1669" spans="2:6">
      <c r="B1669" s="44"/>
      <c r="D1669" s="8"/>
      <c r="E1669" s="8"/>
      <c r="F1669" s="8"/>
    </row>
    <row r="1670" spans="2:6">
      <c r="B1670" s="44"/>
      <c r="D1670" s="8"/>
      <c r="E1670" s="8"/>
      <c r="F1670" s="8"/>
    </row>
    <row r="1671" spans="2:6">
      <c r="B1671" s="44"/>
      <c r="D1671" s="8"/>
      <c r="E1671" s="8"/>
      <c r="F1671" s="8"/>
    </row>
    <row r="1672" spans="2:6">
      <c r="B1672" s="44"/>
      <c r="D1672" s="8"/>
      <c r="E1672" s="8"/>
      <c r="F1672" s="8"/>
    </row>
    <row r="1673" spans="2:6">
      <c r="B1673" s="44"/>
      <c r="D1673" s="8"/>
      <c r="E1673" s="8"/>
      <c r="F1673" s="8"/>
    </row>
    <row r="1674" spans="2:6">
      <c r="B1674" s="44"/>
      <c r="D1674" s="8"/>
      <c r="E1674" s="8"/>
      <c r="F1674" s="8"/>
    </row>
    <row r="1675" spans="2:6">
      <c r="B1675" s="44"/>
      <c r="D1675" s="8"/>
      <c r="E1675" s="8"/>
      <c r="F1675" s="8"/>
    </row>
    <row r="1676" spans="2:6">
      <c r="B1676" s="44"/>
      <c r="D1676" s="8"/>
      <c r="E1676" s="8"/>
      <c r="F1676" s="8"/>
    </row>
    <row r="1677" spans="2:6">
      <c r="B1677" s="44"/>
      <c r="D1677" s="8"/>
      <c r="E1677" s="8"/>
      <c r="F1677" s="8"/>
    </row>
    <row r="1678" spans="2:6">
      <c r="B1678" s="44"/>
      <c r="D1678" s="8"/>
      <c r="E1678" s="8"/>
      <c r="F1678" s="8"/>
    </row>
    <row r="1679" spans="2:6">
      <c r="B1679" s="44"/>
      <c r="D1679" s="8"/>
      <c r="E1679" s="8"/>
      <c r="F1679" s="8"/>
    </row>
    <row r="1680" spans="2:6">
      <c r="B1680" s="44"/>
      <c r="D1680" s="8"/>
      <c r="E1680" s="8"/>
      <c r="F1680" s="8"/>
    </row>
    <row r="1681" spans="2:6">
      <c r="B1681" s="44"/>
      <c r="D1681" s="8"/>
      <c r="E1681" s="8"/>
      <c r="F1681" s="8"/>
    </row>
    <row r="1682" spans="2:6">
      <c r="B1682" s="44"/>
      <c r="D1682" s="8"/>
      <c r="E1682" s="8"/>
      <c r="F1682" s="8"/>
    </row>
    <row r="1683" spans="2:6">
      <c r="B1683" s="44"/>
      <c r="D1683" s="8"/>
      <c r="E1683" s="8"/>
      <c r="F1683" s="8"/>
    </row>
    <row r="1684" spans="2:6">
      <c r="B1684" s="44"/>
      <c r="D1684" s="8"/>
      <c r="E1684" s="8"/>
      <c r="F1684" s="8"/>
    </row>
    <row r="1685" spans="2:6">
      <c r="B1685" s="44"/>
      <c r="D1685" s="8"/>
      <c r="E1685" s="8"/>
      <c r="F1685" s="8"/>
    </row>
    <row r="1686" spans="2:6">
      <c r="B1686" s="44"/>
      <c r="D1686" s="8"/>
      <c r="E1686" s="8"/>
      <c r="F1686" s="8"/>
    </row>
    <row r="1687" spans="2:6">
      <c r="B1687" s="44"/>
      <c r="D1687" s="8"/>
      <c r="E1687" s="8"/>
      <c r="F1687" s="8"/>
    </row>
    <row r="1688" spans="2:6">
      <c r="B1688" s="44"/>
      <c r="D1688" s="8"/>
      <c r="E1688" s="8"/>
      <c r="F1688" s="8"/>
    </row>
    <row r="1689" spans="2:6">
      <c r="B1689" s="44"/>
      <c r="D1689" s="8"/>
      <c r="E1689" s="8"/>
      <c r="F1689" s="8"/>
    </row>
    <row r="1690" spans="2:6">
      <c r="B1690" s="44"/>
      <c r="D1690" s="8"/>
      <c r="E1690" s="8"/>
      <c r="F1690" s="8"/>
    </row>
    <row r="1691" spans="2:6">
      <c r="B1691" s="44"/>
      <c r="D1691" s="8"/>
      <c r="E1691" s="8"/>
      <c r="F1691" s="8"/>
    </row>
    <row r="1692" spans="2:6">
      <c r="B1692" s="44"/>
      <c r="D1692" s="8"/>
      <c r="E1692" s="8"/>
      <c r="F1692" s="8"/>
    </row>
    <row r="1693" spans="2:6">
      <c r="B1693" s="44"/>
      <c r="D1693" s="8"/>
      <c r="E1693" s="8"/>
      <c r="F1693" s="8"/>
    </row>
    <row r="1694" spans="2:6">
      <c r="B1694" s="44"/>
      <c r="D1694" s="8"/>
      <c r="E1694" s="8"/>
      <c r="F1694" s="8"/>
    </row>
    <row r="1695" spans="2:6">
      <c r="B1695" s="44"/>
      <c r="D1695" s="8"/>
      <c r="E1695" s="8"/>
      <c r="F1695" s="8"/>
    </row>
    <row r="1696" spans="2:6">
      <c r="B1696" s="44"/>
      <c r="D1696" s="8"/>
      <c r="E1696" s="8"/>
      <c r="F1696" s="8"/>
    </row>
    <row r="1697" spans="2:6">
      <c r="B1697" s="44"/>
      <c r="D1697" s="8"/>
      <c r="E1697" s="8"/>
      <c r="F1697" s="8"/>
    </row>
    <row r="1698" spans="2:6">
      <c r="B1698" s="44"/>
      <c r="D1698" s="8"/>
      <c r="E1698" s="8"/>
      <c r="F1698" s="8"/>
    </row>
    <row r="1699" spans="2:6">
      <c r="B1699" s="44"/>
      <c r="D1699" s="8"/>
      <c r="E1699" s="8"/>
      <c r="F1699" s="8"/>
    </row>
    <row r="1700" spans="2:6">
      <c r="B1700" s="44"/>
      <c r="D1700" s="8"/>
      <c r="E1700" s="8"/>
      <c r="F1700" s="8"/>
    </row>
    <row r="1701" spans="2:6">
      <c r="B1701" s="44"/>
      <c r="D1701" s="8"/>
      <c r="E1701" s="8"/>
      <c r="F1701" s="8"/>
    </row>
    <row r="1702" spans="2:6">
      <c r="B1702" s="44"/>
      <c r="D1702" s="8"/>
      <c r="E1702" s="8"/>
      <c r="F1702" s="8"/>
    </row>
    <row r="1703" spans="2:6">
      <c r="B1703" s="44"/>
      <c r="D1703" s="8"/>
      <c r="E1703" s="8"/>
      <c r="F1703" s="8"/>
    </row>
    <row r="1704" spans="2:6">
      <c r="B1704" s="44"/>
      <c r="D1704" s="8"/>
      <c r="E1704" s="8"/>
      <c r="F1704" s="8"/>
    </row>
    <row r="1705" spans="2:6">
      <c r="B1705" s="44"/>
      <c r="D1705" s="8"/>
      <c r="E1705" s="8"/>
      <c r="F1705" s="8"/>
    </row>
    <row r="1706" spans="2:6">
      <c r="B1706" s="44"/>
      <c r="D1706" s="8"/>
      <c r="E1706" s="8"/>
      <c r="F1706" s="8"/>
    </row>
    <row r="1707" spans="2:6">
      <c r="B1707" s="44"/>
      <c r="D1707" s="8"/>
      <c r="E1707" s="8"/>
      <c r="F1707" s="8"/>
    </row>
    <row r="1708" spans="2:6">
      <c r="B1708" s="44"/>
      <c r="D1708" s="8"/>
      <c r="E1708" s="8"/>
      <c r="F1708" s="8"/>
    </row>
    <row r="1709" spans="2:6">
      <c r="B1709" s="44"/>
      <c r="D1709" s="8"/>
      <c r="E1709" s="8"/>
      <c r="F1709" s="8"/>
    </row>
    <row r="1710" spans="2:6">
      <c r="B1710" s="44"/>
      <c r="D1710" s="8"/>
      <c r="E1710" s="8"/>
      <c r="F1710" s="8"/>
    </row>
    <row r="1711" spans="2:6">
      <c r="B1711" s="44"/>
      <c r="D1711" s="8"/>
      <c r="E1711" s="8"/>
      <c r="F1711" s="8"/>
    </row>
    <row r="1712" spans="2:6">
      <c r="B1712" s="44"/>
      <c r="D1712" s="8"/>
      <c r="E1712" s="8"/>
      <c r="F1712" s="8"/>
    </row>
    <row r="1713" spans="2:6">
      <c r="B1713" s="44"/>
      <c r="D1713" s="8"/>
      <c r="E1713" s="8"/>
      <c r="F1713" s="8"/>
    </row>
    <row r="1714" spans="2:6">
      <c r="B1714" s="44"/>
      <c r="D1714" s="8"/>
      <c r="E1714" s="8"/>
      <c r="F1714" s="8"/>
    </row>
    <row r="1715" spans="2:6">
      <c r="B1715" s="44"/>
      <c r="D1715" s="8"/>
      <c r="E1715" s="8"/>
      <c r="F1715" s="8"/>
    </row>
    <row r="1716" spans="2:6">
      <c r="B1716" s="44"/>
      <c r="D1716" s="8"/>
      <c r="E1716" s="8"/>
      <c r="F1716" s="8"/>
    </row>
    <row r="1717" spans="2:6">
      <c r="B1717" s="44"/>
      <c r="D1717" s="8"/>
      <c r="E1717" s="8"/>
      <c r="F1717" s="8"/>
    </row>
    <row r="1718" spans="2:6">
      <c r="B1718" s="44"/>
      <c r="D1718" s="8"/>
      <c r="E1718" s="8"/>
      <c r="F1718" s="8"/>
    </row>
    <row r="1719" spans="2:6">
      <c r="B1719" s="44"/>
      <c r="D1719" s="8"/>
      <c r="E1719" s="8"/>
      <c r="F1719" s="8"/>
    </row>
    <row r="1720" spans="2:6">
      <c r="B1720" s="44"/>
      <c r="D1720" s="8"/>
      <c r="E1720" s="8"/>
      <c r="F1720" s="8"/>
    </row>
    <row r="1721" spans="2:6">
      <c r="B1721" s="44"/>
      <c r="D1721" s="8"/>
      <c r="E1721" s="8"/>
      <c r="F1721" s="8"/>
    </row>
    <row r="1722" spans="2:6">
      <c r="B1722" s="44"/>
      <c r="D1722" s="8"/>
      <c r="E1722" s="8"/>
      <c r="F1722" s="8"/>
    </row>
    <row r="1723" spans="2:6">
      <c r="B1723" s="44"/>
      <c r="D1723" s="8"/>
      <c r="E1723" s="8"/>
      <c r="F1723" s="8"/>
    </row>
    <row r="1724" spans="2:6">
      <c r="B1724" s="44"/>
      <c r="D1724" s="8"/>
      <c r="E1724" s="8"/>
      <c r="F1724" s="8"/>
    </row>
    <row r="1725" spans="2:6">
      <c r="B1725" s="44"/>
      <c r="D1725" s="8"/>
      <c r="E1725" s="8"/>
      <c r="F1725" s="8"/>
    </row>
    <row r="1726" spans="2:6">
      <c r="B1726" s="44"/>
      <c r="D1726" s="8"/>
      <c r="E1726" s="8"/>
      <c r="F1726" s="8"/>
    </row>
    <row r="1727" spans="2:6">
      <c r="B1727" s="44"/>
      <c r="D1727" s="8"/>
      <c r="E1727" s="8"/>
      <c r="F1727" s="8"/>
    </row>
    <row r="1728" spans="2:6">
      <c r="B1728" s="44"/>
      <c r="D1728" s="8"/>
      <c r="E1728" s="8"/>
      <c r="F1728" s="8"/>
    </row>
    <row r="1729" spans="2:6">
      <c r="B1729" s="44"/>
      <c r="D1729" s="8"/>
      <c r="E1729" s="8"/>
      <c r="F1729" s="8"/>
    </row>
    <row r="1730" spans="2:6">
      <c r="B1730" s="44"/>
      <c r="D1730" s="8"/>
      <c r="E1730" s="8"/>
      <c r="F1730" s="8"/>
    </row>
    <row r="1731" spans="2:6">
      <c r="B1731" s="44"/>
      <c r="D1731" s="8"/>
      <c r="E1731" s="8"/>
      <c r="F1731" s="8"/>
    </row>
    <row r="1732" spans="2:6">
      <c r="B1732" s="44"/>
      <c r="D1732" s="8"/>
      <c r="E1732" s="8"/>
      <c r="F1732" s="8"/>
    </row>
    <row r="1733" spans="2:6">
      <c r="B1733" s="44"/>
      <c r="D1733" s="8"/>
      <c r="E1733" s="8"/>
      <c r="F1733" s="8"/>
    </row>
    <row r="1734" spans="2:6">
      <c r="B1734" s="44"/>
      <c r="D1734" s="8"/>
      <c r="E1734" s="8"/>
      <c r="F1734" s="8"/>
    </row>
    <row r="1735" spans="2:6">
      <c r="B1735" s="44"/>
      <c r="D1735" s="8"/>
      <c r="E1735" s="8"/>
      <c r="F1735" s="8"/>
    </row>
    <row r="1736" spans="2:6">
      <c r="B1736" s="44"/>
      <c r="D1736" s="8"/>
      <c r="E1736" s="8"/>
      <c r="F1736" s="8"/>
    </row>
    <row r="1737" spans="2:6">
      <c r="B1737" s="44"/>
      <c r="D1737" s="8"/>
      <c r="E1737" s="8"/>
      <c r="F1737" s="8"/>
    </row>
    <row r="1738" spans="2:6">
      <c r="B1738" s="44"/>
      <c r="D1738" s="8"/>
      <c r="E1738" s="8"/>
      <c r="F1738" s="8"/>
    </row>
    <row r="1739" spans="2:6">
      <c r="B1739" s="44"/>
      <c r="D1739" s="8"/>
      <c r="E1739" s="8"/>
      <c r="F1739" s="8"/>
    </row>
    <row r="1740" spans="2:6">
      <c r="B1740" s="44"/>
      <c r="D1740" s="8"/>
      <c r="E1740" s="8"/>
      <c r="F1740" s="8"/>
    </row>
    <row r="1741" spans="2:6">
      <c r="B1741" s="44"/>
      <c r="D1741" s="8"/>
      <c r="E1741" s="8"/>
      <c r="F1741" s="8"/>
    </row>
    <row r="1742" spans="2:6">
      <c r="B1742" s="44"/>
      <c r="D1742" s="8"/>
      <c r="E1742" s="8"/>
      <c r="F1742" s="8"/>
    </row>
    <row r="1743" spans="2:6">
      <c r="B1743" s="44"/>
      <c r="D1743" s="8"/>
      <c r="E1743" s="8"/>
      <c r="F1743" s="8"/>
    </row>
    <row r="1744" spans="2:6">
      <c r="B1744" s="44"/>
      <c r="D1744" s="8"/>
      <c r="E1744" s="8"/>
      <c r="F1744" s="8"/>
    </row>
    <row r="1745" spans="2:6">
      <c r="B1745" s="44"/>
      <c r="D1745" s="8"/>
      <c r="E1745" s="8"/>
      <c r="F1745" s="8"/>
    </row>
    <row r="1746" spans="2:6">
      <c r="B1746" s="44"/>
      <c r="D1746" s="8"/>
      <c r="E1746" s="8"/>
      <c r="F1746" s="8"/>
    </row>
    <row r="1747" spans="2:6">
      <c r="B1747" s="44"/>
      <c r="D1747" s="8"/>
      <c r="E1747" s="8"/>
      <c r="F1747" s="8"/>
    </row>
    <row r="1748" spans="2:6">
      <c r="B1748" s="44"/>
      <c r="D1748" s="8"/>
      <c r="E1748" s="8"/>
      <c r="F1748" s="8"/>
    </row>
    <row r="1749" spans="2:6">
      <c r="B1749" s="44"/>
      <c r="D1749" s="8"/>
      <c r="E1749" s="8"/>
      <c r="F1749" s="8"/>
    </row>
    <row r="1750" spans="2:6">
      <c r="B1750" s="44"/>
      <c r="D1750" s="8"/>
      <c r="E1750" s="8"/>
      <c r="F1750" s="8"/>
    </row>
    <row r="1751" spans="2:6">
      <c r="B1751" s="44"/>
      <c r="D1751" s="8"/>
      <c r="E1751" s="8"/>
      <c r="F1751" s="8"/>
    </row>
    <row r="1752" spans="2:6">
      <c r="B1752" s="44"/>
      <c r="D1752" s="8"/>
      <c r="E1752" s="8"/>
      <c r="F1752" s="8"/>
    </row>
    <row r="1753" spans="2:6">
      <c r="B1753" s="44"/>
      <c r="D1753" s="8"/>
      <c r="E1753" s="8"/>
      <c r="F1753" s="8"/>
    </row>
    <row r="1754" spans="2:6">
      <c r="B1754" s="44"/>
      <c r="D1754" s="8"/>
      <c r="E1754" s="8"/>
      <c r="F1754" s="8"/>
    </row>
    <row r="1755" spans="2:6">
      <c r="B1755" s="44"/>
      <c r="D1755" s="8"/>
      <c r="E1755" s="8"/>
      <c r="F1755" s="8"/>
    </row>
    <row r="1756" spans="2:6">
      <c r="B1756" s="44"/>
      <c r="D1756" s="8"/>
      <c r="E1756" s="8"/>
      <c r="F1756" s="8"/>
    </row>
    <row r="1757" spans="2:6">
      <c r="B1757" s="44"/>
      <c r="D1757" s="8"/>
      <c r="E1757" s="8"/>
      <c r="F1757" s="8"/>
    </row>
    <row r="1758" spans="2:6">
      <c r="B1758" s="44"/>
      <c r="D1758" s="8"/>
      <c r="E1758" s="8"/>
      <c r="F1758" s="8"/>
    </row>
    <row r="1759" spans="2:6">
      <c r="B1759" s="44"/>
      <c r="D1759" s="8"/>
      <c r="E1759" s="8"/>
      <c r="F1759" s="8"/>
    </row>
    <row r="1760" spans="2:6">
      <c r="B1760" s="44"/>
      <c r="D1760" s="8"/>
      <c r="E1760" s="8"/>
      <c r="F1760" s="8"/>
    </row>
    <row r="1761" spans="2:6">
      <c r="B1761" s="44"/>
      <c r="D1761" s="8"/>
      <c r="E1761" s="8"/>
      <c r="F1761" s="8"/>
    </row>
    <row r="1762" spans="2:6">
      <c r="B1762" s="44"/>
      <c r="D1762" s="8"/>
      <c r="E1762" s="8"/>
      <c r="F1762" s="8"/>
    </row>
    <row r="1763" spans="2:6">
      <c r="B1763" s="44"/>
      <c r="D1763" s="8"/>
      <c r="E1763" s="8"/>
      <c r="F1763" s="8"/>
    </row>
    <row r="1764" spans="2:6">
      <c r="B1764" s="44"/>
      <c r="D1764" s="8"/>
      <c r="E1764" s="8"/>
      <c r="F1764" s="8"/>
    </row>
    <row r="1765" spans="2:6">
      <c r="B1765" s="44"/>
      <c r="D1765" s="8"/>
      <c r="E1765" s="8"/>
      <c r="F1765" s="8"/>
    </row>
    <row r="1766" spans="2:6">
      <c r="B1766" s="44"/>
      <c r="D1766" s="8"/>
      <c r="E1766" s="8"/>
      <c r="F1766" s="8"/>
    </row>
    <row r="1767" spans="2:6">
      <c r="B1767" s="44"/>
      <c r="D1767" s="8"/>
      <c r="E1767" s="8"/>
      <c r="F1767" s="8"/>
    </row>
    <row r="1768" spans="2:6">
      <c r="B1768" s="44"/>
      <c r="D1768" s="8"/>
      <c r="E1768" s="8"/>
      <c r="F1768" s="8"/>
    </row>
    <row r="1769" spans="2:6">
      <c r="B1769" s="44"/>
      <c r="D1769" s="8"/>
      <c r="E1769" s="8"/>
      <c r="F1769" s="8"/>
    </row>
    <row r="1770" spans="2:6">
      <c r="B1770" s="44"/>
      <c r="D1770" s="8"/>
      <c r="E1770" s="8"/>
      <c r="F1770" s="8"/>
    </row>
    <row r="1771" spans="2:6">
      <c r="B1771" s="44"/>
      <c r="D1771" s="8"/>
      <c r="E1771" s="8"/>
      <c r="F1771" s="8"/>
    </row>
    <row r="1772" spans="2:6">
      <c r="B1772" s="44"/>
      <c r="D1772" s="8"/>
      <c r="E1772" s="8"/>
      <c r="F1772" s="8"/>
    </row>
    <row r="1773" spans="2:6">
      <c r="B1773" s="44"/>
      <c r="D1773" s="8"/>
      <c r="E1773" s="8"/>
      <c r="F1773" s="8"/>
    </row>
    <row r="1774" spans="2:6">
      <c r="B1774" s="44"/>
      <c r="D1774" s="8"/>
      <c r="E1774" s="8"/>
      <c r="F1774" s="8"/>
    </row>
    <row r="1775" spans="2:6">
      <c r="B1775" s="44"/>
      <c r="D1775" s="8"/>
      <c r="E1775" s="8"/>
      <c r="F1775" s="8"/>
    </row>
    <row r="1776" spans="2:6">
      <c r="B1776" s="44"/>
      <c r="D1776" s="8"/>
      <c r="E1776" s="8"/>
      <c r="F1776" s="8"/>
    </row>
    <row r="1777" spans="2:6">
      <c r="B1777" s="44"/>
      <c r="D1777" s="8"/>
      <c r="E1777" s="8"/>
      <c r="F1777" s="8"/>
    </row>
    <row r="1778" spans="2:6">
      <c r="B1778" s="44"/>
      <c r="D1778" s="8"/>
      <c r="E1778" s="8"/>
      <c r="F1778" s="8"/>
    </row>
    <row r="1779" spans="2:6">
      <c r="B1779" s="44"/>
      <c r="D1779" s="8"/>
      <c r="E1779" s="8"/>
      <c r="F1779" s="8"/>
    </row>
    <row r="1780" spans="2:6">
      <c r="B1780" s="44"/>
      <c r="D1780" s="8"/>
      <c r="E1780" s="8"/>
      <c r="F1780" s="8"/>
    </row>
    <row r="1781" spans="2:6">
      <c r="B1781" s="44"/>
      <c r="D1781" s="8"/>
      <c r="E1781" s="8"/>
      <c r="F1781" s="8"/>
    </row>
    <row r="1782" spans="2:6">
      <c r="B1782" s="44"/>
      <c r="D1782" s="8"/>
      <c r="E1782" s="8"/>
      <c r="F1782" s="8"/>
    </row>
    <row r="1783" spans="2:6">
      <c r="B1783" s="44"/>
      <c r="D1783" s="8"/>
      <c r="E1783" s="8"/>
      <c r="F1783" s="8"/>
    </row>
    <row r="1784" spans="2:6">
      <c r="B1784" s="44"/>
      <c r="D1784" s="8"/>
      <c r="E1784" s="8"/>
      <c r="F1784" s="8"/>
    </row>
    <row r="1785" spans="2:6">
      <c r="B1785" s="44"/>
      <c r="D1785" s="8"/>
      <c r="E1785" s="8"/>
      <c r="F1785" s="8"/>
    </row>
    <row r="1786" spans="2:6">
      <c r="B1786" s="44"/>
      <c r="D1786" s="8"/>
      <c r="E1786" s="8"/>
      <c r="F1786" s="8"/>
    </row>
    <row r="1787" spans="2:6">
      <c r="B1787" s="44"/>
      <c r="D1787" s="8"/>
      <c r="E1787" s="8"/>
      <c r="F1787" s="8"/>
    </row>
    <row r="1788" spans="2:6">
      <c r="B1788" s="44"/>
      <c r="D1788" s="8"/>
      <c r="E1788" s="8"/>
      <c r="F1788" s="8"/>
    </row>
    <row r="1789" spans="2:6">
      <c r="B1789" s="44"/>
      <c r="D1789" s="8"/>
      <c r="E1789" s="8"/>
      <c r="F1789" s="8"/>
    </row>
    <row r="1790" spans="2:6">
      <c r="B1790" s="44"/>
      <c r="D1790" s="8"/>
      <c r="E1790" s="8"/>
      <c r="F1790" s="8"/>
    </row>
    <row r="1791" spans="2:6">
      <c r="B1791" s="44"/>
      <c r="D1791" s="8"/>
      <c r="E1791" s="8"/>
      <c r="F1791" s="8"/>
    </row>
    <row r="1792" spans="2:6">
      <c r="B1792" s="44"/>
      <c r="D1792" s="8"/>
      <c r="E1792" s="8"/>
      <c r="F1792" s="8"/>
    </row>
    <row r="1793" spans="2:6">
      <c r="B1793" s="44"/>
      <c r="D1793" s="8"/>
      <c r="E1793" s="8"/>
      <c r="F1793" s="8"/>
    </row>
    <row r="1794" spans="2:6">
      <c r="B1794" s="44"/>
      <c r="D1794" s="8"/>
      <c r="E1794" s="8"/>
      <c r="F1794" s="8"/>
    </row>
    <row r="1795" spans="2:6">
      <c r="B1795" s="44"/>
      <c r="D1795" s="8"/>
      <c r="E1795" s="8"/>
      <c r="F1795" s="8"/>
    </row>
    <row r="1796" spans="2:6">
      <c r="B1796" s="44"/>
      <c r="D1796" s="8"/>
      <c r="E1796" s="8"/>
      <c r="F1796" s="8"/>
    </row>
    <row r="1797" spans="2:6">
      <c r="B1797" s="44"/>
      <c r="D1797" s="8"/>
      <c r="E1797" s="8"/>
      <c r="F1797" s="8"/>
    </row>
    <row r="1798" spans="2:6">
      <c r="B1798" s="44"/>
      <c r="D1798" s="8"/>
      <c r="E1798" s="8"/>
      <c r="F1798" s="8"/>
    </row>
    <row r="1799" spans="2:6">
      <c r="B1799" s="44"/>
      <c r="D1799" s="8"/>
      <c r="E1799" s="8"/>
      <c r="F1799" s="8"/>
    </row>
    <row r="1800" spans="2:6">
      <c r="B1800" s="44"/>
      <c r="D1800" s="8"/>
      <c r="E1800" s="8"/>
      <c r="F1800" s="8"/>
    </row>
    <row r="1801" spans="2:6">
      <c r="B1801" s="44"/>
      <c r="D1801" s="8"/>
      <c r="E1801" s="8"/>
      <c r="F1801" s="8"/>
    </row>
    <row r="1802" spans="2:6">
      <c r="B1802" s="44"/>
      <c r="D1802" s="8"/>
      <c r="E1802" s="8"/>
      <c r="F1802" s="8"/>
    </row>
    <row r="1803" spans="2:6">
      <c r="B1803" s="44"/>
      <c r="D1803" s="8"/>
      <c r="E1803" s="8"/>
      <c r="F1803" s="8"/>
    </row>
    <row r="1804" spans="2:6">
      <c r="B1804" s="44"/>
      <c r="D1804" s="8"/>
      <c r="E1804" s="8"/>
      <c r="F1804" s="8"/>
    </row>
    <row r="1805" spans="2:6">
      <c r="B1805" s="44"/>
      <c r="D1805" s="8"/>
      <c r="E1805" s="8"/>
      <c r="F1805" s="8"/>
    </row>
    <row r="1806" spans="2:6">
      <c r="B1806" s="44"/>
      <c r="D1806" s="8"/>
      <c r="E1806" s="8"/>
      <c r="F1806" s="8"/>
    </row>
    <row r="1807" spans="2:6">
      <c r="B1807" s="44"/>
      <c r="D1807" s="8"/>
      <c r="E1807" s="8"/>
      <c r="F1807" s="8"/>
    </row>
    <row r="1808" spans="2:6">
      <c r="B1808" s="44"/>
      <c r="D1808" s="8"/>
      <c r="E1808" s="8"/>
      <c r="F1808" s="8"/>
    </row>
    <row r="1809" spans="2:6">
      <c r="B1809" s="44"/>
      <c r="D1809" s="8"/>
      <c r="E1809" s="8"/>
      <c r="F1809" s="8"/>
    </row>
    <row r="1810" spans="2:6">
      <c r="B1810" s="44"/>
      <c r="D1810" s="8"/>
      <c r="E1810" s="8"/>
      <c r="F1810" s="8"/>
    </row>
    <row r="1811" spans="2:6">
      <c r="B1811" s="44"/>
      <c r="D1811" s="8"/>
      <c r="E1811" s="8"/>
      <c r="F1811" s="8"/>
    </row>
    <row r="1812" spans="2:6">
      <c r="B1812" s="44"/>
      <c r="D1812" s="8"/>
      <c r="E1812" s="8"/>
      <c r="F1812" s="8"/>
    </row>
    <row r="1813" spans="2:6">
      <c r="B1813" s="44"/>
      <c r="D1813" s="8"/>
      <c r="E1813" s="8"/>
      <c r="F1813" s="8"/>
    </row>
    <row r="1814" spans="2:6">
      <c r="B1814" s="44"/>
      <c r="D1814" s="8"/>
      <c r="E1814" s="8"/>
      <c r="F1814" s="8"/>
    </row>
    <row r="1815" spans="2:6">
      <c r="B1815" s="44"/>
      <c r="D1815" s="8"/>
      <c r="E1815" s="8"/>
      <c r="F1815" s="8"/>
    </row>
    <row r="1816" spans="2:6">
      <c r="B1816" s="44"/>
      <c r="D1816" s="8"/>
      <c r="E1816" s="8"/>
      <c r="F1816" s="8"/>
    </row>
    <row r="1817" spans="2:6">
      <c r="B1817" s="44"/>
      <c r="D1817" s="8"/>
      <c r="E1817" s="8"/>
      <c r="F1817" s="8"/>
    </row>
    <row r="1818" spans="2:6">
      <c r="B1818" s="44"/>
      <c r="D1818" s="8"/>
      <c r="E1818" s="8"/>
      <c r="F1818" s="8"/>
    </row>
    <row r="1819" spans="2:6">
      <c r="B1819" s="44"/>
      <c r="D1819" s="8"/>
      <c r="E1819" s="8"/>
      <c r="F1819" s="8"/>
    </row>
    <row r="1820" spans="2:6">
      <c r="B1820" s="44"/>
      <c r="D1820" s="8"/>
      <c r="E1820" s="8"/>
      <c r="F1820" s="8"/>
    </row>
    <row r="1821" spans="2:6">
      <c r="B1821" s="44"/>
      <c r="D1821" s="8"/>
      <c r="E1821" s="8"/>
      <c r="F1821" s="8"/>
    </row>
    <row r="1822" spans="2:6">
      <c r="B1822" s="44"/>
      <c r="D1822" s="8"/>
      <c r="E1822" s="8"/>
      <c r="F1822" s="8"/>
    </row>
    <row r="1823" spans="2:6">
      <c r="B1823" s="44"/>
      <c r="D1823" s="8"/>
      <c r="E1823" s="8"/>
      <c r="F1823" s="8"/>
    </row>
    <row r="1824" spans="2:6">
      <c r="B1824" s="44"/>
      <c r="D1824" s="8"/>
      <c r="E1824" s="8"/>
      <c r="F1824" s="8"/>
    </row>
    <row r="1825" spans="2:6">
      <c r="B1825" s="44"/>
      <c r="D1825" s="8"/>
      <c r="E1825" s="8"/>
      <c r="F1825" s="8"/>
    </row>
    <row r="1826" spans="2:6">
      <c r="B1826" s="44"/>
      <c r="D1826" s="8"/>
      <c r="E1826" s="8"/>
      <c r="F1826" s="8"/>
    </row>
    <row r="1827" spans="2:6">
      <c r="B1827" s="44"/>
      <c r="D1827" s="8"/>
      <c r="E1827" s="8"/>
      <c r="F1827" s="8"/>
    </row>
    <row r="1828" spans="2:6">
      <c r="B1828" s="44"/>
      <c r="D1828" s="8"/>
      <c r="E1828" s="8"/>
      <c r="F1828" s="8"/>
    </row>
    <row r="1829" spans="2:6">
      <c r="B1829" s="44"/>
      <c r="D1829" s="8"/>
      <c r="E1829" s="8"/>
      <c r="F1829" s="8"/>
    </row>
    <row r="1830" spans="2:6">
      <c r="B1830" s="44"/>
      <c r="D1830" s="8"/>
      <c r="E1830" s="8"/>
      <c r="F1830" s="8"/>
    </row>
    <row r="1831" spans="2:6">
      <c r="B1831" s="44"/>
      <c r="D1831" s="8"/>
      <c r="E1831" s="8"/>
      <c r="F1831" s="8"/>
    </row>
    <row r="1832" spans="2:6">
      <c r="B1832" s="44"/>
      <c r="D1832" s="8"/>
      <c r="E1832" s="8"/>
      <c r="F1832" s="8"/>
    </row>
    <row r="1833" spans="2:6">
      <c r="B1833" s="44"/>
      <c r="D1833" s="8"/>
      <c r="E1833" s="8"/>
      <c r="F1833" s="8"/>
    </row>
    <row r="1834" spans="2:6">
      <c r="B1834" s="44"/>
      <c r="D1834" s="8"/>
      <c r="E1834" s="8"/>
      <c r="F1834" s="8"/>
    </row>
    <row r="1835" spans="2:6">
      <c r="B1835" s="44"/>
      <c r="D1835" s="8"/>
      <c r="E1835" s="8"/>
      <c r="F1835" s="8"/>
    </row>
    <row r="1836" spans="2:6">
      <c r="B1836" s="44"/>
      <c r="D1836" s="8"/>
      <c r="E1836" s="8"/>
      <c r="F1836" s="8"/>
    </row>
    <row r="1837" spans="2:6">
      <c r="B1837" s="44"/>
      <c r="D1837" s="8"/>
      <c r="E1837" s="8"/>
      <c r="F1837" s="8"/>
    </row>
    <row r="1838" spans="2:6">
      <c r="B1838" s="44"/>
      <c r="D1838" s="8"/>
      <c r="E1838" s="8"/>
      <c r="F1838" s="8"/>
    </row>
    <row r="1839" spans="2:6">
      <c r="B1839" s="44"/>
      <c r="D1839" s="8"/>
      <c r="E1839" s="8"/>
      <c r="F1839" s="8"/>
    </row>
    <row r="1840" spans="2:6">
      <c r="B1840" s="44"/>
      <c r="D1840" s="8"/>
      <c r="E1840" s="8"/>
      <c r="F1840" s="8"/>
    </row>
    <row r="1841" spans="2:6">
      <c r="B1841" s="44"/>
      <c r="D1841" s="8"/>
      <c r="E1841" s="8"/>
      <c r="F1841" s="8"/>
    </row>
    <row r="1842" spans="2:6">
      <c r="B1842" s="44"/>
      <c r="D1842" s="8"/>
      <c r="E1842" s="8"/>
      <c r="F1842" s="8"/>
    </row>
    <row r="1843" spans="2:6">
      <c r="B1843" s="44"/>
      <c r="D1843" s="8"/>
      <c r="E1843" s="8"/>
      <c r="F1843" s="8"/>
    </row>
    <row r="1844" spans="2:6">
      <c r="B1844" s="44"/>
      <c r="D1844" s="8"/>
      <c r="E1844" s="8"/>
      <c r="F1844" s="8"/>
    </row>
    <row r="1845" spans="2:6">
      <c r="B1845" s="44"/>
      <c r="D1845" s="8"/>
      <c r="E1845" s="8"/>
      <c r="F1845" s="8"/>
    </row>
    <row r="1846" spans="2:6">
      <c r="B1846" s="44"/>
      <c r="D1846" s="8"/>
      <c r="E1846" s="8"/>
      <c r="F1846" s="8"/>
    </row>
    <row r="1847" spans="2:6">
      <c r="B1847" s="44"/>
      <c r="D1847" s="8"/>
      <c r="E1847" s="8"/>
      <c r="F1847" s="8"/>
    </row>
    <row r="1848" spans="2:6">
      <c r="B1848" s="44"/>
      <c r="D1848" s="8"/>
      <c r="E1848" s="8"/>
      <c r="F1848" s="8"/>
    </row>
    <row r="1849" spans="2:6">
      <c r="B1849" s="44"/>
      <c r="D1849" s="8"/>
      <c r="E1849" s="8"/>
      <c r="F1849" s="8"/>
    </row>
    <row r="1850" spans="2:6">
      <c r="B1850" s="44"/>
      <c r="D1850" s="8"/>
      <c r="E1850" s="8"/>
      <c r="F1850" s="8"/>
    </row>
    <row r="1851" spans="2:6">
      <c r="B1851" s="44"/>
      <c r="D1851" s="8"/>
      <c r="E1851" s="8"/>
      <c r="F1851" s="8"/>
    </row>
    <row r="1852" spans="2:6">
      <c r="B1852" s="44"/>
      <c r="D1852" s="8"/>
      <c r="E1852" s="8"/>
      <c r="F1852" s="8"/>
    </row>
    <row r="1853" spans="2:6">
      <c r="B1853" s="44"/>
      <c r="D1853" s="8"/>
      <c r="E1853" s="8"/>
      <c r="F1853" s="8"/>
    </row>
    <row r="1854" spans="2:6">
      <c r="B1854" s="44"/>
      <c r="D1854" s="8"/>
      <c r="E1854" s="8"/>
      <c r="F1854" s="8"/>
    </row>
    <row r="1855" spans="2:6">
      <c r="B1855" s="44"/>
      <c r="D1855" s="8"/>
      <c r="E1855" s="8"/>
      <c r="F1855" s="8"/>
    </row>
    <row r="1856" spans="2:6">
      <c r="B1856" s="44"/>
      <c r="D1856" s="8"/>
      <c r="E1856" s="8"/>
      <c r="F1856" s="8"/>
    </row>
    <row r="1857" spans="2:6">
      <c r="B1857" s="44"/>
      <c r="D1857" s="8"/>
      <c r="E1857" s="8"/>
      <c r="F1857" s="8"/>
    </row>
    <row r="1858" spans="2:6">
      <c r="B1858" s="44"/>
      <c r="D1858" s="8"/>
      <c r="E1858" s="8"/>
      <c r="F1858" s="8"/>
    </row>
    <row r="1859" spans="2:6">
      <c r="B1859" s="44"/>
      <c r="D1859" s="8"/>
      <c r="E1859" s="8"/>
      <c r="F1859" s="8"/>
    </row>
    <row r="1860" spans="2:6">
      <c r="B1860" s="44"/>
      <c r="D1860" s="8"/>
      <c r="E1860" s="8"/>
      <c r="F1860" s="8"/>
    </row>
    <row r="1861" spans="2:6">
      <c r="B1861" s="44"/>
      <c r="D1861" s="8"/>
      <c r="E1861" s="8"/>
      <c r="F1861" s="8"/>
    </row>
    <row r="1862" spans="2:6">
      <c r="B1862" s="44"/>
      <c r="D1862" s="8"/>
      <c r="E1862" s="8"/>
      <c r="F1862" s="8"/>
    </row>
    <row r="1863" spans="2:6">
      <c r="B1863" s="44"/>
      <c r="D1863" s="8"/>
      <c r="E1863" s="8"/>
      <c r="F1863" s="8"/>
    </row>
    <row r="1864" spans="2:6">
      <c r="B1864" s="44"/>
      <c r="D1864" s="8"/>
      <c r="E1864" s="8"/>
      <c r="F1864" s="8"/>
    </row>
    <row r="1865" spans="2:6">
      <c r="B1865" s="44"/>
      <c r="D1865" s="8"/>
      <c r="E1865" s="8"/>
      <c r="F1865" s="8"/>
    </row>
    <row r="1866" spans="2:6">
      <c r="B1866" s="44"/>
      <c r="D1866" s="8"/>
      <c r="E1866" s="8"/>
      <c r="F1866" s="8"/>
    </row>
    <row r="1867" spans="2:6">
      <c r="B1867" s="44"/>
      <c r="D1867" s="8"/>
      <c r="E1867" s="8"/>
      <c r="F1867" s="8"/>
    </row>
    <row r="1868" spans="2:6">
      <c r="B1868" s="44"/>
      <c r="D1868" s="8"/>
      <c r="E1868" s="8"/>
      <c r="F1868" s="8"/>
    </row>
    <row r="1869" spans="2:6">
      <c r="B1869" s="44"/>
      <c r="D1869" s="8"/>
      <c r="E1869" s="8"/>
      <c r="F1869" s="8"/>
    </row>
    <row r="1870" spans="2:6">
      <c r="B1870" s="44"/>
      <c r="D1870" s="8"/>
      <c r="E1870" s="8"/>
      <c r="F1870" s="8"/>
    </row>
    <row r="1871" spans="2:6">
      <c r="B1871" s="44"/>
      <c r="D1871" s="8"/>
      <c r="E1871" s="8"/>
      <c r="F1871" s="8"/>
    </row>
    <row r="1872" spans="2:6">
      <c r="B1872" s="44"/>
      <c r="D1872" s="8"/>
      <c r="E1872" s="8"/>
      <c r="F1872" s="8"/>
    </row>
    <row r="1873" spans="2:6">
      <c r="B1873" s="44"/>
      <c r="D1873" s="8"/>
      <c r="E1873" s="8"/>
      <c r="F1873" s="8"/>
    </row>
    <row r="1874" spans="2:6">
      <c r="B1874" s="44"/>
      <c r="D1874" s="8"/>
      <c r="E1874" s="8"/>
      <c r="F1874" s="8"/>
    </row>
    <row r="1875" spans="2:6">
      <c r="B1875" s="44"/>
      <c r="D1875" s="8"/>
      <c r="E1875" s="8"/>
      <c r="F1875" s="8"/>
    </row>
    <row r="1876" spans="2:6">
      <c r="B1876" s="44"/>
      <c r="D1876" s="8"/>
      <c r="E1876" s="8"/>
      <c r="F1876" s="8"/>
    </row>
    <row r="1877" spans="2:6">
      <c r="B1877" s="44"/>
      <c r="D1877" s="8"/>
      <c r="E1877" s="8"/>
      <c r="F1877" s="8"/>
    </row>
    <row r="1878" spans="2:6">
      <c r="B1878" s="44"/>
      <c r="D1878" s="8"/>
      <c r="E1878" s="8"/>
      <c r="F1878" s="8"/>
    </row>
    <row r="1879" spans="2:6">
      <c r="B1879" s="44"/>
      <c r="D1879" s="8"/>
      <c r="E1879" s="8"/>
      <c r="F1879" s="8"/>
    </row>
    <row r="1880" spans="2:6">
      <c r="B1880" s="44"/>
      <c r="D1880" s="8"/>
      <c r="E1880" s="8"/>
      <c r="F1880" s="8"/>
    </row>
    <row r="1881" spans="2:6">
      <c r="B1881" s="44"/>
      <c r="D1881" s="8"/>
      <c r="E1881" s="8"/>
      <c r="F1881" s="8"/>
    </row>
    <row r="1882" spans="2:6">
      <c r="B1882" s="44"/>
      <c r="D1882" s="8"/>
      <c r="E1882" s="8"/>
      <c r="F1882" s="8"/>
    </row>
    <row r="1883" spans="2:6">
      <c r="B1883" s="44"/>
      <c r="D1883" s="8"/>
      <c r="E1883" s="8"/>
      <c r="F1883" s="8"/>
    </row>
    <row r="1884" spans="2:6">
      <c r="B1884" s="44"/>
      <c r="D1884" s="8"/>
      <c r="E1884" s="8"/>
      <c r="F1884" s="8"/>
    </row>
    <row r="1885" spans="2:6">
      <c r="B1885" s="44"/>
      <c r="D1885" s="8"/>
      <c r="E1885" s="8"/>
      <c r="F1885" s="8"/>
    </row>
    <row r="1886" spans="2:6">
      <c r="B1886" s="44"/>
      <c r="D1886" s="8"/>
      <c r="E1886" s="8"/>
      <c r="F1886" s="8"/>
    </row>
    <row r="1887" spans="2:6">
      <c r="B1887" s="44"/>
      <c r="D1887" s="8"/>
      <c r="E1887" s="8"/>
      <c r="F1887" s="8"/>
    </row>
    <row r="1888" spans="2:6">
      <c r="B1888" s="44"/>
      <c r="D1888" s="8"/>
      <c r="E1888" s="8"/>
      <c r="F1888" s="8"/>
    </row>
    <row r="1889" spans="2:6">
      <c r="B1889" s="44"/>
      <c r="D1889" s="8"/>
      <c r="E1889" s="8"/>
      <c r="F1889" s="8"/>
    </row>
    <row r="1890" spans="2:6">
      <c r="B1890" s="44"/>
      <c r="D1890" s="8"/>
      <c r="E1890" s="8"/>
      <c r="F1890" s="8"/>
    </row>
    <row r="1891" spans="2:6">
      <c r="B1891" s="44"/>
      <c r="D1891" s="8"/>
      <c r="E1891" s="8"/>
      <c r="F1891" s="8"/>
    </row>
    <row r="1892" spans="2:6">
      <c r="B1892" s="44"/>
      <c r="D1892" s="8"/>
      <c r="E1892" s="8"/>
      <c r="F1892" s="8"/>
    </row>
    <row r="1893" spans="2:6">
      <c r="B1893" s="44"/>
      <c r="D1893" s="8"/>
      <c r="E1893" s="8"/>
      <c r="F1893" s="8"/>
    </row>
    <row r="1894" spans="2:6">
      <c r="B1894" s="44"/>
      <c r="D1894" s="8"/>
      <c r="E1894" s="8"/>
      <c r="F1894" s="8"/>
    </row>
    <row r="1895" spans="2:6">
      <c r="B1895" s="44"/>
      <c r="D1895" s="8"/>
      <c r="E1895" s="8"/>
      <c r="F1895" s="8"/>
    </row>
    <row r="1896" spans="2:6">
      <c r="B1896" s="44"/>
      <c r="D1896" s="8"/>
      <c r="E1896" s="8"/>
      <c r="F1896" s="8"/>
    </row>
    <row r="1897" spans="2:6">
      <c r="B1897" s="44"/>
      <c r="D1897" s="8"/>
      <c r="E1897" s="8"/>
      <c r="F1897" s="8"/>
    </row>
    <row r="1898" spans="2:6">
      <c r="B1898" s="44"/>
      <c r="D1898" s="8"/>
      <c r="E1898" s="8"/>
      <c r="F1898" s="8"/>
    </row>
    <row r="1899" spans="2:6">
      <c r="B1899" s="44"/>
      <c r="D1899" s="8"/>
      <c r="E1899" s="8"/>
      <c r="F1899" s="8"/>
    </row>
    <row r="1900" spans="2:6">
      <c r="B1900" s="44"/>
      <c r="D1900" s="8"/>
      <c r="E1900" s="8"/>
      <c r="F1900" s="8"/>
    </row>
    <row r="1901" spans="2:6">
      <c r="B1901" s="44"/>
      <c r="D1901" s="8"/>
      <c r="E1901" s="8"/>
      <c r="F1901" s="8"/>
    </row>
    <row r="1902" spans="2:6">
      <c r="B1902" s="44"/>
      <c r="D1902" s="8"/>
      <c r="E1902" s="8"/>
      <c r="F1902" s="8"/>
    </row>
    <row r="1903" spans="2:6">
      <c r="B1903" s="44"/>
      <c r="D1903" s="8"/>
      <c r="E1903" s="8"/>
      <c r="F1903" s="8"/>
    </row>
    <row r="1904" spans="2:6">
      <c r="B1904" s="44"/>
      <c r="D1904" s="8"/>
      <c r="E1904" s="8"/>
      <c r="F1904" s="8"/>
    </row>
    <row r="1905" spans="2:6">
      <c r="B1905" s="44"/>
      <c r="D1905" s="8"/>
      <c r="E1905" s="8"/>
      <c r="F1905" s="8"/>
    </row>
    <row r="1906" spans="2:6">
      <c r="B1906" s="44"/>
      <c r="D1906" s="8"/>
      <c r="E1906" s="8"/>
      <c r="F1906" s="8"/>
    </row>
    <row r="1907" spans="2:6">
      <c r="B1907" s="44"/>
      <c r="D1907" s="8"/>
      <c r="E1907" s="8"/>
      <c r="F1907" s="8"/>
    </row>
    <row r="1908" spans="2:6">
      <c r="B1908" s="44"/>
      <c r="D1908" s="8"/>
      <c r="E1908" s="8"/>
      <c r="F1908" s="8"/>
    </row>
    <row r="1909" spans="2:6">
      <c r="B1909" s="44"/>
      <c r="D1909" s="8"/>
      <c r="E1909" s="8"/>
      <c r="F1909" s="8"/>
    </row>
    <row r="1910" spans="2:6">
      <c r="B1910" s="44"/>
      <c r="D1910" s="8"/>
      <c r="E1910" s="8"/>
      <c r="F1910" s="8"/>
    </row>
    <row r="1911" spans="2:6">
      <c r="B1911" s="44"/>
      <c r="D1911" s="8"/>
      <c r="E1911" s="8"/>
      <c r="F1911" s="8"/>
    </row>
    <row r="1912" spans="2:6">
      <c r="B1912" s="44"/>
      <c r="D1912" s="8"/>
      <c r="E1912" s="8"/>
      <c r="F1912" s="8"/>
    </row>
    <row r="1913" spans="2:6">
      <c r="B1913" s="44"/>
      <c r="D1913" s="8"/>
      <c r="E1913" s="8"/>
      <c r="F1913" s="8"/>
    </row>
    <row r="1914" spans="2:6">
      <c r="B1914" s="44"/>
      <c r="D1914" s="8"/>
      <c r="E1914" s="8"/>
      <c r="F1914" s="8"/>
    </row>
    <row r="1915" spans="2:6">
      <c r="B1915" s="44"/>
      <c r="D1915" s="8"/>
      <c r="E1915" s="8"/>
      <c r="F1915" s="8"/>
    </row>
    <row r="1916" spans="2:6">
      <c r="B1916" s="44"/>
      <c r="D1916" s="8"/>
      <c r="E1916" s="8"/>
      <c r="F1916" s="8"/>
    </row>
    <row r="1917" spans="2:6">
      <c r="B1917" s="44"/>
      <c r="D1917" s="8"/>
      <c r="E1917" s="8"/>
      <c r="F1917" s="8"/>
    </row>
    <row r="1918" spans="2:6">
      <c r="B1918" s="44"/>
      <c r="D1918" s="8"/>
      <c r="E1918" s="8"/>
      <c r="F1918" s="8"/>
    </row>
    <row r="1919" spans="2:6">
      <c r="B1919" s="44"/>
      <c r="D1919" s="8"/>
      <c r="E1919" s="8"/>
      <c r="F1919" s="8"/>
    </row>
    <row r="1920" spans="2:6">
      <c r="B1920" s="44"/>
      <c r="D1920" s="8"/>
      <c r="E1920" s="8"/>
      <c r="F1920" s="8"/>
    </row>
    <row r="1921" spans="2:6">
      <c r="B1921" s="44"/>
      <c r="D1921" s="8"/>
      <c r="E1921" s="8"/>
      <c r="F1921" s="8"/>
    </row>
    <row r="1922" spans="2:6">
      <c r="B1922" s="44"/>
      <c r="D1922" s="8"/>
      <c r="E1922" s="8"/>
      <c r="F1922" s="8"/>
    </row>
    <row r="1923" spans="2:6">
      <c r="B1923" s="44"/>
      <c r="D1923" s="8"/>
      <c r="E1923" s="8"/>
      <c r="F1923" s="8"/>
    </row>
    <row r="1924" spans="2:6">
      <c r="B1924" s="44"/>
      <c r="D1924" s="8"/>
      <c r="E1924" s="8"/>
      <c r="F1924" s="8"/>
    </row>
    <row r="1925" spans="2:6">
      <c r="B1925" s="44"/>
      <c r="D1925" s="8"/>
      <c r="E1925" s="8"/>
      <c r="F1925" s="8"/>
    </row>
    <row r="1926" spans="2:6">
      <c r="B1926" s="44"/>
      <c r="D1926" s="8"/>
      <c r="E1926" s="8"/>
      <c r="F1926" s="8"/>
    </row>
    <row r="1927" spans="2:6">
      <c r="B1927" s="44"/>
      <c r="D1927" s="8"/>
      <c r="E1927" s="8"/>
      <c r="F1927" s="8"/>
    </row>
    <row r="1928" spans="2:6">
      <c r="B1928" s="44"/>
      <c r="D1928" s="8"/>
      <c r="E1928" s="8"/>
      <c r="F1928" s="8"/>
    </row>
    <row r="1929" spans="2:6">
      <c r="B1929" s="44"/>
      <c r="D1929" s="8"/>
      <c r="E1929" s="8"/>
      <c r="F1929" s="8"/>
    </row>
    <row r="1930" spans="2:6">
      <c r="B1930" s="44"/>
      <c r="D1930" s="8"/>
      <c r="E1930" s="8"/>
      <c r="F1930" s="8"/>
    </row>
    <row r="1931" spans="2:6">
      <c r="B1931" s="44"/>
      <c r="D1931" s="8"/>
      <c r="E1931" s="8"/>
      <c r="F1931" s="8"/>
    </row>
    <row r="1932" spans="2:6">
      <c r="B1932" s="44"/>
      <c r="D1932" s="8"/>
      <c r="E1932" s="8"/>
      <c r="F1932" s="8"/>
    </row>
    <row r="1933" spans="2:6">
      <c r="B1933" s="44"/>
      <c r="D1933" s="8"/>
      <c r="E1933" s="8"/>
      <c r="F1933" s="8"/>
    </row>
    <row r="1934" spans="2:6">
      <c r="B1934" s="44"/>
      <c r="D1934" s="8"/>
      <c r="E1934" s="8"/>
      <c r="F1934" s="8"/>
    </row>
    <row r="1935" spans="2:6">
      <c r="B1935" s="44"/>
      <c r="D1935" s="8"/>
      <c r="E1935" s="8"/>
      <c r="F1935" s="8"/>
    </row>
    <row r="1936" spans="2:6">
      <c r="B1936" s="44"/>
      <c r="D1936" s="8"/>
      <c r="E1936" s="8"/>
      <c r="F1936" s="8"/>
    </row>
    <row r="1937" spans="2:6">
      <c r="B1937" s="44"/>
      <c r="D1937" s="8"/>
      <c r="E1937" s="8"/>
      <c r="F1937" s="8"/>
    </row>
    <row r="1938" spans="2:6">
      <c r="B1938" s="44"/>
      <c r="D1938" s="8"/>
      <c r="E1938" s="8"/>
      <c r="F1938" s="8"/>
    </row>
    <row r="1939" spans="2:6">
      <c r="B1939" s="44"/>
      <c r="D1939" s="8"/>
      <c r="E1939" s="8"/>
      <c r="F1939" s="8"/>
    </row>
    <row r="1940" spans="2:6">
      <c r="B1940" s="44"/>
      <c r="D1940" s="8"/>
      <c r="E1940" s="8"/>
      <c r="F1940" s="8"/>
    </row>
    <row r="1941" spans="2:6">
      <c r="B1941" s="44"/>
      <c r="D1941" s="8"/>
      <c r="E1941" s="8"/>
      <c r="F1941" s="8"/>
    </row>
    <row r="1942" spans="2:6">
      <c r="B1942" s="44"/>
      <c r="D1942" s="8"/>
      <c r="E1942" s="8"/>
      <c r="F1942" s="8"/>
    </row>
    <row r="1943" spans="2:6">
      <c r="B1943" s="44"/>
      <c r="D1943" s="8"/>
      <c r="E1943" s="8"/>
      <c r="F1943" s="8"/>
    </row>
    <row r="1944" spans="2:6">
      <c r="B1944" s="44"/>
      <c r="D1944" s="8"/>
      <c r="E1944" s="8"/>
      <c r="F1944" s="8"/>
    </row>
    <row r="1945" spans="2:6">
      <c r="B1945" s="44"/>
      <c r="D1945" s="8"/>
      <c r="E1945" s="8"/>
      <c r="F1945" s="8"/>
    </row>
    <row r="1946" spans="2:6">
      <c r="B1946" s="44"/>
      <c r="D1946" s="8"/>
      <c r="E1946" s="8"/>
      <c r="F1946" s="8"/>
    </row>
    <row r="1947" spans="2:6">
      <c r="B1947" s="44"/>
      <c r="D1947" s="8"/>
      <c r="E1947" s="8"/>
      <c r="F1947" s="8"/>
    </row>
    <row r="1948" spans="2:6">
      <c r="B1948" s="44"/>
      <c r="D1948" s="8"/>
      <c r="E1948" s="8"/>
      <c r="F1948" s="8"/>
    </row>
    <row r="1949" spans="2:6">
      <c r="B1949" s="44"/>
      <c r="D1949" s="8"/>
      <c r="E1949" s="8"/>
      <c r="F1949" s="8"/>
    </row>
    <row r="1950" spans="2:6">
      <c r="B1950" s="44"/>
      <c r="D1950" s="8"/>
      <c r="E1950" s="8"/>
      <c r="F1950" s="8"/>
    </row>
    <row r="1951" spans="2:6">
      <c r="B1951" s="44"/>
      <c r="D1951" s="8"/>
      <c r="E1951" s="8"/>
      <c r="F1951" s="8"/>
    </row>
    <row r="1952" spans="2:6">
      <c r="B1952" s="44"/>
      <c r="D1952" s="8"/>
      <c r="E1952" s="8"/>
      <c r="F1952" s="8"/>
    </row>
    <row r="1953" spans="2:6">
      <c r="B1953" s="44"/>
      <c r="D1953" s="8"/>
      <c r="E1953" s="8"/>
      <c r="F1953" s="8"/>
    </row>
    <row r="1954" spans="2:6">
      <c r="B1954" s="44"/>
      <c r="D1954" s="8"/>
      <c r="E1954" s="8"/>
      <c r="F1954" s="8"/>
    </row>
    <row r="1955" spans="2:6">
      <c r="B1955" s="44"/>
      <c r="D1955" s="8"/>
      <c r="E1955" s="8"/>
      <c r="F1955" s="8"/>
    </row>
    <row r="1956" spans="2:6">
      <c r="B1956" s="44"/>
      <c r="D1956" s="8"/>
      <c r="E1956" s="8"/>
      <c r="F1956" s="8"/>
    </row>
    <row r="1957" spans="2:6">
      <c r="B1957" s="44"/>
      <c r="D1957" s="8"/>
      <c r="E1957" s="8"/>
      <c r="F1957" s="8"/>
    </row>
    <row r="1958" spans="2:6">
      <c r="B1958" s="44"/>
      <c r="D1958" s="8"/>
      <c r="E1958" s="8"/>
      <c r="F1958" s="8"/>
    </row>
    <row r="1959" spans="2:6">
      <c r="B1959" s="44"/>
      <c r="D1959" s="8"/>
      <c r="E1959" s="8"/>
      <c r="F1959" s="8"/>
    </row>
    <row r="1960" spans="2:6">
      <c r="B1960" s="44"/>
      <c r="D1960" s="8"/>
      <c r="E1960" s="8"/>
      <c r="F1960" s="8"/>
    </row>
    <row r="1961" spans="2:6">
      <c r="B1961" s="44"/>
      <c r="D1961" s="8"/>
      <c r="E1961" s="8"/>
      <c r="F1961" s="8"/>
    </row>
    <row r="1962" spans="2:6">
      <c r="B1962" s="44"/>
      <c r="D1962" s="8"/>
      <c r="E1962" s="8"/>
      <c r="F1962" s="8"/>
    </row>
    <row r="1963" spans="2:6">
      <c r="B1963" s="44"/>
      <c r="D1963" s="8"/>
      <c r="E1963" s="8"/>
      <c r="F1963" s="8"/>
    </row>
    <row r="1964" spans="2:6">
      <c r="B1964" s="44"/>
      <c r="D1964" s="8"/>
      <c r="E1964" s="8"/>
      <c r="F1964" s="8"/>
    </row>
    <row r="1965" spans="2:6">
      <c r="B1965" s="44"/>
      <c r="D1965" s="8"/>
      <c r="E1965" s="8"/>
      <c r="F1965" s="8"/>
    </row>
    <row r="1966" spans="2:6">
      <c r="B1966" s="44"/>
      <c r="D1966" s="8"/>
      <c r="E1966" s="8"/>
      <c r="F1966" s="8"/>
    </row>
    <row r="1967" spans="2:6">
      <c r="B1967" s="44"/>
      <c r="D1967" s="8"/>
      <c r="E1967" s="8"/>
      <c r="F1967" s="8"/>
    </row>
    <row r="1968" spans="2:6">
      <c r="B1968" s="44"/>
      <c r="D1968" s="8"/>
      <c r="E1968" s="8"/>
      <c r="F1968" s="8"/>
    </row>
    <row r="1969" spans="2:6">
      <c r="B1969" s="44"/>
      <c r="D1969" s="8"/>
      <c r="E1969" s="8"/>
      <c r="F1969" s="8"/>
    </row>
    <row r="1970" spans="2:6">
      <c r="B1970" s="44"/>
      <c r="D1970" s="8"/>
      <c r="E1970" s="8"/>
      <c r="F1970" s="8"/>
    </row>
    <row r="1971" spans="2:6">
      <c r="B1971" s="44"/>
      <c r="D1971" s="8"/>
      <c r="E1971" s="8"/>
      <c r="F1971" s="8"/>
    </row>
    <row r="1972" spans="2:6">
      <c r="B1972" s="44"/>
      <c r="D1972" s="8"/>
      <c r="E1972" s="8"/>
      <c r="F1972" s="8"/>
    </row>
    <row r="1973" spans="2:6">
      <c r="B1973" s="44"/>
      <c r="D1973" s="8"/>
      <c r="E1973" s="8"/>
      <c r="F1973" s="8"/>
    </row>
    <row r="1974" spans="2:6">
      <c r="B1974" s="44"/>
      <c r="D1974" s="8"/>
      <c r="E1974" s="8"/>
      <c r="F1974" s="8"/>
    </row>
    <row r="1975" spans="2:6">
      <c r="B1975" s="44"/>
      <c r="D1975" s="8"/>
      <c r="E1975" s="8"/>
      <c r="F1975" s="8"/>
    </row>
    <row r="1976" spans="2:6">
      <c r="B1976" s="44"/>
      <c r="D1976" s="8"/>
      <c r="E1976" s="8"/>
      <c r="F1976" s="8"/>
    </row>
    <row r="1977" spans="2:6">
      <c r="B1977" s="44"/>
      <c r="D1977" s="8"/>
      <c r="E1977" s="8"/>
      <c r="F1977" s="8"/>
    </row>
    <row r="1978" spans="2:6">
      <c r="B1978" s="44"/>
      <c r="D1978" s="8"/>
      <c r="E1978" s="8"/>
      <c r="F1978" s="8"/>
    </row>
    <row r="1979" spans="2:6">
      <c r="B1979" s="44"/>
      <c r="D1979" s="8"/>
      <c r="E1979" s="8"/>
      <c r="F1979" s="8"/>
    </row>
    <row r="1980" spans="2:6">
      <c r="B1980" s="44"/>
      <c r="D1980" s="8"/>
      <c r="E1980" s="8"/>
      <c r="F1980" s="8"/>
    </row>
    <row r="1981" spans="2:6">
      <c r="B1981" s="44"/>
      <c r="D1981" s="8"/>
      <c r="E1981" s="8"/>
      <c r="F1981" s="8"/>
    </row>
    <row r="1982" spans="2:6">
      <c r="B1982" s="44"/>
      <c r="D1982" s="8"/>
      <c r="E1982" s="8"/>
      <c r="F1982" s="8"/>
    </row>
    <row r="1983" spans="2:6">
      <c r="B1983" s="44"/>
      <c r="D1983" s="8"/>
      <c r="E1983" s="8"/>
      <c r="F1983" s="8"/>
    </row>
    <row r="1984" spans="2:6">
      <c r="B1984" s="44"/>
      <c r="D1984" s="8"/>
      <c r="E1984" s="8"/>
      <c r="F1984" s="8"/>
    </row>
    <row r="1985" spans="2:6">
      <c r="B1985" s="44"/>
      <c r="D1985" s="8"/>
      <c r="E1985" s="8"/>
      <c r="F1985" s="8"/>
    </row>
    <row r="1986" spans="2:6">
      <c r="B1986" s="44"/>
      <c r="D1986" s="8"/>
      <c r="E1986" s="8"/>
      <c r="F1986" s="8"/>
    </row>
    <row r="1987" spans="2:6">
      <c r="B1987" s="44"/>
      <c r="D1987" s="8"/>
      <c r="E1987" s="8"/>
      <c r="F1987" s="8"/>
    </row>
    <row r="1988" spans="2:6">
      <c r="B1988" s="44"/>
      <c r="D1988" s="8"/>
      <c r="E1988" s="8"/>
      <c r="F1988" s="8"/>
    </row>
    <row r="1989" spans="2:6">
      <c r="B1989" s="44"/>
      <c r="D1989" s="8"/>
      <c r="E1989" s="8"/>
      <c r="F1989" s="8"/>
    </row>
    <row r="1990" spans="2:6">
      <c r="B1990" s="44"/>
      <c r="D1990" s="8"/>
      <c r="E1990" s="8"/>
      <c r="F1990" s="8"/>
    </row>
    <row r="1991" spans="2:6">
      <c r="B1991" s="44"/>
      <c r="D1991" s="8"/>
      <c r="E1991" s="8"/>
      <c r="F1991" s="8"/>
    </row>
    <row r="1992" spans="2:6">
      <c r="B1992" s="44"/>
      <c r="D1992" s="8"/>
      <c r="E1992" s="8"/>
      <c r="F1992" s="8"/>
    </row>
    <row r="1993" spans="2:6">
      <c r="B1993" s="44"/>
      <c r="D1993" s="8"/>
      <c r="E1993" s="8"/>
      <c r="F1993" s="8"/>
    </row>
    <row r="1994" spans="2:6">
      <c r="B1994" s="44"/>
      <c r="D1994" s="8"/>
      <c r="E1994" s="8"/>
      <c r="F1994" s="8"/>
    </row>
    <row r="1995" spans="2:6">
      <c r="B1995" s="44"/>
      <c r="D1995" s="8"/>
      <c r="E1995" s="8"/>
      <c r="F1995" s="8"/>
    </row>
    <row r="1996" spans="2:6">
      <c r="B1996" s="44"/>
      <c r="D1996" s="8"/>
      <c r="E1996" s="8"/>
      <c r="F1996" s="8"/>
    </row>
    <row r="1997" spans="2:6">
      <c r="B1997" s="44"/>
      <c r="D1997" s="8"/>
      <c r="E1997" s="8"/>
      <c r="F1997" s="8"/>
    </row>
    <row r="1998" spans="2:6">
      <c r="B1998" s="44"/>
      <c r="D1998" s="8"/>
      <c r="E1998" s="8"/>
      <c r="F1998" s="8"/>
    </row>
    <row r="1999" spans="2:6">
      <c r="B1999" s="44"/>
      <c r="D1999" s="8"/>
      <c r="E1999" s="8"/>
      <c r="F1999" s="8"/>
    </row>
    <row r="2000" spans="2:6">
      <c r="B2000" s="44"/>
      <c r="D2000" s="8"/>
      <c r="E2000" s="8"/>
      <c r="F2000" s="8"/>
    </row>
    <row r="2001" spans="2:6">
      <c r="B2001" s="44"/>
      <c r="D2001" s="8"/>
      <c r="E2001" s="8"/>
      <c r="F2001" s="8"/>
    </row>
    <row r="2002" spans="2:6">
      <c r="B2002" s="44"/>
      <c r="D2002" s="8"/>
      <c r="E2002" s="8"/>
      <c r="F2002" s="8"/>
    </row>
    <row r="2003" spans="2:6">
      <c r="B2003" s="44"/>
      <c r="D2003" s="8"/>
      <c r="E2003" s="8"/>
      <c r="F2003" s="8"/>
    </row>
    <row r="2004" spans="2:6">
      <c r="B2004" s="44"/>
      <c r="D2004" s="8"/>
      <c r="E2004" s="8"/>
      <c r="F2004" s="8"/>
    </row>
    <row r="2005" spans="2:6">
      <c r="B2005" s="44"/>
      <c r="D2005" s="8"/>
      <c r="E2005" s="8"/>
      <c r="F2005" s="8"/>
    </row>
    <row r="2006" spans="2:6">
      <c r="B2006" s="44"/>
      <c r="D2006" s="8"/>
      <c r="E2006" s="8"/>
      <c r="F2006" s="8"/>
    </row>
    <row r="2007" spans="2:6">
      <c r="B2007" s="44"/>
      <c r="D2007" s="8"/>
      <c r="E2007" s="8"/>
      <c r="F2007" s="8"/>
    </row>
    <row r="2008" spans="2:6">
      <c r="B2008" s="44"/>
      <c r="D2008" s="8"/>
      <c r="E2008" s="8"/>
      <c r="F2008" s="8"/>
    </row>
    <row r="2009" spans="2:6">
      <c r="B2009" s="44"/>
      <c r="D2009" s="8"/>
      <c r="E2009" s="8"/>
      <c r="F2009" s="8"/>
    </row>
    <row r="2010" spans="2:6">
      <c r="B2010" s="44"/>
      <c r="D2010" s="8"/>
      <c r="E2010" s="8"/>
      <c r="F2010" s="8"/>
    </row>
    <row r="2011" spans="2:6">
      <c r="B2011" s="44"/>
      <c r="D2011" s="8"/>
      <c r="E2011" s="8"/>
      <c r="F2011" s="8"/>
    </row>
    <row r="2012" spans="2:6">
      <c r="B2012" s="44"/>
      <c r="D2012" s="8"/>
      <c r="E2012" s="8"/>
      <c r="F2012" s="8"/>
    </row>
    <row r="2013" spans="2:6">
      <c r="B2013" s="44"/>
      <c r="D2013" s="8"/>
      <c r="E2013" s="8"/>
      <c r="F2013" s="8"/>
    </row>
    <row r="2014" spans="2:6">
      <c r="B2014" s="44"/>
      <c r="D2014" s="8"/>
      <c r="E2014" s="8"/>
      <c r="F2014" s="8"/>
    </row>
    <row r="2015" spans="2:6">
      <c r="B2015" s="44"/>
      <c r="D2015" s="8"/>
      <c r="E2015" s="8"/>
      <c r="F2015" s="8"/>
    </row>
    <row r="2016" spans="2:6">
      <c r="B2016" s="44"/>
      <c r="D2016" s="8"/>
      <c r="E2016" s="8"/>
      <c r="F2016" s="8"/>
    </row>
    <row r="2017" spans="2:6">
      <c r="B2017" s="44"/>
      <c r="D2017" s="8"/>
      <c r="E2017" s="8"/>
      <c r="F2017" s="8"/>
    </row>
    <row r="2018" spans="2:6">
      <c r="B2018" s="44"/>
      <c r="D2018" s="8"/>
      <c r="E2018" s="8"/>
      <c r="F2018" s="8"/>
    </row>
    <row r="2019" spans="2:6">
      <c r="B2019" s="44"/>
      <c r="D2019" s="8"/>
      <c r="E2019" s="8"/>
      <c r="F2019" s="8"/>
    </row>
    <row r="2020" spans="2:6">
      <c r="B2020" s="44"/>
      <c r="D2020" s="8"/>
      <c r="E2020" s="8"/>
      <c r="F2020" s="8"/>
    </row>
    <row r="2021" spans="2:6">
      <c r="B2021" s="44"/>
      <c r="D2021" s="8"/>
      <c r="E2021" s="8"/>
      <c r="F2021" s="8"/>
    </row>
    <row r="2022" spans="2:6">
      <c r="B2022" s="44"/>
      <c r="D2022" s="8"/>
      <c r="E2022" s="8"/>
      <c r="F2022" s="8"/>
    </row>
    <row r="2023" spans="2:6">
      <c r="B2023" s="44"/>
      <c r="D2023" s="8"/>
      <c r="E2023" s="8"/>
      <c r="F2023" s="8"/>
    </row>
    <row r="2024" spans="2:6">
      <c r="B2024" s="44"/>
      <c r="D2024" s="8"/>
      <c r="E2024" s="8"/>
      <c r="F2024" s="8"/>
    </row>
    <row r="2025" spans="2:6">
      <c r="B2025" s="44"/>
      <c r="D2025" s="8"/>
      <c r="E2025" s="8"/>
      <c r="F2025" s="8"/>
    </row>
    <row r="2026" spans="2:6">
      <c r="B2026" s="44"/>
      <c r="D2026" s="8"/>
      <c r="E2026" s="8"/>
      <c r="F2026" s="8"/>
    </row>
    <row r="2027" spans="2:6">
      <c r="B2027" s="44"/>
      <c r="D2027" s="8"/>
      <c r="E2027" s="8"/>
      <c r="F2027" s="8"/>
    </row>
    <row r="2028" spans="2:6">
      <c r="B2028" s="44"/>
      <c r="D2028" s="8"/>
      <c r="E2028" s="8"/>
      <c r="F2028" s="8"/>
    </row>
    <row r="2029" spans="2:6">
      <c r="B2029" s="44"/>
      <c r="D2029" s="8"/>
      <c r="E2029" s="8"/>
      <c r="F2029" s="8"/>
    </row>
    <row r="2030" spans="2:6">
      <c r="B2030" s="44"/>
      <c r="D2030" s="8"/>
      <c r="E2030" s="8"/>
      <c r="F2030" s="8"/>
    </row>
    <row r="2031" spans="2:6">
      <c r="B2031" s="44"/>
      <c r="D2031" s="8"/>
      <c r="E2031" s="8"/>
      <c r="F2031" s="8"/>
    </row>
    <row r="2032" spans="2:6">
      <c r="B2032" s="44"/>
      <c r="D2032" s="8"/>
      <c r="E2032" s="8"/>
      <c r="F2032" s="8"/>
    </row>
    <row r="2033" spans="2:6">
      <c r="B2033" s="44"/>
      <c r="D2033" s="8"/>
      <c r="E2033" s="8"/>
      <c r="F2033" s="8"/>
    </row>
    <row r="2034" spans="2:6">
      <c r="B2034" s="44"/>
      <c r="D2034" s="8"/>
      <c r="E2034" s="8"/>
      <c r="F2034" s="8"/>
    </row>
    <row r="2035" spans="2:6">
      <c r="B2035" s="44"/>
      <c r="D2035" s="8"/>
      <c r="E2035" s="8"/>
      <c r="F2035" s="8"/>
    </row>
    <row r="2036" spans="2:6">
      <c r="B2036" s="44"/>
      <c r="D2036" s="8"/>
      <c r="E2036" s="8"/>
      <c r="F2036" s="8"/>
    </row>
    <row r="2037" spans="2:6">
      <c r="B2037" s="44"/>
      <c r="D2037" s="8"/>
      <c r="E2037" s="8"/>
      <c r="F2037" s="8"/>
    </row>
    <row r="2038" spans="2:6">
      <c r="B2038" s="44"/>
      <c r="D2038" s="8"/>
      <c r="E2038" s="8"/>
      <c r="F2038" s="8"/>
    </row>
    <row r="2039" spans="2:6">
      <c r="B2039" s="44"/>
      <c r="D2039" s="8"/>
      <c r="E2039" s="8"/>
      <c r="F2039" s="8"/>
    </row>
    <row r="2040" spans="2:6">
      <c r="B2040" s="44"/>
      <c r="D2040" s="8"/>
      <c r="E2040" s="8"/>
      <c r="F2040" s="8"/>
    </row>
    <row r="2041" spans="2:6">
      <c r="B2041" s="44"/>
      <c r="D2041" s="8"/>
      <c r="E2041" s="8"/>
      <c r="F2041" s="8"/>
    </row>
    <row r="2042" spans="2:6">
      <c r="B2042" s="44"/>
      <c r="D2042" s="8"/>
      <c r="E2042" s="8"/>
      <c r="F2042" s="8"/>
    </row>
    <row r="2043" spans="2:6">
      <c r="B2043" s="44"/>
      <c r="D2043" s="8"/>
      <c r="E2043" s="8"/>
      <c r="F2043" s="8"/>
    </row>
    <row r="2044" spans="2:6">
      <c r="B2044" s="44"/>
      <c r="D2044" s="8"/>
      <c r="E2044" s="8"/>
      <c r="F2044" s="8"/>
    </row>
    <row r="2045" spans="2:6">
      <c r="B2045" s="44"/>
      <c r="D2045" s="8"/>
      <c r="E2045" s="8"/>
      <c r="F2045" s="8"/>
    </row>
    <row r="2046" spans="2:6">
      <c r="B2046" s="44"/>
      <c r="D2046" s="8"/>
      <c r="E2046" s="8"/>
      <c r="F2046" s="8"/>
    </row>
    <row r="2047" spans="2:6">
      <c r="B2047" s="44"/>
      <c r="D2047" s="8"/>
      <c r="E2047" s="8"/>
      <c r="F2047" s="8"/>
    </row>
    <row r="2048" spans="2:6">
      <c r="B2048" s="44"/>
      <c r="D2048" s="8"/>
      <c r="E2048" s="8"/>
      <c r="F2048" s="8"/>
    </row>
    <row r="2049" spans="2:6">
      <c r="B2049" s="44"/>
      <c r="D2049" s="8"/>
      <c r="E2049" s="8"/>
      <c r="F2049" s="8"/>
    </row>
    <row r="2050" spans="2:6">
      <c r="B2050" s="44"/>
      <c r="D2050" s="8"/>
      <c r="E2050" s="8"/>
      <c r="F2050" s="8"/>
    </row>
    <row r="2051" spans="2:6">
      <c r="B2051" s="44"/>
      <c r="D2051" s="8"/>
      <c r="E2051" s="8"/>
      <c r="F2051" s="8"/>
    </row>
    <row r="2052" spans="2:6">
      <c r="B2052" s="44"/>
      <c r="D2052" s="8"/>
      <c r="E2052" s="8"/>
      <c r="F2052" s="8"/>
    </row>
    <row r="2053" spans="2:6">
      <c r="B2053" s="44"/>
      <c r="D2053" s="8"/>
      <c r="E2053" s="8"/>
      <c r="F2053" s="8"/>
    </row>
    <row r="2054" spans="2:6">
      <c r="B2054" s="44"/>
      <c r="D2054" s="8"/>
      <c r="E2054" s="8"/>
      <c r="F2054" s="8"/>
    </row>
    <row r="2055" spans="2:6">
      <c r="B2055" s="44"/>
      <c r="D2055" s="8"/>
      <c r="E2055" s="8"/>
      <c r="F2055" s="8"/>
    </row>
    <row r="2056" spans="2:6">
      <c r="B2056" s="44"/>
      <c r="D2056" s="8"/>
      <c r="E2056" s="8"/>
      <c r="F2056" s="8"/>
    </row>
    <row r="2057" spans="2:6">
      <c r="B2057" s="44"/>
      <c r="D2057" s="8"/>
      <c r="E2057" s="8"/>
      <c r="F2057" s="8"/>
    </row>
    <row r="2058" spans="2:6">
      <c r="B2058" s="44"/>
      <c r="D2058" s="8"/>
      <c r="E2058" s="8"/>
      <c r="F2058" s="8"/>
    </row>
    <row r="2059" spans="2:6">
      <c r="B2059" s="44"/>
      <c r="D2059" s="8"/>
      <c r="E2059" s="8"/>
      <c r="F2059" s="8"/>
    </row>
    <row r="2060" spans="2:6">
      <c r="B2060" s="44"/>
      <c r="D2060" s="8"/>
      <c r="E2060" s="8"/>
      <c r="F2060" s="8"/>
    </row>
    <row r="2061" spans="2:6">
      <c r="B2061" s="44"/>
      <c r="D2061" s="8"/>
      <c r="E2061" s="8"/>
      <c r="F2061" s="8"/>
    </row>
    <row r="2062" spans="2:6">
      <c r="B2062" s="44"/>
      <c r="D2062" s="8"/>
      <c r="E2062" s="8"/>
      <c r="F2062" s="8"/>
    </row>
    <row r="2063" spans="2:6">
      <c r="B2063" s="44"/>
      <c r="D2063" s="8"/>
      <c r="E2063" s="8"/>
      <c r="F2063" s="8"/>
    </row>
    <row r="2064" spans="2:6">
      <c r="B2064" s="44"/>
      <c r="D2064" s="8"/>
      <c r="E2064" s="8"/>
      <c r="F2064" s="8"/>
    </row>
    <row r="2065" spans="2:6">
      <c r="B2065" s="44"/>
      <c r="D2065" s="8"/>
      <c r="E2065" s="8"/>
      <c r="F2065" s="8"/>
    </row>
    <row r="2066" spans="2:6">
      <c r="B2066" s="44"/>
      <c r="D2066" s="8"/>
      <c r="E2066" s="8"/>
      <c r="F2066" s="8"/>
    </row>
    <row r="2067" spans="2:6">
      <c r="B2067" s="44"/>
      <c r="D2067" s="8"/>
      <c r="E2067" s="8"/>
      <c r="F2067" s="8"/>
    </row>
    <row r="2068" spans="2:6">
      <c r="B2068" s="44"/>
      <c r="D2068" s="8"/>
      <c r="E2068" s="8"/>
      <c r="F2068" s="8"/>
    </row>
    <row r="2069" spans="2:6">
      <c r="B2069" s="44"/>
      <c r="D2069" s="8"/>
      <c r="E2069" s="8"/>
      <c r="F2069" s="8"/>
    </row>
    <row r="2070" spans="2:6">
      <c r="B2070" s="44"/>
      <c r="D2070" s="8"/>
      <c r="E2070" s="8"/>
      <c r="F2070" s="8"/>
    </row>
    <row r="2071" spans="2:6">
      <c r="B2071" s="44"/>
      <c r="D2071" s="8"/>
      <c r="E2071" s="8"/>
      <c r="F2071" s="8"/>
    </row>
    <row r="2072" spans="2:6">
      <c r="B2072" s="44"/>
      <c r="D2072" s="8"/>
      <c r="E2072" s="8"/>
      <c r="F2072" s="8"/>
    </row>
    <row r="2073" spans="2:6">
      <c r="B2073" s="44"/>
      <c r="D2073" s="8"/>
      <c r="E2073" s="8"/>
      <c r="F2073" s="8"/>
    </row>
    <row r="2074" spans="2:6">
      <c r="B2074" s="44"/>
      <c r="D2074" s="8"/>
      <c r="E2074" s="8"/>
      <c r="F2074" s="8"/>
    </row>
    <row r="2075" spans="2:6">
      <c r="B2075" s="44"/>
      <c r="D2075" s="8"/>
      <c r="E2075" s="8"/>
      <c r="F2075" s="8"/>
    </row>
    <row r="2076" spans="2:6">
      <c r="B2076" s="44"/>
      <c r="D2076" s="8"/>
      <c r="E2076" s="8"/>
      <c r="F2076" s="8"/>
    </row>
    <row r="2077" spans="2:6">
      <c r="B2077" s="44"/>
      <c r="D2077" s="8"/>
      <c r="E2077" s="8"/>
      <c r="F2077" s="8"/>
    </row>
    <row r="2078" spans="2:6">
      <c r="B2078" s="44"/>
      <c r="D2078" s="8"/>
      <c r="E2078" s="8"/>
      <c r="F2078" s="8"/>
    </row>
    <row r="2079" spans="2:6">
      <c r="B2079" s="44"/>
      <c r="D2079" s="8"/>
      <c r="E2079" s="8"/>
      <c r="F2079" s="8"/>
    </row>
    <row r="2080" spans="2:6">
      <c r="B2080" s="44"/>
      <c r="D2080" s="8"/>
      <c r="E2080" s="8"/>
      <c r="F2080" s="8"/>
    </row>
    <row r="2081" spans="2:6">
      <c r="B2081" s="44"/>
      <c r="D2081" s="8"/>
      <c r="E2081" s="8"/>
      <c r="F2081" s="8"/>
    </row>
    <row r="2082" spans="2:6">
      <c r="B2082" s="44"/>
      <c r="D2082" s="8"/>
      <c r="E2082" s="8"/>
      <c r="F2082" s="8"/>
    </row>
    <row r="2083" spans="2:6">
      <c r="B2083" s="44"/>
      <c r="D2083" s="8"/>
      <c r="E2083" s="8"/>
      <c r="F2083" s="8"/>
    </row>
    <row r="2084" spans="2:6">
      <c r="B2084" s="44"/>
      <c r="D2084" s="8"/>
      <c r="E2084" s="8"/>
      <c r="F2084" s="8"/>
    </row>
    <row r="2085" spans="2:6">
      <c r="B2085" s="44"/>
      <c r="D2085" s="8"/>
      <c r="E2085" s="8"/>
      <c r="F2085" s="8"/>
    </row>
    <row r="2086" spans="2:6">
      <c r="B2086" s="44"/>
      <c r="D2086" s="8"/>
      <c r="E2086" s="8"/>
      <c r="F2086" s="8"/>
    </row>
    <row r="2087" spans="2:6">
      <c r="B2087" s="44"/>
      <c r="D2087" s="8"/>
      <c r="E2087" s="8"/>
      <c r="F2087" s="8"/>
    </row>
    <row r="2088" spans="2:6">
      <c r="B2088" s="44"/>
      <c r="D2088" s="8"/>
      <c r="E2088" s="8"/>
      <c r="F2088" s="8"/>
    </row>
    <row r="2089" spans="2:6">
      <c r="B2089" s="44"/>
      <c r="D2089" s="8"/>
      <c r="E2089" s="8"/>
      <c r="F2089" s="8"/>
    </row>
    <row r="2090" spans="2:6">
      <c r="B2090" s="44"/>
      <c r="D2090" s="8"/>
      <c r="E2090" s="8"/>
      <c r="F2090" s="8"/>
    </row>
    <row r="2091" spans="2:6">
      <c r="B2091" s="44"/>
      <c r="D2091" s="8"/>
      <c r="E2091" s="8"/>
      <c r="F2091" s="8"/>
    </row>
    <row r="2092" spans="2:6">
      <c r="B2092" s="44"/>
      <c r="D2092" s="8"/>
      <c r="E2092" s="8"/>
      <c r="F2092" s="8"/>
    </row>
    <row r="2093" spans="2:6">
      <c r="B2093" s="44"/>
      <c r="D2093" s="8"/>
      <c r="E2093" s="8"/>
      <c r="F2093" s="8"/>
    </row>
    <row r="2094" spans="2:6">
      <c r="B2094" s="44"/>
      <c r="D2094" s="8"/>
      <c r="E2094" s="8"/>
      <c r="F2094" s="8"/>
    </row>
    <row r="2095" spans="2:6">
      <c r="B2095" s="44"/>
      <c r="D2095" s="8"/>
      <c r="E2095" s="8"/>
      <c r="F2095" s="8"/>
    </row>
    <row r="2096" spans="2:6">
      <c r="B2096" s="44"/>
      <c r="D2096" s="8"/>
      <c r="E2096" s="8"/>
      <c r="F2096" s="8"/>
    </row>
    <row r="2097" spans="2:6">
      <c r="B2097" s="44"/>
      <c r="D2097" s="8"/>
      <c r="E2097" s="8"/>
      <c r="F2097" s="8"/>
    </row>
    <row r="2098" spans="2:6">
      <c r="B2098" s="44"/>
      <c r="D2098" s="8"/>
      <c r="E2098" s="8"/>
      <c r="F2098" s="8"/>
    </row>
    <row r="2099" spans="2:6">
      <c r="B2099" s="44"/>
      <c r="D2099" s="8"/>
      <c r="E2099" s="8"/>
      <c r="F2099" s="8"/>
    </row>
    <row r="2100" spans="2:6">
      <c r="B2100" s="44"/>
      <c r="D2100" s="8"/>
      <c r="E2100" s="8"/>
      <c r="F2100" s="8"/>
    </row>
    <row r="2101" spans="2:6">
      <c r="B2101" s="44"/>
      <c r="D2101" s="8"/>
      <c r="E2101" s="8"/>
      <c r="F2101" s="8"/>
    </row>
    <row r="2102" spans="2:6">
      <c r="B2102" s="44"/>
      <c r="D2102" s="8"/>
      <c r="E2102" s="8"/>
      <c r="F2102" s="8"/>
    </row>
    <row r="2103" spans="2:6">
      <c r="B2103" s="44"/>
      <c r="D2103" s="8"/>
      <c r="E2103" s="8"/>
      <c r="F2103" s="8"/>
    </row>
    <row r="2104" spans="2:6">
      <c r="B2104" s="44"/>
      <c r="D2104" s="8"/>
      <c r="E2104" s="8"/>
      <c r="F2104" s="8"/>
    </row>
    <row r="2105" spans="2:6">
      <c r="B2105" s="44"/>
      <c r="D2105" s="8"/>
      <c r="E2105" s="8"/>
      <c r="F2105" s="8"/>
    </row>
    <row r="2106" spans="2:6">
      <c r="B2106" s="44"/>
      <c r="D2106" s="8"/>
      <c r="E2106" s="8"/>
      <c r="F2106" s="8"/>
    </row>
    <row r="2107" spans="2:6">
      <c r="B2107" s="44"/>
      <c r="D2107" s="8"/>
      <c r="E2107" s="8"/>
      <c r="F2107" s="8"/>
    </row>
    <row r="2108" spans="2:6">
      <c r="B2108" s="44"/>
      <c r="D2108" s="8"/>
      <c r="E2108" s="8"/>
      <c r="F2108" s="8"/>
    </row>
    <row r="2109" spans="2:6">
      <c r="B2109" s="44"/>
      <c r="D2109" s="8"/>
      <c r="E2109" s="8"/>
      <c r="F2109" s="8"/>
    </row>
    <row r="2110" spans="2:6">
      <c r="B2110" s="44"/>
      <c r="D2110" s="8"/>
      <c r="E2110" s="8"/>
      <c r="F2110" s="8"/>
    </row>
    <row r="2111" spans="2:6">
      <c r="B2111" s="44"/>
      <c r="D2111" s="8"/>
      <c r="E2111" s="8"/>
      <c r="F2111" s="8"/>
    </row>
    <row r="2112" spans="2:6">
      <c r="B2112" s="44"/>
      <c r="D2112" s="8"/>
      <c r="E2112" s="8"/>
      <c r="F2112" s="8"/>
    </row>
    <row r="2113" spans="2:6">
      <c r="B2113" s="44"/>
      <c r="D2113" s="8"/>
      <c r="E2113" s="8"/>
      <c r="F2113" s="8"/>
    </row>
    <row r="2114" spans="2:6">
      <c r="B2114" s="44"/>
      <c r="D2114" s="8"/>
      <c r="E2114" s="8"/>
      <c r="F2114" s="8"/>
    </row>
    <row r="2115" spans="2:6">
      <c r="B2115" s="44"/>
      <c r="D2115" s="8"/>
      <c r="E2115" s="8"/>
      <c r="F2115" s="8"/>
    </row>
    <row r="2116" spans="2:6">
      <c r="B2116" s="44"/>
      <c r="D2116" s="8"/>
      <c r="E2116" s="8"/>
      <c r="F2116" s="8"/>
    </row>
    <row r="2117" spans="2:6">
      <c r="B2117" s="44"/>
      <c r="D2117" s="8"/>
      <c r="E2117" s="8"/>
      <c r="F2117" s="8"/>
    </row>
    <row r="2118" spans="2:6">
      <c r="B2118" s="44"/>
      <c r="D2118" s="8"/>
      <c r="E2118" s="8"/>
      <c r="F2118" s="8"/>
    </row>
    <row r="2119" spans="2:6">
      <c r="B2119" s="44"/>
      <c r="D2119" s="8"/>
      <c r="E2119" s="8"/>
      <c r="F2119" s="8"/>
    </row>
    <row r="2120" spans="2:6">
      <c r="B2120" s="44"/>
      <c r="D2120" s="8"/>
      <c r="E2120" s="8"/>
      <c r="F2120" s="8"/>
    </row>
    <row r="2121" spans="2:6">
      <c r="B2121" s="44"/>
      <c r="D2121" s="8"/>
      <c r="E2121" s="8"/>
      <c r="F2121" s="8"/>
    </row>
    <row r="2122" spans="2:6">
      <c r="B2122" s="44"/>
      <c r="D2122" s="8"/>
      <c r="E2122" s="8"/>
      <c r="F2122" s="8"/>
    </row>
    <row r="2123" spans="2:6">
      <c r="B2123" s="44"/>
      <c r="D2123" s="8"/>
      <c r="E2123" s="8"/>
      <c r="F2123" s="8"/>
    </row>
    <row r="2124" spans="2:6">
      <c r="B2124" s="44"/>
      <c r="D2124" s="8"/>
      <c r="E2124" s="8"/>
      <c r="F2124" s="8"/>
    </row>
    <row r="2125" spans="2:6">
      <c r="B2125" s="44"/>
      <c r="D2125" s="8"/>
      <c r="E2125" s="8"/>
      <c r="F2125" s="8"/>
    </row>
    <row r="2126" spans="2:6">
      <c r="B2126" s="44"/>
      <c r="D2126" s="8"/>
      <c r="E2126" s="8"/>
      <c r="F2126" s="8"/>
    </row>
    <row r="2127" spans="2:6">
      <c r="B2127" s="44"/>
      <c r="D2127" s="8"/>
      <c r="E2127" s="8"/>
      <c r="F2127" s="8"/>
    </row>
    <row r="2128" spans="2:6">
      <c r="B2128" s="44"/>
      <c r="D2128" s="8"/>
      <c r="E2128" s="8"/>
      <c r="F2128" s="8"/>
    </row>
    <row r="2129" spans="2:6">
      <c r="B2129" s="44"/>
      <c r="D2129" s="8"/>
      <c r="E2129" s="8"/>
      <c r="F2129" s="8"/>
    </row>
    <row r="2130" spans="2:6">
      <c r="B2130" s="44"/>
      <c r="D2130" s="8"/>
      <c r="E2130" s="8"/>
      <c r="F2130" s="8"/>
    </row>
    <row r="2131" spans="2:6">
      <c r="B2131" s="44"/>
      <c r="D2131" s="8"/>
      <c r="E2131" s="8"/>
      <c r="F2131" s="8"/>
    </row>
    <row r="2132" spans="2:6">
      <c r="B2132" s="44"/>
      <c r="D2132" s="8"/>
      <c r="E2132" s="8"/>
      <c r="F2132" s="8"/>
    </row>
    <row r="2133" spans="2:6">
      <c r="B2133" s="44"/>
      <c r="D2133" s="8"/>
      <c r="E2133" s="8"/>
      <c r="F2133" s="8"/>
    </row>
    <row r="2134" spans="2:6">
      <c r="B2134" s="44"/>
      <c r="D2134" s="8"/>
      <c r="E2134" s="8"/>
      <c r="F2134" s="8"/>
    </row>
    <row r="2135" spans="2:6">
      <c r="B2135" s="44"/>
      <c r="D2135" s="8"/>
      <c r="E2135" s="8"/>
      <c r="F2135" s="8"/>
    </row>
    <row r="2136" spans="2:6">
      <c r="B2136" s="44"/>
      <c r="D2136" s="8"/>
      <c r="E2136" s="8"/>
      <c r="F2136" s="8"/>
    </row>
    <row r="2137" spans="2:6">
      <c r="B2137" s="44"/>
      <c r="D2137" s="8"/>
      <c r="E2137" s="8"/>
      <c r="F2137" s="8"/>
    </row>
    <row r="2138" spans="2:6">
      <c r="B2138" s="44"/>
      <c r="D2138" s="8"/>
      <c r="E2138" s="8"/>
      <c r="F2138" s="8"/>
    </row>
    <row r="2139" spans="2:6">
      <c r="B2139" s="44"/>
      <c r="D2139" s="8"/>
      <c r="E2139" s="8"/>
      <c r="F2139" s="8"/>
    </row>
    <row r="2140" spans="2:6">
      <c r="B2140" s="44"/>
      <c r="D2140" s="8"/>
      <c r="E2140" s="8"/>
      <c r="F2140" s="8"/>
    </row>
    <row r="2141" spans="2:6">
      <c r="B2141" s="44"/>
      <c r="D2141" s="8"/>
      <c r="E2141" s="8"/>
      <c r="F2141" s="8"/>
    </row>
    <row r="2142" spans="2:6">
      <c r="B2142" s="44"/>
      <c r="D2142" s="8"/>
      <c r="E2142" s="8"/>
      <c r="F2142" s="8"/>
    </row>
    <row r="2143" spans="2:6">
      <c r="B2143" s="44"/>
      <c r="D2143" s="8"/>
      <c r="E2143" s="8"/>
      <c r="F2143" s="8"/>
    </row>
    <row r="2144" spans="2:6">
      <c r="B2144" s="44"/>
      <c r="D2144" s="8"/>
      <c r="E2144" s="8"/>
      <c r="F2144" s="8"/>
    </row>
    <row r="2145" spans="2:6">
      <c r="B2145" s="44"/>
      <c r="D2145" s="8"/>
      <c r="E2145" s="8"/>
      <c r="F2145" s="8"/>
    </row>
    <row r="2146" spans="2:6">
      <c r="B2146" s="44"/>
      <c r="D2146" s="8"/>
      <c r="E2146" s="8"/>
      <c r="F2146" s="8"/>
    </row>
    <row r="2147" spans="2:6">
      <c r="B2147" s="44"/>
      <c r="D2147" s="8"/>
      <c r="E2147" s="8"/>
      <c r="F2147" s="8"/>
    </row>
    <row r="2148" spans="2:6">
      <c r="B2148" s="44"/>
      <c r="D2148" s="8"/>
      <c r="E2148" s="8"/>
      <c r="F2148" s="8"/>
    </row>
    <row r="2149" spans="2:6">
      <c r="B2149" s="44"/>
      <c r="D2149" s="8"/>
      <c r="E2149" s="8"/>
      <c r="F2149" s="8"/>
    </row>
    <row r="2150" spans="2:6">
      <c r="B2150" s="44"/>
      <c r="D2150" s="8"/>
      <c r="E2150" s="8"/>
      <c r="F2150" s="8"/>
    </row>
    <row r="2151" spans="2:6">
      <c r="B2151" s="44"/>
      <c r="D2151" s="8"/>
      <c r="E2151" s="8"/>
      <c r="F2151" s="8"/>
    </row>
    <row r="2152" spans="2:6">
      <c r="B2152" s="44"/>
      <c r="D2152" s="8"/>
      <c r="E2152" s="8"/>
      <c r="F2152" s="8"/>
    </row>
    <row r="2153" spans="2:6">
      <c r="B2153" s="44"/>
      <c r="D2153" s="8"/>
      <c r="E2153" s="8"/>
      <c r="F2153" s="8"/>
    </row>
    <row r="2154" spans="2:6">
      <c r="B2154" s="44"/>
      <c r="D2154" s="8"/>
      <c r="E2154" s="8"/>
      <c r="F2154" s="8"/>
    </row>
    <row r="2155" spans="2:6">
      <c r="B2155" s="44"/>
      <c r="D2155" s="8"/>
      <c r="E2155" s="8"/>
      <c r="F2155" s="8"/>
    </row>
    <row r="2156" spans="2:6">
      <c r="B2156" s="44"/>
      <c r="D2156" s="8"/>
      <c r="E2156" s="8"/>
      <c r="F2156" s="8"/>
    </row>
    <row r="2157" spans="2:6">
      <c r="B2157" s="44"/>
      <c r="D2157" s="8"/>
      <c r="E2157" s="8"/>
      <c r="F2157" s="8"/>
    </row>
    <row r="2158" spans="2:6">
      <c r="B2158" s="44"/>
      <c r="D2158" s="8"/>
      <c r="E2158" s="8"/>
      <c r="F2158" s="8"/>
    </row>
    <row r="2159" spans="2:6">
      <c r="B2159" s="44"/>
      <c r="D2159" s="8"/>
      <c r="E2159" s="8"/>
      <c r="F2159" s="8"/>
    </row>
    <row r="2160" spans="2:6">
      <c r="B2160" s="44"/>
      <c r="D2160" s="8"/>
      <c r="E2160" s="8"/>
      <c r="F2160" s="8"/>
    </row>
    <row r="2161" spans="2:6">
      <c r="B2161" s="44"/>
      <c r="D2161" s="8"/>
      <c r="E2161" s="8"/>
      <c r="F2161" s="8"/>
    </row>
    <row r="2162" spans="2:6">
      <c r="B2162" s="44"/>
      <c r="D2162" s="8"/>
      <c r="E2162" s="8"/>
      <c r="F2162" s="8"/>
    </row>
    <row r="2163" spans="2:6">
      <c r="B2163" s="44"/>
      <c r="D2163" s="8"/>
      <c r="E2163" s="8"/>
      <c r="F2163" s="8"/>
    </row>
    <row r="2164" spans="2:6">
      <c r="B2164" s="44"/>
      <c r="D2164" s="8"/>
      <c r="E2164" s="8"/>
      <c r="F2164" s="8"/>
    </row>
    <row r="2165" spans="2:6">
      <c r="B2165" s="44"/>
      <c r="D2165" s="8"/>
      <c r="E2165" s="8"/>
      <c r="F2165" s="8"/>
    </row>
    <row r="2166" spans="2:6">
      <c r="B2166" s="44"/>
      <c r="D2166" s="8"/>
      <c r="E2166" s="8"/>
      <c r="F2166" s="8"/>
    </row>
    <row r="2167" spans="2:6">
      <c r="B2167" s="44"/>
      <c r="D2167" s="8"/>
      <c r="E2167" s="8"/>
      <c r="F2167" s="8"/>
    </row>
    <row r="2168" spans="2:6">
      <c r="B2168" s="44"/>
      <c r="D2168" s="8"/>
      <c r="E2168" s="8"/>
      <c r="F2168" s="8"/>
    </row>
    <row r="2169" spans="2:6">
      <c r="B2169" s="44"/>
      <c r="D2169" s="8"/>
      <c r="E2169" s="8"/>
      <c r="F2169" s="8"/>
    </row>
    <row r="2170" spans="2:6">
      <c r="B2170" s="44"/>
      <c r="D2170" s="8"/>
      <c r="E2170" s="8"/>
      <c r="F2170" s="8"/>
    </row>
    <row r="2171" spans="2:6">
      <c r="B2171" s="44"/>
      <c r="D2171" s="8"/>
      <c r="E2171" s="8"/>
      <c r="F2171" s="8"/>
    </row>
    <row r="2172" spans="2:6">
      <c r="B2172" s="44"/>
      <c r="D2172" s="8"/>
      <c r="E2172" s="8"/>
      <c r="F2172" s="8"/>
    </row>
    <row r="2173" spans="2:6">
      <c r="B2173" s="44"/>
      <c r="D2173" s="8"/>
      <c r="E2173" s="8"/>
      <c r="F2173" s="8"/>
    </row>
    <row r="2174" spans="2:6">
      <c r="B2174" s="44"/>
      <c r="D2174" s="8"/>
      <c r="E2174" s="8"/>
      <c r="F2174" s="8"/>
    </row>
    <row r="2175" spans="2:6">
      <c r="B2175" s="44"/>
      <c r="D2175" s="8"/>
      <c r="E2175" s="8"/>
      <c r="F2175" s="8"/>
    </row>
    <row r="2176" spans="2:6">
      <c r="B2176" s="44"/>
      <c r="D2176" s="8"/>
      <c r="E2176" s="8"/>
      <c r="F2176" s="8"/>
    </row>
    <row r="2177" spans="2:6">
      <c r="B2177" s="44"/>
      <c r="D2177" s="8"/>
      <c r="E2177" s="8"/>
      <c r="F2177" s="8"/>
    </row>
    <row r="2178" spans="2:6">
      <c r="B2178" s="44"/>
      <c r="D2178" s="8"/>
      <c r="E2178" s="8"/>
      <c r="F2178" s="8"/>
    </row>
    <row r="2179" spans="2:6">
      <c r="B2179" s="44"/>
      <c r="D2179" s="8"/>
      <c r="E2179" s="8"/>
      <c r="F2179" s="8"/>
    </row>
    <row r="2180" spans="2:6">
      <c r="B2180" s="44"/>
      <c r="D2180" s="8"/>
      <c r="E2180" s="8"/>
      <c r="F2180" s="8"/>
    </row>
    <row r="2181" spans="2:6">
      <c r="B2181" s="44"/>
      <c r="D2181" s="8"/>
      <c r="E2181" s="8"/>
      <c r="F2181" s="8"/>
    </row>
    <row r="2182" spans="2:6">
      <c r="B2182" s="44"/>
      <c r="D2182" s="8"/>
      <c r="E2182" s="8"/>
      <c r="F2182" s="8"/>
    </row>
    <row r="2183" spans="2:6">
      <c r="B2183" s="44"/>
      <c r="D2183" s="8"/>
      <c r="E2183" s="8"/>
      <c r="F2183" s="8"/>
    </row>
    <row r="2184" spans="2:6">
      <c r="B2184" s="44"/>
      <c r="D2184" s="8"/>
      <c r="E2184" s="8"/>
      <c r="F2184" s="8"/>
    </row>
    <row r="2185" spans="2:6">
      <c r="B2185" s="44"/>
      <c r="D2185" s="8"/>
      <c r="E2185" s="8"/>
      <c r="F2185" s="8"/>
    </row>
    <row r="2186" spans="2:6">
      <c r="B2186" s="44"/>
      <c r="D2186" s="8"/>
      <c r="E2186" s="8"/>
      <c r="F2186" s="8"/>
    </row>
    <row r="2187" spans="2:6">
      <c r="B2187" s="44"/>
      <c r="D2187" s="8"/>
      <c r="E2187" s="8"/>
      <c r="F2187" s="8"/>
    </row>
    <row r="2188" spans="2:6">
      <c r="B2188" s="44"/>
      <c r="D2188" s="8"/>
      <c r="E2188" s="8"/>
      <c r="F2188" s="8"/>
    </row>
    <row r="2189" spans="2:6">
      <c r="B2189" s="44"/>
      <c r="D2189" s="8"/>
      <c r="E2189" s="8"/>
      <c r="F2189" s="8"/>
    </row>
    <row r="2190" spans="2:6">
      <c r="B2190" s="44"/>
      <c r="D2190" s="8"/>
      <c r="E2190" s="8"/>
      <c r="F2190" s="8"/>
    </row>
    <row r="2191" spans="2:6">
      <c r="B2191" s="44"/>
      <c r="D2191" s="8"/>
      <c r="E2191" s="8"/>
      <c r="F2191" s="8"/>
    </row>
    <row r="2192" spans="2:6">
      <c r="B2192" s="44"/>
      <c r="D2192" s="8"/>
      <c r="E2192" s="8"/>
      <c r="F2192" s="8"/>
    </row>
    <row r="2193" spans="2:6">
      <c r="B2193" s="44"/>
      <c r="D2193" s="8"/>
      <c r="E2193" s="8"/>
      <c r="F2193" s="8"/>
    </row>
    <row r="2194" spans="2:6">
      <c r="B2194" s="44"/>
      <c r="D2194" s="8"/>
      <c r="E2194" s="8"/>
      <c r="F2194" s="8"/>
    </row>
    <row r="2195" spans="2:6">
      <c r="B2195" s="44"/>
      <c r="D2195" s="8"/>
      <c r="E2195" s="8"/>
      <c r="F2195" s="8"/>
    </row>
    <row r="2196" spans="2:6">
      <c r="B2196" s="44"/>
      <c r="D2196" s="8"/>
      <c r="E2196" s="8"/>
      <c r="F2196" s="8"/>
    </row>
    <row r="2197" spans="2:6">
      <c r="B2197" s="44"/>
      <c r="D2197" s="8"/>
      <c r="E2197" s="8"/>
      <c r="F2197" s="8"/>
    </row>
    <row r="2198" spans="2:6">
      <c r="B2198" s="44"/>
      <c r="D2198" s="8"/>
      <c r="E2198" s="8"/>
      <c r="F2198" s="8"/>
    </row>
    <row r="2199" spans="2:6">
      <c r="B2199" s="44"/>
      <c r="D2199" s="8"/>
      <c r="E2199" s="8"/>
      <c r="F2199" s="8"/>
    </row>
    <row r="2200" spans="2:6">
      <c r="B2200" s="44"/>
      <c r="D2200" s="8"/>
      <c r="E2200" s="8"/>
      <c r="F2200" s="8"/>
    </row>
    <row r="2201" spans="2:6">
      <c r="B2201" s="44"/>
      <c r="D2201" s="8"/>
      <c r="E2201" s="8"/>
      <c r="F2201" s="8"/>
    </row>
    <row r="2202" spans="2:6">
      <c r="B2202" s="44"/>
      <c r="D2202" s="8"/>
      <c r="E2202" s="8"/>
      <c r="F2202" s="8"/>
    </row>
    <row r="2203" spans="2:6">
      <c r="B2203" s="44"/>
      <c r="D2203" s="8"/>
      <c r="E2203" s="8"/>
      <c r="F2203" s="8"/>
    </row>
    <row r="2204" spans="2:6">
      <c r="B2204" s="44"/>
      <c r="D2204" s="8"/>
      <c r="E2204" s="8"/>
      <c r="F2204" s="8"/>
    </row>
    <row r="2205" spans="2:6">
      <c r="B2205" s="44"/>
      <c r="D2205" s="8"/>
      <c r="E2205" s="8"/>
      <c r="F2205" s="8"/>
    </row>
    <row r="2206" spans="2:6">
      <c r="B2206" s="44"/>
      <c r="D2206" s="8"/>
      <c r="E2206" s="8"/>
      <c r="F2206" s="8"/>
    </row>
    <row r="2207" spans="2:6">
      <c r="B2207" s="44"/>
      <c r="D2207" s="8"/>
      <c r="E2207" s="8"/>
      <c r="F2207" s="8"/>
    </row>
    <row r="2208" spans="2:6">
      <c r="B2208" s="44"/>
      <c r="D2208" s="8"/>
      <c r="E2208" s="8"/>
      <c r="F2208" s="8"/>
    </row>
    <row r="2209" spans="2:6">
      <c r="B2209" s="44"/>
      <c r="D2209" s="8"/>
      <c r="E2209" s="8"/>
      <c r="F2209" s="8"/>
    </row>
    <row r="2210" spans="2:6">
      <c r="B2210" s="44"/>
      <c r="D2210" s="8"/>
      <c r="E2210" s="8"/>
      <c r="F2210" s="8"/>
    </row>
    <row r="2211" spans="2:6">
      <c r="B2211" s="44"/>
      <c r="D2211" s="8"/>
      <c r="E2211" s="8"/>
      <c r="F2211" s="8"/>
    </row>
    <row r="2212" spans="2:6">
      <c r="B2212" s="44"/>
      <c r="D2212" s="8"/>
      <c r="E2212" s="8"/>
      <c r="F2212" s="8"/>
    </row>
    <row r="2213" spans="2:6">
      <c r="B2213" s="44"/>
      <c r="D2213" s="8"/>
      <c r="E2213" s="8"/>
      <c r="F2213" s="8"/>
    </row>
    <row r="2214" spans="2:6">
      <c r="B2214" s="44"/>
      <c r="D2214" s="8"/>
      <c r="E2214" s="8"/>
      <c r="F2214" s="8"/>
    </row>
    <row r="2215" spans="2:6">
      <c r="B2215" s="44"/>
      <c r="D2215" s="8"/>
      <c r="E2215" s="8"/>
      <c r="F2215" s="8"/>
    </row>
    <row r="2216" spans="2:6">
      <c r="B2216" s="44"/>
      <c r="D2216" s="8"/>
      <c r="E2216" s="8"/>
      <c r="F2216" s="8"/>
    </row>
    <row r="2217" spans="2:6">
      <c r="B2217" s="44"/>
      <c r="D2217" s="8"/>
      <c r="E2217" s="8"/>
      <c r="F2217" s="8"/>
    </row>
    <row r="2218" spans="2:6">
      <c r="B2218" s="44"/>
      <c r="D2218" s="8"/>
      <c r="E2218" s="8"/>
      <c r="F2218" s="8"/>
    </row>
    <row r="2219" spans="2:6">
      <c r="B2219" s="44"/>
      <c r="D2219" s="8"/>
      <c r="E2219" s="8"/>
      <c r="F2219" s="8"/>
    </row>
    <row r="2220" spans="2:6">
      <c r="B2220" s="44"/>
      <c r="D2220" s="8"/>
      <c r="E2220" s="8"/>
      <c r="F2220" s="8"/>
    </row>
    <row r="2221" spans="2:6">
      <c r="B2221" s="44"/>
      <c r="D2221" s="8"/>
      <c r="E2221" s="8"/>
      <c r="F2221" s="8"/>
    </row>
    <row r="2222" spans="2:6">
      <c r="B2222" s="44"/>
      <c r="D2222" s="8"/>
      <c r="E2222" s="8"/>
      <c r="F2222" s="8"/>
    </row>
    <row r="2223" spans="2:6">
      <c r="B2223" s="44"/>
      <c r="D2223" s="8"/>
      <c r="E2223" s="8"/>
      <c r="F2223" s="8"/>
    </row>
    <row r="2224" spans="2:6">
      <c r="B2224" s="44"/>
      <c r="D2224" s="8"/>
      <c r="E2224" s="8"/>
      <c r="F2224" s="8"/>
    </row>
    <row r="2225" spans="2:6">
      <c r="B2225" s="44"/>
      <c r="D2225" s="8"/>
      <c r="E2225" s="8"/>
      <c r="F2225" s="8"/>
    </row>
    <row r="2226" spans="2:6">
      <c r="B2226" s="44"/>
      <c r="D2226" s="8"/>
      <c r="E2226" s="8"/>
      <c r="F2226" s="8"/>
    </row>
    <row r="2227" spans="2:6">
      <c r="B2227" s="44"/>
      <c r="D2227" s="8"/>
      <c r="E2227" s="8"/>
      <c r="F2227" s="8"/>
    </row>
    <row r="2228" spans="2:6">
      <c r="B2228" s="44"/>
      <c r="D2228" s="8"/>
      <c r="E2228" s="8"/>
      <c r="F2228" s="8"/>
    </row>
    <row r="2229" spans="2:6">
      <c r="B2229" s="44"/>
      <c r="D2229" s="8"/>
      <c r="E2229" s="8"/>
      <c r="F2229" s="8"/>
    </row>
    <row r="2230" spans="2:6">
      <c r="B2230" s="44"/>
      <c r="D2230" s="8"/>
      <c r="E2230" s="8"/>
      <c r="F2230" s="8"/>
    </row>
    <row r="2231" spans="2:6">
      <c r="B2231" s="44"/>
      <c r="D2231" s="8"/>
      <c r="E2231" s="8"/>
      <c r="F2231" s="8"/>
    </row>
    <row r="2232" spans="2:6">
      <c r="B2232" s="44"/>
      <c r="D2232" s="8"/>
      <c r="E2232" s="8"/>
      <c r="F2232" s="8"/>
    </row>
    <row r="2233" spans="2:6">
      <c r="B2233" s="44"/>
      <c r="D2233" s="8"/>
      <c r="E2233" s="8"/>
      <c r="F2233" s="8"/>
    </row>
    <row r="2234" spans="2:6">
      <c r="B2234" s="44"/>
      <c r="D2234" s="8"/>
      <c r="E2234" s="8"/>
      <c r="F2234" s="8"/>
    </row>
    <row r="2235" spans="2:6">
      <c r="B2235" s="44"/>
      <c r="D2235" s="8"/>
      <c r="E2235" s="8"/>
      <c r="F2235" s="8"/>
    </row>
    <row r="2236" spans="2:6">
      <c r="B2236" s="44"/>
      <c r="D2236" s="8"/>
      <c r="E2236" s="8"/>
      <c r="F2236" s="8"/>
    </row>
    <row r="2237" spans="2:6">
      <c r="B2237" s="44"/>
      <c r="D2237" s="8"/>
      <c r="E2237" s="8"/>
      <c r="F2237" s="8"/>
    </row>
    <row r="2238" spans="2:6">
      <c r="B2238" s="44"/>
      <c r="D2238" s="8"/>
      <c r="E2238" s="8"/>
      <c r="F2238" s="8"/>
    </row>
    <row r="2239" spans="2:6">
      <c r="B2239" s="44"/>
      <c r="D2239" s="8"/>
      <c r="E2239" s="8"/>
      <c r="F2239" s="8"/>
    </row>
    <row r="2240" spans="2:6">
      <c r="B2240" s="44"/>
      <c r="D2240" s="8"/>
      <c r="E2240" s="8"/>
      <c r="F2240" s="8"/>
    </row>
    <row r="2241" spans="2:6">
      <c r="B2241" s="44"/>
      <c r="D2241" s="8"/>
      <c r="E2241" s="8"/>
      <c r="F2241" s="8"/>
    </row>
    <row r="2242" spans="2:6">
      <c r="B2242" s="44"/>
      <c r="D2242" s="8"/>
      <c r="E2242" s="8"/>
      <c r="F2242" s="8"/>
    </row>
    <row r="2243" spans="2:6">
      <c r="B2243" s="44"/>
      <c r="D2243" s="8"/>
      <c r="E2243" s="8"/>
      <c r="F2243" s="8"/>
    </row>
    <row r="2244" spans="2:6">
      <c r="B2244" s="44"/>
      <c r="D2244" s="8"/>
      <c r="E2244" s="8"/>
      <c r="F2244" s="8"/>
    </row>
    <row r="2245" spans="2:6">
      <c r="B2245" s="44"/>
      <c r="D2245" s="8"/>
      <c r="E2245" s="8"/>
      <c r="F2245" s="8"/>
    </row>
    <row r="2246" spans="2:6">
      <c r="B2246" s="44"/>
      <c r="D2246" s="8"/>
      <c r="E2246" s="8"/>
      <c r="F2246" s="8"/>
    </row>
    <row r="2247" spans="2:6">
      <c r="B2247" s="44"/>
      <c r="D2247" s="8"/>
      <c r="E2247" s="8"/>
      <c r="F2247" s="8"/>
    </row>
    <row r="2248" spans="2:6">
      <c r="B2248" s="44"/>
      <c r="D2248" s="8"/>
      <c r="E2248" s="8"/>
      <c r="F2248" s="8"/>
    </row>
    <row r="2249" spans="2:6">
      <c r="B2249" s="44"/>
      <c r="D2249" s="8"/>
      <c r="E2249" s="8"/>
      <c r="F2249" s="8"/>
    </row>
    <row r="2250" spans="2:6">
      <c r="B2250" s="44"/>
      <c r="D2250" s="8"/>
      <c r="E2250" s="8"/>
      <c r="F2250" s="8"/>
    </row>
    <row r="2251" spans="2:6">
      <c r="B2251" s="44"/>
      <c r="D2251" s="8"/>
      <c r="E2251" s="8"/>
      <c r="F2251" s="8"/>
    </row>
    <row r="2252" spans="2:6">
      <c r="B2252" s="44"/>
      <c r="D2252" s="8"/>
      <c r="E2252" s="8"/>
      <c r="F2252" s="8"/>
    </row>
    <row r="2253" spans="2:6">
      <c r="B2253" s="44"/>
      <c r="D2253" s="8"/>
      <c r="E2253" s="8"/>
      <c r="F2253" s="8"/>
    </row>
    <row r="2254" spans="2:6">
      <c r="B2254" s="44"/>
      <c r="D2254" s="8"/>
      <c r="E2254" s="8"/>
      <c r="F2254" s="8"/>
    </row>
    <row r="2255" spans="2:6">
      <c r="B2255" s="44"/>
      <c r="D2255" s="8"/>
      <c r="E2255" s="8"/>
      <c r="F2255" s="8"/>
    </row>
    <row r="2256" spans="2:6">
      <c r="B2256" s="44"/>
      <c r="D2256" s="8"/>
      <c r="E2256" s="8"/>
      <c r="F2256" s="8"/>
    </row>
    <row r="2257" spans="2:6">
      <c r="B2257" s="44"/>
      <c r="D2257" s="8"/>
      <c r="E2257" s="8"/>
      <c r="F2257" s="8"/>
    </row>
    <row r="2258" spans="2:6">
      <c r="B2258" s="44"/>
      <c r="D2258" s="8"/>
      <c r="E2258" s="8"/>
      <c r="F2258" s="8"/>
    </row>
    <row r="2259" spans="2:6">
      <c r="B2259" s="44"/>
      <c r="D2259" s="8"/>
      <c r="E2259" s="8"/>
      <c r="F2259" s="8"/>
    </row>
    <row r="2260" spans="2:6">
      <c r="B2260" s="44"/>
      <c r="D2260" s="8"/>
      <c r="E2260" s="8"/>
      <c r="F2260" s="8"/>
    </row>
    <row r="2261" spans="2:6">
      <c r="B2261" s="44"/>
      <c r="D2261" s="8"/>
      <c r="E2261" s="8"/>
      <c r="F2261" s="8"/>
    </row>
    <row r="2262" spans="2:6">
      <c r="B2262" s="44"/>
      <c r="D2262" s="8"/>
      <c r="E2262" s="8"/>
      <c r="F2262" s="8"/>
    </row>
    <row r="2263" spans="2:6">
      <c r="B2263" s="44"/>
      <c r="D2263" s="8"/>
      <c r="E2263" s="8"/>
      <c r="F2263" s="8"/>
    </row>
    <row r="2264" spans="2:6">
      <c r="B2264" s="44"/>
      <c r="D2264" s="8"/>
      <c r="E2264" s="8"/>
      <c r="F2264" s="8"/>
    </row>
    <row r="2265" spans="2:6">
      <c r="B2265" s="44"/>
      <c r="D2265" s="8"/>
      <c r="E2265" s="8"/>
      <c r="F2265" s="8"/>
    </row>
    <row r="2266" spans="2:6">
      <c r="B2266" s="44"/>
      <c r="D2266" s="8"/>
      <c r="E2266" s="8"/>
      <c r="F2266" s="8"/>
    </row>
    <row r="2267" spans="2:6">
      <c r="B2267" s="44"/>
      <c r="D2267" s="8"/>
      <c r="E2267" s="8"/>
      <c r="F2267" s="8"/>
    </row>
    <row r="2268" spans="2:6">
      <c r="B2268" s="44"/>
      <c r="D2268" s="8"/>
      <c r="E2268" s="8"/>
      <c r="F2268" s="8"/>
    </row>
    <row r="2269" spans="2:6">
      <c r="B2269" s="44"/>
      <c r="D2269" s="8"/>
      <c r="E2269" s="8"/>
      <c r="F2269" s="8"/>
    </row>
    <row r="2270" spans="2:6">
      <c r="B2270" s="44"/>
      <c r="D2270" s="8"/>
      <c r="E2270" s="8"/>
      <c r="F2270" s="8"/>
    </row>
    <row r="2271" spans="2:6">
      <c r="B2271" s="44"/>
      <c r="D2271" s="8"/>
      <c r="E2271" s="8"/>
      <c r="F2271" s="8"/>
    </row>
    <row r="2272" spans="2:6">
      <c r="B2272" s="44"/>
      <c r="D2272" s="8"/>
      <c r="E2272" s="8"/>
      <c r="F2272" s="8"/>
    </row>
    <row r="2273" spans="2:6">
      <c r="B2273" s="44"/>
      <c r="D2273" s="8"/>
      <c r="E2273" s="8"/>
      <c r="F2273" s="8"/>
    </row>
    <row r="2274" spans="2:6">
      <c r="B2274" s="44"/>
      <c r="D2274" s="8"/>
      <c r="E2274" s="8"/>
      <c r="F2274" s="8"/>
    </row>
    <row r="2275" spans="2:6">
      <c r="B2275" s="44"/>
      <c r="D2275" s="8"/>
      <c r="E2275" s="8"/>
      <c r="F2275" s="8"/>
    </row>
    <row r="2276" spans="2:6">
      <c r="B2276" s="44"/>
      <c r="D2276" s="8"/>
      <c r="E2276" s="8"/>
      <c r="F2276" s="8"/>
    </row>
    <row r="2277" spans="2:6">
      <c r="B2277" s="44"/>
      <c r="D2277" s="8"/>
      <c r="E2277" s="8"/>
      <c r="F2277" s="8"/>
    </row>
    <row r="2278" spans="2:6">
      <c r="B2278" s="44"/>
      <c r="D2278" s="8"/>
      <c r="E2278" s="8"/>
      <c r="F2278" s="8"/>
    </row>
    <row r="2279" spans="2:6">
      <c r="B2279" s="44"/>
      <c r="D2279" s="8"/>
      <c r="E2279" s="8"/>
      <c r="F2279" s="8"/>
    </row>
    <row r="2280" spans="2:6">
      <c r="B2280" s="44"/>
      <c r="D2280" s="8"/>
      <c r="E2280" s="8"/>
      <c r="F2280" s="8"/>
    </row>
    <row r="2281" spans="2:6">
      <c r="B2281" s="44"/>
      <c r="D2281" s="8"/>
      <c r="E2281" s="8"/>
      <c r="F2281" s="8"/>
    </row>
    <row r="2282" spans="2:6">
      <c r="B2282" s="44"/>
      <c r="D2282" s="8"/>
      <c r="E2282" s="8"/>
      <c r="F2282" s="8"/>
    </row>
    <row r="2283" spans="2:6">
      <c r="B2283" s="44"/>
      <c r="D2283" s="8"/>
      <c r="E2283" s="8"/>
      <c r="F2283" s="8"/>
    </row>
    <row r="2284" spans="2:6">
      <c r="B2284" s="44"/>
      <c r="D2284" s="8"/>
      <c r="E2284" s="8"/>
      <c r="F2284" s="8"/>
    </row>
    <row r="2285" spans="2:6">
      <c r="B2285" s="44"/>
      <c r="D2285" s="8"/>
      <c r="E2285" s="8"/>
      <c r="F2285" s="8"/>
    </row>
    <row r="2286" spans="2:6">
      <c r="B2286" s="44"/>
      <c r="D2286" s="8"/>
      <c r="E2286" s="8"/>
      <c r="F2286" s="8"/>
    </row>
    <row r="2287" spans="2:6">
      <c r="B2287" s="44"/>
      <c r="D2287" s="8"/>
      <c r="E2287" s="8"/>
      <c r="F2287" s="8"/>
    </row>
    <row r="2288" spans="2:6">
      <c r="B2288" s="44"/>
      <c r="D2288" s="8"/>
      <c r="E2288" s="8"/>
      <c r="F2288" s="8"/>
    </row>
    <row r="2289" spans="2:6">
      <c r="B2289" s="44"/>
      <c r="D2289" s="8"/>
      <c r="E2289" s="8"/>
      <c r="F2289" s="8"/>
    </row>
    <row r="2290" spans="2:6">
      <c r="B2290" s="44"/>
      <c r="D2290" s="8"/>
      <c r="E2290" s="8"/>
      <c r="F2290" s="8"/>
    </row>
    <row r="2291" spans="2:6">
      <c r="B2291" s="44"/>
      <c r="D2291" s="8"/>
      <c r="E2291" s="8"/>
      <c r="F2291" s="8"/>
    </row>
    <row r="2292" spans="2:6">
      <c r="B2292" s="44"/>
      <c r="D2292" s="8"/>
      <c r="E2292" s="8"/>
      <c r="F2292" s="8"/>
    </row>
    <row r="2293" spans="2:6">
      <c r="B2293" s="44"/>
      <c r="D2293" s="8"/>
      <c r="E2293" s="8"/>
      <c r="F2293" s="8"/>
    </row>
    <row r="2294" spans="2:6">
      <c r="B2294" s="44"/>
      <c r="D2294" s="8"/>
      <c r="E2294" s="8"/>
      <c r="F2294" s="8"/>
    </row>
    <row r="2295" spans="2:6">
      <c r="B2295" s="44"/>
      <c r="D2295" s="8"/>
      <c r="E2295" s="8"/>
      <c r="F2295" s="8"/>
    </row>
    <row r="2296" spans="2:6">
      <c r="B2296" s="44"/>
      <c r="D2296" s="8"/>
      <c r="E2296" s="8"/>
      <c r="F2296" s="8"/>
    </row>
    <row r="2297" spans="2:6">
      <c r="B2297" s="44"/>
      <c r="D2297" s="8"/>
      <c r="E2297" s="8"/>
      <c r="F2297" s="8"/>
    </row>
    <row r="2298" spans="2:6">
      <c r="B2298" s="44"/>
      <c r="D2298" s="8"/>
      <c r="E2298" s="8"/>
      <c r="F2298" s="8"/>
    </row>
    <row r="2299" spans="2:6">
      <c r="B2299" s="44"/>
      <c r="D2299" s="8"/>
      <c r="E2299" s="8"/>
      <c r="F2299" s="8"/>
    </row>
    <row r="2300" spans="2:6">
      <c r="B2300" s="44"/>
      <c r="D2300" s="8"/>
      <c r="E2300" s="8"/>
      <c r="F2300" s="8"/>
    </row>
    <row r="2301" spans="2:6">
      <c r="B2301" s="44"/>
      <c r="D2301" s="8"/>
      <c r="E2301" s="8"/>
      <c r="F2301" s="8"/>
    </row>
    <row r="2302" spans="2:6">
      <c r="B2302" s="44"/>
      <c r="D2302" s="8"/>
      <c r="E2302" s="8"/>
      <c r="F2302" s="8"/>
    </row>
    <row r="2303" spans="2:6">
      <c r="B2303" s="44"/>
      <c r="D2303" s="8"/>
      <c r="E2303" s="8"/>
      <c r="F2303" s="8"/>
    </row>
    <row r="2304" spans="2:6">
      <c r="B2304" s="44"/>
      <c r="D2304" s="8"/>
      <c r="E2304" s="8"/>
      <c r="F2304" s="8"/>
    </row>
    <row r="2305" spans="2:6">
      <c r="B2305" s="44"/>
      <c r="D2305" s="8"/>
      <c r="E2305" s="8"/>
      <c r="F2305" s="8"/>
    </row>
    <row r="2306" spans="2:6">
      <c r="B2306" s="44"/>
      <c r="D2306" s="8"/>
      <c r="E2306" s="8"/>
      <c r="F2306" s="8"/>
    </row>
    <row r="2307" spans="2:6">
      <c r="B2307" s="44"/>
      <c r="D2307" s="8"/>
      <c r="E2307" s="8"/>
      <c r="F2307" s="8"/>
    </row>
    <row r="2308" spans="2:6">
      <c r="B2308" s="44"/>
      <c r="D2308" s="8"/>
      <c r="E2308" s="8"/>
      <c r="F2308" s="8"/>
    </row>
    <row r="2309" spans="2:6">
      <c r="B2309" s="44"/>
      <c r="D2309" s="8"/>
      <c r="E2309" s="8"/>
      <c r="F2309" s="8"/>
    </row>
    <row r="2310" spans="2:6">
      <c r="B2310" s="44"/>
      <c r="D2310" s="8"/>
      <c r="E2310" s="8"/>
      <c r="F2310" s="8"/>
    </row>
    <row r="2311" spans="2:6">
      <c r="B2311" s="44"/>
      <c r="D2311" s="8"/>
      <c r="E2311" s="8"/>
      <c r="F2311" s="8"/>
    </row>
    <row r="2312" spans="2:6">
      <c r="B2312" s="44"/>
      <c r="D2312" s="8"/>
      <c r="E2312" s="8"/>
      <c r="F2312" s="8"/>
    </row>
    <row r="2313" spans="2:6">
      <c r="B2313" s="44"/>
      <c r="D2313" s="8"/>
      <c r="E2313" s="8"/>
      <c r="F2313" s="8"/>
    </row>
    <row r="2314" spans="2:6">
      <c r="B2314" s="44"/>
      <c r="D2314" s="8"/>
      <c r="E2314" s="8"/>
      <c r="F2314" s="8"/>
    </row>
    <row r="2315" spans="2:6">
      <c r="B2315" s="44"/>
      <c r="D2315" s="8"/>
      <c r="E2315" s="8"/>
      <c r="F2315" s="8"/>
    </row>
    <row r="2316" spans="2:6">
      <c r="B2316" s="44"/>
      <c r="D2316" s="8"/>
      <c r="E2316" s="8"/>
      <c r="F2316" s="8"/>
    </row>
    <row r="2317" spans="2:6">
      <c r="B2317" s="44"/>
      <c r="D2317" s="8"/>
      <c r="E2317" s="8"/>
      <c r="F2317" s="8"/>
    </row>
    <row r="2318" spans="2:6">
      <c r="B2318" s="44"/>
      <c r="D2318" s="8"/>
      <c r="E2318" s="8"/>
      <c r="F2318" s="8"/>
    </row>
    <row r="2319" spans="2:6">
      <c r="B2319" s="44"/>
      <c r="D2319" s="8"/>
      <c r="E2319" s="8"/>
      <c r="F2319" s="8"/>
    </row>
    <row r="2320" spans="2:6">
      <c r="B2320" s="44"/>
      <c r="D2320" s="8"/>
      <c r="E2320" s="8"/>
      <c r="F2320" s="8"/>
    </row>
    <row r="2321" spans="2:6">
      <c r="B2321" s="44"/>
      <c r="D2321" s="8"/>
      <c r="E2321" s="8"/>
      <c r="F2321" s="8"/>
    </row>
    <row r="2322" spans="2:6">
      <c r="B2322" s="44"/>
      <c r="D2322" s="8"/>
      <c r="E2322" s="8"/>
      <c r="F2322" s="8"/>
    </row>
    <row r="2323" spans="2:6">
      <c r="B2323" s="44"/>
      <c r="D2323" s="8"/>
      <c r="E2323" s="8"/>
      <c r="F2323" s="8"/>
    </row>
    <row r="2324" spans="2:6">
      <c r="B2324" s="44"/>
      <c r="D2324" s="8"/>
      <c r="E2324" s="8"/>
      <c r="F2324" s="8"/>
    </row>
    <row r="2325" spans="2:6">
      <c r="B2325" s="44"/>
      <c r="D2325" s="8"/>
      <c r="E2325" s="8"/>
      <c r="F2325" s="8"/>
    </row>
    <row r="2326" spans="2:6">
      <c r="B2326" s="44"/>
      <c r="D2326" s="8"/>
      <c r="E2326" s="8"/>
      <c r="F2326" s="8"/>
    </row>
    <row r="2327" spans="2:6">
      <c r="B2327" s="44"/>
      <c r="D2327" s="8"/>
      <c r="E2327" s="8"/>
      <c r="F2327" s="8"/>
    </row>
    <row r="2328" spans="2:6">
      <c r="B2328" s="44"/>
      <c r="D2328" s="8"/>
      <c r="E2328" s="8"/>
      <c r="F2328" s="8"/>
    </row>
    <row r="2329" spans="2:6">
      <c r="B2329" s="44"/>
      <c r="D2329" s="8"/>
      <c r="E2329" s="8"/>
      <c r="F2329" s="8"/>
    </row>
    <row r="2330" spans="2:6">
      <c r="B2330" s="44"/>
      <c r="D2330" s="8"/>
      <c r="E2330" s="8"/>
      <c r="F2330" s="8"/>
    </row>
    <row r="2331" spans="2:6">
      <c r="B2331" s="44"/>
      <c r="D2331" s="8"/>
      <c r="E2331" s="8"/>
      <c r="F2331" s="8"/>
    </row>
    <row r="2332" spans="2:6">
      <c r="B2332" s="44"/>
      <c r="D2332" s="8"/>
      <c r="E2332" s="8"/>
      <c r="F2332" s="8"/>
    </row>
    <row r="2333" spans="2:6">
      <c r="B2333" s="44"/>
      <c r="D2333" s="8"/>
      <c r="E2333" s="8"/>
      <c r="F2333" s="8"/>
    </row>
    <row r="2334" spans="2:6">
      <c r="B2334" s="44"/>
      <c r="D2334" s="8"/>
      <c r="E2334" s="8"/>
      <c r="F2334" s="8"/>
    </row>
    <row r="2335" spans="2:6">
      <c r="B2335" s="44"/>
      <c r="D2335" s="8"/>
      <c r="E2335" s="8"/>
      <c r="F2335" s="8"/>
    </row>
    <row r="2336" spans="2:6">
      <c r="B2336" s="44"/>
      <c r="D2336" s="8"/>
      <c r="E2336" s="8"/>
      <c r="F2336" s="8"/>
    </row>
    <row r="2337" spans="2:6">
      <c r="B2337" s="44"/>
      <c r="D2337" s="8"/>
      <c r="E2337" s="8"/>
      <c r="F2337" s="8"/>
    </row>
    <row r="2338" spans="2:6">
      <c r="B2338" s="44"/>
      <c r="D2338" s="8"/>
      <c r="E2338" s="8"/>
      <c r="F2338" s="8"/>
    </row>
    <row r="2339" spans="2:6">
      <c r="B2339" s="44"/>
      <c r="D2339" s="8"/>
      <c r="E2339" s="8"/>
      <c r="F2339" s="8"/>
    </row>
    <row r="2340" spans="2:6">
      <c r="B2340" s="44"/>
      <c r="D2340" s="8"/>
      <c r="E2340" s="8"/>
      <c r="F2340" s="8"/>
    </row>
    <row r="2341" spans="2:6">
      <c r="B2341" s="44"/>
      <c r="D2341" s="8"/>
      <c r="E2341" s="8"/>
      <c r="F2341" s="8"/>
    </row>
    <row r="2342" spans="2:6">
      <c r="B2342" s="44"/>
      <c r="D2342" s="8"/>
      <c r="E2342" s="8"/>
      <c r="F2342" s="8"/>
    </row>
    <row r="2343" spans="2:6">
      <c r="B2343" s="44"/>
      <c r="D2343" s="8"/>
      <c r="E2343" s="8"/>
      <c r="F2343" s="8"/>
    </row>
    <row r="2344" spans="2:6">
      <c r="B2344" s="44"/>
      <c r="D2344" s="8"/>
      <c r="E2344" s="8"/>
      <c r="F2344" s="8"/>
    </row>
    <row r="2345" spans="2:6">
      <c r="B2345" s="44"/>
      <c r="D2345" s="8"/>
      <c r="E2345" s="8"/>
      <c r="F2345" s="8"/>
    </row>
    <row r="2346" spans="2:6">
      <c r="B2346" s="44"/>
      <c r="D2346" s="8"/>
      <c r="E2346" s="8"/>
      <c r="F2346" s="8"/>
    </row>
    <row r="2347" spans="2:6">
      <c r="B2347" s="44"/>
      <c r="D2347" s="8"/>
      <c r="E2347" s="8"/>
      <c r="F2347" s="8"/>
    </row>
    <row r="2348" spans="2:6">
      <c r="B2348" s="44"/>
      <c r="D2348" s="8"/>
      <c r="E2348" s="8"/>
      <c r="F2348" s="8"/>
    </row>
    <row r="2349" spans="2:6">
      <c r="B2349" s="44"/>
      <c r="D2349" s="8"/>
      <c r="E2349" s="8"/>
      <c r="F2349" s="8"/>
    </row>
    <row r="2350" spans="2:6">
      <c r="B2350" s="44"/>
      <c r="D2350" s="8"/>
      <c r="E2350" s="8"/>
      <c r="F2350" s="8"/>
    </row>
    <row r="2351" spans="2:6">
      <c r="B2351" s="44"/>
      <c r="D2351" s="8"/>
      <c r="E2351" s="8"/>
      <c r="F2351" s="8"/>
    </row>
    <row r="2352" spans="2:6">
      <c r="B2352" s="44"/>
      <c r="D2352" s="8"/>
      <c r="E2352" s="8"/>
      <c r="F2352" s="8"/>
    </row>
    <row r="2353" spans="2:6">
      <c r="B2353" s="44"/>
      <c r="D2353" s="8"/>
      <c r="E2353" s="8"/>
      <c r="F2353" s="8"/>
    </row>
    <row r="2354" spans="2:6">
      <c r="B2354" s="44"/>
      <c r="D2354" s="8"/>
      <c r="E2354" s="8"/>
      <c r="F2354" s="8"/>
    </row>
    <row r="2355" spans="2:6">
      <c r="B2355" s="44"/>
      <c r="D2355" s="8"/>
      <c r="E2355" s="8"/>
      <c r="F2355" s="8"/>
    </row>
    <row r="2356" spans="2:6">
      <c r="B2356" s="44"/>
      <c r="D2356" s="8"/>
      <c r="E2356" s="8"/>
      <c r="F2356" s="8"/>
    </row>
    <row r="2357" spans="2:6">
      <c r="B2357" s="44"/>
      <c r="D2357" s="8"/>
      <c r="E2357" s="8"/>
      <c r="F2357" s="8"/>
    </row>
    <row r="2358" spans="2:6">
      <c r="B2358" s="44"/>
      <c r="D2358" s="8"/>
      <c r="E2358" s="8"/>
      <c r="F2358" s="8"/>
    </row>
    <row r="2359" spans="2:6">
      <c r="B2359" s="44"/>
      <c r="D2359" s="8"/>
      <c r="E2359" s="8"/>
      <c r="F2359" s="8"/>
    </row>
    <row r="2360" spans="2:6">
      <c r="B2360" s="44"/>
      <c r="D2360" s="8"/>
      <c r="E2360" s="8"/>
      <c r="F2360" s="8"/>
    </row>
    <row r="2361" spans="2:6">
      <c r="B2361" s="44"/>
      <c r="D2361" s="8"/>
      <c r="E2361" s="8"/>
      <c r="F2361" s="8"/>
    </row>
    <row r="2362" spans="2:6">
      <c r="B2362" s="44"/>
      <c r="D2362" s="8"/>
      <c r="E2362" s="8"/>
      <c r="F2362" s="8"/>
    </row>
    <row r="2363" spans="2:6">
      <c r="B2363" s="44"/>
      <c r="D2363" s="8"/>
      <c r="E2363" s="8"/>
      <c r="F2363" s="8"/>
    </row>
    <row r="2364" spans="2:6">
      <c r="B2364" s="44"/>
      <c r="D2364" s="8"/>
      <c r="E2364" s="8"/>
      <c r="F2364" s="8"/>
    </row>
    <row r="2365" spans="2:6">
      <c r="B2365" s="44"/>
      <c r="D2365" s="8"/>
      <c r="E2365" s="8"/>
      <c r="F2365" s="8"/>
    </row>
    <row r="2366" spans="2:6">
      <c r="B2366" s="44"/>
      <c r="D2366" s="8"/>
      <c r="E2366" s="8"/>
      <c r="F2366" s="8"/>
    </row>
    <row r="2367" spans="2:6">
      <c r="B2367" s="44"/>
      <c r="D2367" s="8"/>
      <c r="E2367" s="8"/>
      <c r="F2367" s="8"/>
    </row>
    <row r="2368" spans="2:6">
      <c r="B2368" s="44"/>
      <c r="D2368" s="8"/>
      <c r="E2368" s="8"/>
      <c r="F2368" s="8"/>
    </row>
    <row r="2369" spans="2:6">
      <c r="B2369" s="44"/>
      <c r="D2369" s="8"/>
      <c r="E2369" s="8"/>
      <c r="F2369" s="8"/>
    </row>
    <row r="2370" spans="2:6">
      <c r="B2370" s="44"/>
      <c r="D2370" s="8"/>
      <c r="E2370" s="8"/>
      <c r="F2370" s="8"/>
    </row>
    <row r="2371" spans="2:6">
      <c r="B2371" s="44"/>
      <c r="D2371" s="8"/>
      <c r="E2371" s="8"/>
      <c r="F2371" s="8"/>
    </row>
    <row r="2372" spans="2:6">
      <c r="B2372" s="44"/>
      <c r="D2372" s="8"/>
      <c r="E2372" s="8"/>
      <c r="F2372" s="8"/>
    </row>
    <row r="2373" spans="2:6">
      <c r="B2373" s="44"/>
      <c r="D2373" s="8"/>
      <c r="E2373" s="8"/>
      <c r="F2373" s="8"/>
    </row>
    <row r="2374" spans="2:6">
      <c r="B2374" s="44"/>
      <c r="D2374" s="8"/>
      <c r="E2374" s="8"/>
      <c r="F2374" s="8"/>
    </row>
    <row r="2375" spans="2:6">
      <c r="B2375" s="44"/>
      <c r="D2375" s="8"/>
      <c r="E2375" s="8"/>
      <c r="F2375" s="8"/>
    </row>
    <row r="2376" spans="2:6">
      <c r="B2376" s="44"/>
      <c r="D2376" s="8"/>
      <c r="E2376" s="8"/>
      <c r="F2376" s="8"/>
    </row>
    <row r="2377" spans="2:6">
      <c r="B2377" s="44"/>
      <c r="D2377" s="8"/>
      <c r="E2377" s="8"/>
      <c r="F2377" s="8"/>
    </row>
    <row r="2378" spans="2:6">
      <c r="B2378" s="44"/>
      <c r="D2378" s="8"/>
      <c r="E2378" s="8"/>
      <c r="F2378" s="8"/>
    </row>
    <row r="2379" spans="2:6">
      <c r="B2379" s="44"/>
      <c r="D2379" s="8"/>
      <c r="E2379" s="8"/>
      <c r="F2379" s="8"/>
    </row>
    <row r="2380" spans="2:6">
      <c r="B2380" s="44"/>
      <c r="D2380" s="8"/>
      <c r="E2380" s="8"/>
      <c r="F2380" s="8"/>
    </row>
    <row r="2381" spans="2:6">
      <c r="B2381" s="44"/>
      <c r="D2381" s="8"/>
      <c r="E2381" s="8"/>
      <c r="F2381" s="8"/>
    </row>
    <row r="2382" spans="2:6">
      <c r="B2382" s="44"/>
      <c r="D2382" s="8"/>
      <c r="E2382" s="8"/>
      <c r="F2382" s="8"/>
    </row>
    <row r="2383" spans="2:6">
      <c r="B2383" s="44"/>
      <c r="D2383" s="8"/>
      <c r="E2383" s="8"/>
      <c r="F2383" s="8"/>
    </row>
    <row r="2384" spans="2:6">
      <c r="B2384" s="44"/>
      <c r="D2384" s="8"/>
      <c r="E2384" s="8"/>
      <c r="F2384" s="8"/>
    </row>
    <row r="2385" spans="2:6">
      <c r="B2385" s="44"/>
      <c r="D2385" s="8"/>
      <c r="E2385" s="8"/>
      <c r="F2385" s="8"/>
    </row>
    <row r="2386" spans="2:6">
      <c r="B2386" s="44"/>
      <c r="D2386" s="8"/>
      <c r="E2386" s="8"/>
      <c r="F2386" s="8"/>
    </row>
    <row r="2387" spans="2:6">
      <c r="B2387" s="44"/>
      <c r="D2387" s="8"/>
      <c r="E2387" s="8"/>
      <c r="F2387" s="8"/>
    </row>
    <row r="2388" spans="2:6">
      <c r="B2388" s="44"/>
      <c r="D2388" s="8"/>
      <c r="E2388" s="8"/>
      <c r="F2388" s="8"/>
    </row>
    <row r="2389" spans="2:6">
      <c r="B2389" s="44"/>
      <c r="D2389" s="8"/>
      <c r="E2389" s="8"/>
      <c r="F2389" s="8"/>
    </row>
    <row r="2390" spans="2:6">
      <c r="B2390" s="44"/>
      <c r="D2390" s="8"/>
      <c r="E2390" s="8"/>
      <c r="F2390" s="8"/>
    </row>
    <row r="2391" spans="2:6">
      <c r="B2391" s="44"/>
      <c r="D2391" s="8"/>
      <c r="E2391" s="8"/>
      <c r="F2391" s="8"/>
    </row>
    <row r="2392" spans="2:6">
      <c r="B2392" s="44"/>
      <c r="D2392" s="8"/>
      <c r="E2392" s="8"/>
      <c r="F2392" s="8"/>
    </row>
    <row r="2393" spans="2:6">
      <c r="B2393" s="44"/>
      <c r="D2393" s="8"/>
      <c r="E2393" s="8"/>
      <c r="F2393" s="8"/>
    </row>
    <row r="2394" spans="2:6">
      <c r="B2394" s="44"/>
      <c r="D2394" s="8"/>
      <c r="E2394" s="8"/>
      <c r="F2394" s="8"/>
    </row>
    <row r="2395" spans="2:6">
      <c r="B2395" s="44"/>
      <c r="D2395" s="8"/>
      <c r="E2395" s="8"/>
      <c r="F2395" s="8"/>
    </row>
    <row r="2396" spans="2:6">
      <c r="B2396" s="44"/>
      <c r="D2396" s="8"/>
      <c r="E2396" s="8"/>
      <c r="F2396" s="8"/>
    </row>
    <row r="2397" spans="2:6">
      <c r="B2397" s="44"/>
      <c r="D2397" s="8"/>
      <c r="E2397" s="8"/>
      <c r="F2397" s="8"/>
    </row>
    <row r="2398" spans="2:6">
      <c r="B2398" s="44"/>
      <c r="D2398" s="8"/>
      <c r="E2398" s="8"/>
      <c r="F2398" s="8"/>
    </row>
    <row r="2399" spans="2:6">
      <c r="B2399" s="44"/>
      <c r="D2399" s="8"/>
      <c r="E2399" s="8"/>
      <c r="F2399" s="8"/>
    </row>
    <row r="2400" spans="2:6">
      <c r="B2400" s="44"/>
      <c r="D2400" s="8"/>
      <c r="E2400" s="8"/>
      <c r="F2400" s="8"/>
    </row>
    <row r="2401" spans="2:6">
      <c r="B2401" s="44"/>
      <c r="D2401" s="8"/>
      <c r="E2401" s="8"/>
      <c r="F2401" s="8"/>
    </row>
    <row r="2402" spans="2:6">
      <c r="B2402" s="44"/>
      <c r="D2402" s="8"/>
      <c r="E2402" s="8"/>
      <c r="F2402" s="8"/>
    </row>
    <row r="2403" spans="2:6">
      <c r="B2403" s="44"/>
      <c r="D2403" s="8"/>
      <c r="E2403" s="8"/>
      <c r="F2403" s="8"/>
    </row>
    <row r="2404" spans="2:6">
      <c r="B2404" s="44"/>
      <c r="D2404" s="8"/>
      <c r="E2404" s="8"/>
      <c r="F2404" s="8"/>
    </row>
    <row r="2405" spans="2:6">
      <c r="B2405" s="44"/>
      <c r="D2405" s="8"/>
      <c r="E2405" s="8"/>
      <c r="F2405" s="8"/>
    </row>
    <row r="2406" spans="2:6">
      <c r="B2406" s="44"/>
      <c r="D2406" s="8"/>
      <c r="E2406" s="8"/>
      <c r="F2406" s="8"/>
    </row>
    <row r="2407" spans="2:6">
      <c r="B2407" s="44"/>
      <c r="D2407" s="8"/>
      <c r="E2407" s="8"/>
      <c r="F2407" s="8"/>
    </row>
    <row r="2408" spans="2:6">
      <c r="B2408" s="44"/>
      <c r="D2408" s="8"/>
      <c r="E2408" s="8"/>
      <c r="F2408" s="8"/>
    </row>
    <row r="2409" spans="2:6">
      <c r="B2409" s="44"/>
      <c r="D2409" s="8"/>
      <c r="E2409" s="8"/>
      <c r="F2409" s="8"/>
    </row>
    <row r="2410" spans="2:6">
      <c r="B2410" s="44"/>
      <c r="D2410" s="8"/>
      <c r="E2410" s="8"/>
      <c r="F2410" s="8"/>
    </row>
    <row r="2411" spans="2:6">
      <c r="B2411" s="44"/>
      <c r="D2411" s="8"/>
      <c r="E2411" s="8"/>
      <c r="F2411" s="8"/>
    </row>
    <row r="2412" spans="2:6">
      <c r="B2412" s="44"/>
      <c r="D2412" s="8"/>
      <c r="E2412" s="8"/>
      <c r="F2412" s="8"/>
    </row>
    <row r="2413" spans="2:6">
      <c r="B2413" s="44"/>
      <c r="D2413" s="8"/>
      <c r="E2413" s="8"/>
      <c r="F2413" s="8"/>
    </row>
    <row r="2414" spans="2:6">
      <c r="B2414" s="44"/>
      <c r="D2414" s="8"/>
      <c r="E2414" s="8"/>
      <c r="F2414" s="8"/>
    </row>
    <row r="2415" spans="2:6">
      <c r="B2415" s="44"/>
      <c r="D2415" s="8"/>
      <c r="E2415" s="8"/>
      <c r="F2415" s="8"/>
    </row>
    <row r="2416" spans="2:6">
      <c r="B2416" s="44"/>
      <c r="D2416" s="8"/>
      <c r="E2416" s="8"/>
      <c r="F2416" s="8"/>
    </row>
    <row r="2417" spans="2:6">
      <c r="B2417" s="44"/>
      <c r="D2417" s="8"/>
      <c r="E2417" s="8"/>
      <c r="F2417" s="8"/>
    </row>
    <row r="2418" spans="2:6">
      <c r="B2418" s="44"/>
      <c r="D2418" s="8"/>
      <c r="E2418" s="8"/>
      <c r="F2418" s="8"/>
    </row>
    <row r="2419" spans="2:6">
      <c r="B2419" s="44"/>
      <c r="D2419" s="8"/>
      <c r="E2419" s="8"/>
      <c r="F2419" s="8"/>
    </row>
    <row r="2420" spans="2:6">
      <c r="B2420" s="44"/>
      <c r="D2420" s="8"/>
      <c r="E2420" s="8"/>
      <c r="F2420" s="8"/>
    </row>
    <row r="2421" spans="2:6">
      <c r="B2421" s="44"/>
      <c r="D2421" s="8"/>
      <c r="E2421" s="8"/>
      <c r="F2421" s="8"/>
    </row>
    <row r="2422" spans="2:6">
      <c r="B2422" s="44"/>
      <c r="D2422" s="8"/>
      <c r="E2422" s="8"/>
      <c r="F2422" s="8"/>
    </row>
    <row r="2423" spans="2:6">
      <c r="B2423" s="44"/>
      <c r="D2423" s="8"/>
      <c r="E2423" s="8"/>
      <c r="F2423" s="8"/>
    </row>
    <row r="2424" spans="2:6">
      <c r="B2424" s="44"/>
      <c r="D2424" s="8"/>
      <c r="E2424" s="8"/>
      <c r="F2424" s="8"/>
    </row>
    <row r="2425" spans="2:6">
      <c r="B2425" s="44"/>
      <c r="D2425" s="8"/>
      <c r="E2425" s="8"/>
      <c r="F2425" s="8"/>
    </row>
    <row r="2426" spans="2:6">
      <c r="B2426" s="44"/>
      <c r="D2426" s="8"/>
      <c r="E2426" s="8"/>
      <c r="F2426" s="8"/>
    </row>
    <row r="2427" spans="2:6">
      <c r="B2427" s="44"/>
      <c r="D2427" s="8"/>
      <c r="E2427" s="8"/>
      <c r="F2427" s="8"/>
    </row>
    <row r="2428" spans="2:6">
      <c r="B2428" s="44"/>
      <c r="D2428" s="8"/>
      <c r="E2428" s="8"/>
      <c r="F2428" s="8"/>
    </row>
    <row r="2429" spans="2:6">
      <c r="B2429" s="44"/>
      <c r="D2429" s="8"/>
      <c r="E2429" s="8"/>
      <c r="F2429" s="8"/>
    </row>
    <row r="2430" spans="2:6">
      <c r="B2430" s="44"/>
      <c r="D2430" s="8"/>
      <c r="E2430" s="8"/>
      <c r="F2430" s="8"/>
    </row>
    <row r="2431" spans="2:6">
      <c r="B2431" s="44"/>
      <c r="D2431" s="8"/>
      <c r="E2431" s="8"/>
      <c r="F2431" s="8"/>
    </row>
    <row r="2432" spans="2:6">
      <c r="B2432" s="44"/>
      <c r="D2432" s="8"/>
      <c r="E2432" s="8"/>
      <c r="F2432" s="8"/>
    </row>
    <row r="2433" spans="2:6">
      <c r="B2433" s="44"/>
      <c r="D2433" s="8"/>
      <c r="E2433" s="8"/>
      <c r="F2433" s="8"/>
    </row>
    <row r="2434" spans="2:6">
      <c r="B2434" s="44"/>
      <c r="D2434" s="8"/>
      <c r="E2434" s="8"/>
      <c r="F2434" s="8"/>
    </row>
    <row r="2435" spans="2:6">
      <c r="B2435" s="44"/>
      <c r="D2435" s="8"/>
      <c r="E2435" s="8"/>
      <c r="F2435" s="8"/>
    </row>
    <row r="2436" spans="2:6">
      <c r="B2436" s="44"/>
      <c r="D2436" s="8"/>
      <c r="E2436" s="8"/>
      <c r="F2436" s="8"/>
    </row>
    <row r="2437" spans="2:6">
      <c r="B2437" s="44"/>
      <c r="D2437" s="8"/>
      <c r="E2437" s="8"/>
      <c r="F2437" s="8"/>
    </row>
    <row r="2438" spans="2:6">
      <c r="B2438" s="44"/>
      <c r="D2438" s="8"/>
      <c r="E2438" s="8"/>
      <c r="F2438" s="8"/>
    </row>
    <row r="2439" spans="2:6">
      <c r="B2439" s="44"/>
      <c r="D2439" s="8"/>
      <c r="E2439" s="8"/>
      <c r="F2439" s="8"/>
    </row>
    <row r="2440" spans="2:6">
      <c r="B2440" s="44"/>
      <c r="D2440" s="8"/>
      <c r="E2440" s="8"/>
      <c r="F2440" s="8"/>
    </row>
    <row r="2441" spans="2:6">
      <c r="B2441" s="44"/>
      <c r="D2441" s="8"/>
      <c r="E2441" s="8"/>
      <c r="F2441" s="8"/>
    </row>
    <row r="2442" spans="2:6">
      <c r="B2442" s="44"/>
      <c r="D2442" s="8"/>
      <c r="E2442" s="8"/>
      <c r="F2442" s="8"/>
    </row>
    <row r="2443" spans="2:6">
      <c r="B2443" s="44"/>
      <c r="D2443" s="8"/>
      <c r="E2443" s="8"/>
      <c r="F2443" s="8"/>
    </row>
    <row r="2444" spans="2:6">
      <c r="B2444" s="44"/>
      <c r="D2444" s="8"/>
      <c r="E2444" s="8"/>
      <c r="F2444" s="8"/>
    </row>
    <row r="2445" spans="2:6">
      <c r="B2445" s="44"/>
      <c r="D2445" s="8"/>
      <c r="E2445" s="8"/>
      <c r="F2445" s="8"/>
    </row>
    <row r="2446" spans="2:6">
      <c r="B2446" s="44"/>
      <c r="D2446" s="8"/>
      <c r="E2446" s="8"/>
      <c r="F2446" s="8"/>
    </row>
    <row r="2447" spans="2:6">
      <c r="B2447" s="44"/>
      <c r="D2447" s="8"/>
      <c r="E2447" s="8"/>
      <c r="F2447" s="8"/>
    </row>
    <row r="2448" spans="2:6">
      <c r="B2448" s="44"/>
      <c r="D2448" s="8"/>
      <c r="E2448" s="8"/>
      <c r="F2448" s="8"/>
    </row>
    <row r="2449" spans="2:6">
      <c r="B2449" s="44"/>
      <c r="D2449" s="8"/>
      <c r="E2449" s="8"/>
      <c r="F2449" s="8"/>
    </row>
    <row r="2450" spans="2:6">
      <c r="B2450" s="44"/>
      <c r="D2450" s="8"/>
      <c r="E2450" s="8"/>
      <c r="F2450" s="8"/>
    </row>
    <row r="2451" spans="2:6">
      <c r="B2451" s="44"/>
      <c r="D2451" s="8"/>
      <c r="E2451" s="8"/>
      <c r="F2451" s="8"/>
    </row>
    <row r="2452" spans="2:6">
      <c r="B2452" s="44"/>
      <c r="D2452" s="8"/>
      <c r="E2452" s="8"/>
      <c r="F2452" s="8"/>
    </row>
    <row r="2453" spans="2:6">
      <c r="B2453" s="44"/>
      <c r="D2453" s="8"/>
      <c r="E2453" s="8"/>
      <c r="F2453" s="8"/>
    </row>
    <row r="2454" spans="2:6">
      <c r="B2454" s="44"/>
      <c r="D2454" s="8"/>
      <c r="E2454" s="8"/>
      <c r="F2454" s="8"/>
    </row>
    <row r="2455" spans="2:6">
      <c r="B2455" s="44"/>
      <c r="D2455" s="8"/>
      <c r="E2455" s="8"/>
      <c r="F2455" s="8"/>
    </row>
    <row r="2456" spans="2:6">
      <c r="B2456" s="44"/>
      <c r="D2456" s="8"/>
      <c r="E2456" s="8"/>
      <c r="F2456" s="8"/>
    </row>
    <row r="2457" spans="2:6">
      <c r="B2457" s="44"/>
      <c r="D2457" s="8"/>
      <c r="E2457" s="8"/>
      <c r="F2457" s="8"/>
    </row>
    <row r="2458" spans="2:6">
      <c r="B2458" s="44"/>
      <c r="D2458" s="8"/>
      <c r="E2458" s="8"/>
      <c r="F2458" s="8"/>
    </row>
    <row r="2459" spans="2:6">
      <c r="B2459" s="44"/>
      <c r="D2459" s="8"/>
      <c r="E2459" s="8"/>
      <c r="F2459" s="8"/>
    </row>
    <row r="2460" spans="2:6">
      <c r="B2460" s="44"/>
      <c r="D2460" s="8"/>
      <c r="E2460" s="8"/>
      <c r="F2460" s="8"/>
    </row>
    <row r="2461" spans="2:6">
      <c r="B2461" s="44"/>
      <c r="D2461" s="8"/>
      <c r="E2461" s="8"/>
      <c r="F2461" s="8"/>
    </row>
    <row r="2462" spans="2:6">
      <c r="B2462" s="44"/>
      <c r="D2462" s="8"/>
      <c r="E2462" s="8"/>
      <c r="F2462" s="8"/>
    </row>
    <row r="2463" spans="2:6">
      <c r="B2463" s="44"/>
      <c r="D2463" s="8"/>
      <c r="E2463" s="8"/>
      <c r="F2463" s="8"/>
    </row>
    <row r="2464" spans="2:6">
      <c r="B2464" s="44"/>
      <c r="D2464" s="8"/>
      <c r="E2464" s="8"/>
      <c r="F2464" s="8"/>
    </row>
    <row r="2465" spans="2:6">
      <c r="B2465" s="44"/>
      <c r="D2465" s="8"/>
      <c r="E2465" s="8"/>
      <c r="F2465" s="8"/>
    </row>
    <row r="2466" spans="2:6">
      <c r="B2466" s="44"/>
      <c r="D2466" s="8"/>
      <c r="E2466" s="8"/>
      <c r="F2466" s="8"/>
    </row>
    <row r="2467" spans="2:6">
      <c r="B2467" s="44"/>
      <c r="D2467" s="8"/>
      <c r="E2467" s="8"/>
      <c r="F2467" s="8"/>
    </row>
    <row r="2468" spans="2:6">
      <c r="B2468" s="44"/>
      <c r="D2468" s="8"/>
      <c r="E2468" s="8"/>
      <c r="F2468" s="8"/>
    </row>
    <row r="2469" spans="2:6">
      <c r="B2469" s="44"/>
      <c r="D2469" s="8"/>
      <c r="E2469" s="8"/>
      <c r="F2469" s="8"/>
    </row>
    <row r="2470" spans="2:6">
      <c r="B2470" s="44"/>
      <c r="D2470" s="8"/>
      <c r="E2470" s="8"/>
      <c r="F2470" s="8"/>
    </row>
    <row r="2471" spans="2:6">
      <c r="B2471" s="44"/>
      <c r="D2471" s="8"/>
      <c r="E2471" s="8"/>
      <c r="F2471" s="8"/>
    </row>
    <row r="2472" spans="2:6">
      <c r="B2472" s="44"/>
      <c r="D2472" s="8"/>
      <c r="E2472" s="8"/>
      <c r="F2472" s="8"/>
    </row>
    <row r="2473" spans="2:6">
      <c r="B2473" s="44"/>
      <c r="D2473" s="8"/>
      <c r="E2473" s="8"/>
      <c r="F2473" s="8"/>
    </row>
    <row r="2474" spans="2:6">
      <c r="B2474" s="44"/>
      <c r="D2474" s="8"/>
      <c r="E2474" s="8"/>
      <c r="F2474" s="8"/>
    </row>
    <row r="2475" spans="2:6">
      <c r="B2475" s="44"/>
      <c r="D2475" s="8"/>
      <c r="E2475" s="8"/>
      <c r="F2475" s="8"/>
    </row>
    <row r="2476" spans="2:6">
      <c r="B2476" s="44"/>
      <c r="D2476" s="8"/>
      <c r="E2476" s="8"/>
      <c r="F2476" s="8"/>
    </row>
    <row r="2477" spans="2:6">
      <c r="B2477" s="44"/>
      <c r="D2477" s="8"/>
      <c r="E2477" s="8"/>
      <c r="F2477" s="8"/>
    </row>
    <row r="2478" spans="2:6">
      <c r="B2478" s="44"/>
      <c r="D2478" s="8"/>
      <c r="E2478" s="8"/>
      <c r="F2478" s="8"/>
    </row>
    <row r="2479" spans="2:6">
      <c r="B2479" s="44"/>
      <c r="D2479" s="8"/>
      <c r="E2479" s="8"/>
      <c r="F2479" s="8"/>
    </row>
    <row r="2480" spans="2:6">
      <c r="B2480" s="44"/>
      <c r="D2480" s="8"/>
      <c r="E2480" s="8"/>
      <c r="F2480" s="8"/>
    </row>
    <row r="2481" spans="2:6">
      <c r="B2481" s="44"/>
      <c r="D2481" s="8"/>
      <c r="E2481" s="8"/>
      <c r="F2481" s="8"/>
    </row>
    <row r="2482" spans="2:6">
      <c r="B2482" s="44"/>
      <c r="D2482" s="8"/>
      <c r="E2482" s="8"/>
      <c r="F2482" s="8"/>
    </row>
    <row r="2483" spans="2:6">
      <c r="B2483" s="44"/>
      <c r="D2483" s="8"/>
      <c r="E2483" s="8"/>
      <c r="F2483" s="8"/>
    </row>
    <row r="2484" spans="2:6">
      <c r="B2484" s="44"/>
      <c r="D2484" s="8"/>
      <c r="E2484" s="8"/>
      <c r="F2484" s="8"/>
    </row>
    <row r="2485" spans="2:6">
      <c r="B2485" s="44"/>
      <c r="D2485" s="8"/>
      <c r="E2485" s="8"/>
      <c r="F2485" s="8"/>
    </row>
    <row r="2486" spans="2:6">
      <c r="B2486" s="44"/>
      <c r="D2486" s="8"/>
      <c r="E2486" s="8"/>
      <c r="F2486" s="8"/>
    </row>
    <row r="2487" spans="2:6">
      <c r="B2487" s="44"/>
      <c r="D2487" s="8"/>
      <c r="E2487" s="8"/>
      <c r="F2487" s="8"/>
    </row>
    <row r="2488" spans="2:6">
      <c r="B2488" s="44"/>
      <c r="D2488" s="8"/>
      <c r="E2488" s="8"/>
      <c r="F2488" s="8"/>
    </row>
    <row r="2489" spans="2:6">
      <c r="B2489" s="44"/>
      <c r="D2489" s="8"/>
      <c r="E2489" s="8"/>
      <c r="F2489" s="8"/>
    </row>
    <row r="2490" spans="2:6">
      <c r="B2490" s="44"/>
      <c r="D2490" s="8"/>
      <c r="E2490" s="8"/>
      <c r="F2490" s="8"/>
    </row>
    <row r="2491" spans="2:6">
      <c r="B2491" s="44"/>
      <c r="D2491" s="8"/>
      <c r="E2491" s="8"/>
      <c r="F2491" s="8"/>
    </row>
    <row r="2492" spans="2:6">
      <c r="B2492" s="44"/>
      <c r="D2492" s="8"/>
      <c r="E2492" s="8"/>
      <c r="F2492" s="8"/>
    </row>
    <row r="2493" spans="2:6">
      <c r="B2493" s="44"/>
      <c r="D2493" s="8"/>
      <c r="E2493" s="8"/>
      <c r="F2493" s="8"/>
    </row>
    <row r="2494" spans="2:6">
      <c r="B2494" s="44"/>
      <c r="D2494" s="8"/>
      <c r="E2494" s="8"/>
      <c r="F2494" s="8"/>
    </row>
    <row r="2495" spans="2:6">
      <c r="B2495" s="44"/>
      <c r="D2495" s="8"/>
      <c r="E2495" s="8"/>
      <c r="F2495" s="8"/>
    </row>
    <row r="2496" spans="2:6">
      <c r="B2496" s="44"/>
      <c r="D2496" s="8"/>
      <c r="E2496" s="8"/>
      <c r="F2496" s="8"/>
    </row>
    <row r="2497" spans="2:6">
      <c r="B2497" s="44"/>
      <c r="D2497" s="8"/>
      <c r="E2497" s="8"/>
      <c r="F2497" s="8"/>
    </row>
    <row r="2498" spans="2:6">
      <c r="B2498" s="44"/>
      <c r="D2498" s="8"/>
      <c r="E2498" s="8"/>
      <c r="F2498" s="8"/>
    </row>
    <row r="2499" spans="2:6">
      <c r="B2499" s="44"/>
      <c r="D2499" s="8"/>
      <c r="E2499" s="8"/>
      <c r="F2499" s="8"/>
    </row>
    <row r="2500" spans="2:6">
      <c r="B2500" s="44"/>
      <c r="D2500" s="8"/>
      <c r="E2500" s="8"/>
      <c r="F2500" s="8"/>
    </row>
    <row r="2501" spans="2:6">
      <c r="B2501" s="44"/>
      <c r="D2501" s="8"/>
      <c r="E2501" s="8"/>
      <c r="F2501" s="8"/>
    </row>
    <row r="2502" spans="2:6">
      <c r="B2502" s="44"/>
      <c r="D2502" s="8"/>
      <c r="E2502" s="8"/>
      <c r="F2502" s="8"/>
    </row>
    <row r="2503" spans="2:6">
      <c r="B2503" s="44"/>
      <c r="D2503" s="8"/>
      <c r="E2503" s="8"/>
      <c r="F2503" s="8"/>
    </row>
    <row r="2504" spans="2:6">
      <c r="B2504" s="44"/>
      <c r="D2504" s="8"/>
      <c r="E2504" s="8"/>
      <c r="F2504" s="8"/>
    </row>
    <row r="2505" spans="2:6">
      <c r="B2505" s="44"/>
      <c r="D2505" s="8"/>
      <c r="E2505" s="8"/>
      <c r="F2505" s="8"/>
    </row>
    <row r="2506" spans="2:6">
      <c r="B2506" s="44"/>
      <c r="D2506" s="8"/>
      <c r="E2506" s="8"/>
      <c r="F2506" s="8"/>
    </row>
    <row r="2507" spans="2:6">
      <c r="B2507" s="44"/>
      <c r="D2507" s="8"/>
      <c r="E2507" s="8"/>
      <c r="F2507" s="8"/>
    </row>
    <row r="2508" spans="2:6">
      <c r="B2508" s="44"/>
      <c r="D2508" s="8"/>
      <c r="E2508" s="8"/>
      <c r="F2508" s="8"/>
    </row>
    <row r="2509" spans="2:6">
      <c r="B2509" s="44"/>
      <c r="D2509" s="8"/>
      <c r="E2509" s="8"/>
      <c r="F2509" s="8"/>
    </row>
    <row r="2510" spans="2:6">
      <c r="B2510" s="44"/>
      <c r="D2510" s="8"/>
      <c r="E2510" s="8"/>
      <c r="F2510" s="8"/>
    </row>
    <row r="2511" spans="2:6">
      <c r="B2511" s="44"/>
      <c r="D2511" s="8"/>
      <c r="E2511" s="8"/>
      <c r="F2511" s="8"/>
    </row>
    <row r="2512" spans="2:6">
      <c r="B2512" s="44"/>
      <c r="D2512" s="8"/>
      <c r="E2512" s="8"/>
      <c r="F2512" s="8"/>
    </row>
    <row r="2513" spans="2:6">
      <c r="B2513" s="44"/>
      <c r="D2513" s="8"/>
      <c r="E2513" s="8"/>
      <c r="F2513" s="8"/>
    </row>
    <row r="2514" spans="2:6">
      <c r="B2514" s="44"/>
      <c r="D2514" s="8"/>
      <c r="E2514" s="8"/>
      <c r="F2514" s="8"/>
    </row>
    <row r="2515" spans="2:6">
      <c r="B2515" s="44"/>
      <c r="D2515" s="8"/>
      <c r="E2515" s="8"/>
      <c r="F2515" s="8"/>
    </row>
    <row r="2516" spans="2:6">
      <c r="B2516" s="44"/>
      <c r="D2516" s="8"/>
      <c r="E2516" s="8"/>
      <c r="F2516" s="8"/>
    </row>
    <row r="2517" spans="2:6">
      <c r="B2517" s="44"/>
      <c r="D2517" s="8"/>
      <c r="E2517" s="8"/>
      <c r="F2517" s="8"/>
    </row>
    <row r="2518" spans="2:6">
      <c r="B2518" s="44"/>
      <c r="D2518" s="8"/>
      <c r="E2518" s="8"/>
      <c r="F2518" s="8"/>
    </row>
    <row r="2519" spans="2:6">
      <c r="B2519" s="44"/>
      <c r="D2519" s="8"/>
      <c r="E2519" s="8"/>
      <c r="F2519" s="8"/>
    </row>
    <row r="2520" spans="2:6">
      <c r="B2520" s="44"/>
      <c r="D2520" s="8"/>
      <c r="E2520" s="8"/>
      <c r="F2520" s="8"/>
    </row>
    <row r="2521" spans="2:6">
      <c r="B2521" s="44"/>
      <c r="D2521" s="8"/>
      <c r="E2521" s="8"/>
      <c r="F2521" s="8"/>
    </row>
    <row r="2522" spans="2:6">
      <c r="B2522" s="44"/>
      <c r="D2522" s="8"/>
      <c r="E2522" s="8"/>
      <c r="F2522" s="8"/>
    </row>
    <row r="2523" spans="2:6">
      <c r="B2523" s="44"/>
      <c r="D2523" s="8"/>
      <c r="E2523" s="8"/>
      <c r="F2523" s="8"/>
    </row>
    <row r="2524" spans="2:6">
      <c r="B2524" s="44"/>
      <c r="D2524" s="8"/>
      <c r="E2524" s="8"/>
      <c r="F2524" s="8"/>
    </row>
    <row r="2525" spans="2:6">
      <c r="B2525" s="44"/>
      <c r="D2525" s="8"/>
      <c r="E2525" s="8"/>
      <c r="F2525" s="8"/>
    </row>
    <row r="2526" spans="2:6">
      <c r="B2526" s="44"/>
      <c r="D2526" s="8"/>
      <c r="E2526" s="8"/>
      <c r="F2526" s="8"/>
    </row>
    <row r="2527" spans="2:6">
      <c r="B2527" s="44"/>
      <c r="D2527" s="8"/>
      <c r="E2527" s="8"/>
      <c r="F2527" s="8"/>
    </row>
    <row r="2528" spans="2:6">
      <c r="B2528" s="44"/>
      <c r="D2528" s="8"/>
      <c r="E2528" s="8"/>
      <c r="F2528" s="8"/>
    </row>
    <row r="2529" spans="2:6">
      <c r="B2529" s="44"/>
      <c r="D2529" s="8"/>
      <c r="E2529" s="8"/>
      <c r="F2529" s="8"/>
    </row>
    <row r="2530" spans="2:6">
      <c r="B2530" s="44"/>
      <c r="D2530" s="8"/>
      <c r="E2530" s="8"/>
      <c r="F2530" s="8"/>
    </row>
    <row r="2531" spans="2:6">
      <c r="B2531" s="44"/>
      <c r="D2531" s="8"/>
      <c r="E2531" s="8"/>
      <c r="F2531" s="8"/>
    </row>
    <row r="2532" spans="2:6">
      <c r="B2532" s="44"/>
      <c r="D2532" s="8"/>
      <c r="E2532" s="8"/>
      <c r="F2532" s="8"/>
    </row>
    <row r="2533" spans="2:6">
      <c r="B2533" s="44"/>
      <c r="D2533" s="8"/>
      <c r="E2533" s="8"/>
      <c r="F2533" s="8"/>
    </row>
    <row r="2534" spans="2:6">
      <c r="B2534" s="44"/>
      <c r="D2534" s="8"/>
      <c r="E2534" s="8"/>
      <c r="F2534" s="8"/>
    </row>
    <row r="2535" spans="2:6">
      <c r="B2535" s="44"/>
      <c r="D2535" s="8"/>
      <c r="E2535" s="8"/>
      <c r="F2535" s="8"/>
    </row>
    <row r="2536" spans="2:6">
      <c r="B2536" s="44"/>
      <c r="D2536" s="8"/>
      <c r="E2536" s="8"/>
      <c r="F2536" s="8"/>
    </row>
    <row r="2537" spans="2:6">
      <c r="B2537" s="44"/>
      <c r="D2537" s="8"/>
      <c r="E2537" s="8"/>
      <c r="F2537" s="8"/>
    </row>
    <row r="2538" spans="2:6">
      <c r="B2538" s="44"/>
      <c r="D2538" s="8"/>
      <c r="E2538" s="8"/>
      <c r="F2538" s="8"/>
    </row>
    <row r="2539" spans="2:6">
      <c r="B2539" s="44"/>
      <c r="D2539" s="8"/>
      <c r="E2539" s="8"/>
      <c r="F2539" s="8"/>
    </row>
    <row r="2540" spans="2:6">
      <c r="B2540" s="44"/>
      <c r="D2540" s="8"/>
      <c r="E2540" s="8"/>
      <c r="F2540" s="8"/>
    </row>
    <row r="2541" spans="2:6">
      <c r="B2541" s="44"/>
      <c r="D2541" s="8"/>
      <c r="E2541" s="8"/>
      <c r="F2541" s="8"/>
    </row>
    <row r="2542" spans="2:6">
      <c r="B2542" s="44"/>
      <c r="D2542" s="8"/>
      <c r="E2542" s="8"/>
      <c r="F2542" s="8"/>
    </row>
    <row r="2543" spans="2:6">
      <c r="B2543" s="44"/>
      <c r="D2543" s="8"/>
      <c r="E2543" s="8"/>
      <c r="F2543" s="8"/>
    </row>
    <row r="2544" spans="2:6">
      <c r="B2544" s="44"/>
      <c r="D2544" s="8"/>
      <c r="E2544" s="8"/>
      <c r="F2544" s="8"/>
    </row>
    <row r="2545" spans="2:6">
      <c r="B2545" s="44"/>
      <c r="D2545" s="8"/>
      <c r="E2545" s="8"/>
      <c r="F2545" s="8"/>
    </row>
    <row r="2546" spans="2:6">
      <c r="B2546" s="44"/>
      <c r="D2546" s="8"/>
      <c r="E2546" s="8"/>
      <c r="F2546" s="8"/>
    </row>
    <row r="2547" spans="2:6">
      <c r="B2547" s="44"/>
      <c r="D2547" s="8"/>
      <c r="E2547" s="8"/>
      <c r="F2547" s="8"/>
    </row>
    <row r="2548" spans="2:6">
      <c r="B2548" s="44"/>
      <c r="D2548" s="8"/>
      <c r="E2548" s="8"/>
      <c r="F2548" s="8"/>
    </row>
    <row r="2549" spans="2:6">
      <c r="B2549" s="44"/>
      <c r="D2549" s="8"/>
      <c r="E2549" s="8"/>
      <c r="F2549" s="8"/>
    </row>
    <row r="2550" spans="2:6">
      <c r="B2550" s="44"/>
      <c r="D2550" s="8"/>
      <c r="E2550" s="8"/>
      <c r="F2550" s="8"/>
    </row>
    <row r="2551" spans="2:6">
      <c r="B2551" s="44"/>
      <c r="D2551" s="8"/>
      <c r="E2551" s="8"/>
      <c r="F2551" s="8"/>
    </row>
    <row r="2552" spans="2:6">
      <c r="B2552" s="44"/>
      <c r="D2552" s="8"/>
      <c r="E2552" s="8"/>
      <c r="F2552" s="8"/>
    </row>
    <row r="2553" spans="2:6">
      <c r="B2553" s="44"/>
      <c r="D2553" s="8"/>
      <c r="E2553" s="8"/>
      <c r="F2553" s="8"/>
    </row>
    <row r="2554" spans="2:6">
      <c r="B2554" s="44"/>
      <c r="D2554" s="8"/>
      <c r="E2554" s="8"/>
      <c r="F2554" s="8"/>
    </row>
    <row r="2555" spans="2:6">
      <c r="B2555" s="44"/>
      <c r="D2555" s="8"/>
      <c r="E2555" s="8"/>
      <c r="F2555" s="8"/>
    </row>
    <row r="2556" spans="2:6">
      <c r="B2556" s="44"/>
      <c r="D2556" s="8"/>
      <c r="E2556" s="8"/>
      <c r="F2556" s="8"/>
    </row>
    <row r="2557" spans="2:6">
      <c r="B2557" s="44"/>
      <c r="D2557" s="8"/>
      <c r="E2557" s="8"/>
      <c r="F2557" s="8"/>
    </row>
    <row r="2558" spans="2:6">
      <c r="B2558" s="44"/>
      <c r="D2558" s="8"/>
      <c r="E2558" s="8"/>
      <c r="F2558" s="8"/>
    </row>
    <row r="2559" spans="2:6">
      <c r="B2559" s="44"/>
      <c r="D2559" s="8"/>
      <c r="E2559" s="8"/>
      <c r="F2559" s="8"/>
    </row>
    <row r="2560" spans="2:6">
      <c r="B2560" s="44"/>
      <c r="D2560" s="8"/>
      <c r="E2560" s="8"/>
      <c r="F2560" s="8"/>
    </row>
    <row r="2561" spans="2:6">
      <c r="B2561" s="44"/>
      <c r="D2561" s="8"/>
      <c r="E2561" s="8"/>
      <c r="F2561" s="8"/>
    </row>
    <row r="2562" spans="2:6">
      <c r="B2562" s="44"/>
      <c r="D2562" s="8"/>
      <c r="E2562" s="8"/>
      <c r="F2562" s="8"/>
    </row>
    <row r="2563" spans="2:6">
      <c r="B2563" s="44"/>
      <c r="D2563" s="8"/>
      <c r="E2563" s="8"/>
      <c r="F2563" s="8"/>
    </row>
    <row r="2564" spans="2:6">
      <c r="B2564" s="44"/>
      <c r="D2564" s="8"/>
      <c r="E2564" s="8"/>
      <c r="F2564" s="8"/>
    </row>
    <row r="2565" spans="2:6">
      <c r="B2565" s="44"/>
      <c r="D2565" s="8"/>
      <c r="E2565" s="8"/>
      <c r="F2565" s="8"/>
    </row>
    <row r="2566" spans="2:6">
      <c r="B2566" s="44"/>
      <c r="D2566" s="8"/>
      <c r="E2566" s="8"/>
      <c r="F2566" s="8"/>
    </row>
    <row r="2567" spans="2:6">
      <c r="B2567" s="44"/>
      <c r="D2567" s="8"/>
      <c r="E2567" s="8"/>
      <c r="F2567" s="8"/>
    </row>
    <row r="2568" spans="2:6">
      <c r="B2568" s="44"/>
      <c r="D2568" s="8"/>
      <c r="E2568" s="8"/>
      <c r="F2568" s="8"/>
    </row>
    <row r="2569" spans="2:6">
      <c r="B2569" s="44"/>
      <c r="D2569" s="8"/>
      <c r="E2569" s="8"/>
      <c r="F2569" s="8"/>
    </row>
    <row r="2570" spans="2:6">
      <c r="B2570" s="44"/>
      <c r="D2570" s="8"/>
      <c r="E2570" s="8"/>
      <c r="F2570" s="8"/>
    </row>
    <row r="2571" spans="2:6">
      <c r="B2571" s="44"/>
      <c r="D2571" s="8"/>
      <c r="E2571" s="8"/>
      <c r="F2571" s="8"/>
    </row>
    <row r="2572" spans="2:6">
      <c r="B2572" s="44"/>
      <c r="D2572" s="8"/>
      <c r="E2572" s="8"/>
      <c r="F2572" s="8"/>
    </row>
    <row r="2573" spans="2:6">
      <c r="B2573" s="44"/>
      <c r="D2573" s="8"/>
      <c r="E2573" s="8"/>
      <c r="F2573" s="8"/>
    </row>
    <row r="2574" spans="2:6">
      <c r="B2574" s="44"/>
      <c r="D2574" s="8"/>
      <c r="E2574" s="8"/>
      <c r="F2574" s="8"/>
    </row>
    <row r="2575" spans="2:6">
      <c r="B2575" s="44"/>
      <c r="D2575" s="8"/>
      <c r="E2575" s="8"/>
      <c r="F2575" s="8"/>
    </row>
    <row r="2576" spans="2:6">
      <c r="B2576" s="44"/>
      <c r="D2576" s="8"/>
      <c r="E2576" s="8"/>
      <c r="F2576" s="8"/>
    </row>
    <row r="2577" spans="2:6">
      <c r="B2577" s="44"/>
      <c r="D2577" s="8"/>
      <c r="E2577" s="8"/>
      <c r="F2577" s="8"/>
    </row>
    <row r="2578" spans="2:6">
      <c r="B2578" s="44"/>
      <c r="D2578" s="8"/>
      <c r="E2578" s="8"/>
      <c r="F2578" s="8"/>
    </row>
    <row r="2579" spans="2:6">
      <c r="B2579" s="44"/>
      <c r="D2579" s="8"/>
      <c r="E2579" s="8"/>
      <c r="F2579" s="8"/>
    </row>
    <row r="2580" spans="2:6">
      <c r="B2580" s="44"/>
      <c r="D2580" s="8"/>
      <c r="E2580" s="8"/>
      <c r="F2580" s="8"/>
    </row>
    <row r="2581" spans="2:6">
      <c r="B2581" s="44"/>
      <c r="D2581" s="8"/>
      <c r="E2581" s="8"/>
      <c r="F2581" s="8"/>
    </row>
    <row r="2582" spans="2:6">
      <c r="B2582" s="44"/>
      <c r="D2582" s="8"/>
      <c r="E2582" s="8"/>
      <c r="F2582" s="8"/>
    </row>
    <row r="2583" spans="2:6">
      <c r="B2583" s="44"/>
      <c r="D2583" s="8"/>
      <c r="E2583" s="8"/>
      <c r="F2583" s="8"/>
    </row>
    <row r="2584" spans="2:6">
      <c r="B2584" s="44"/>
      <c r="D2584" s="8"/>
      <c r="E2584" s="8"/>
      <c r="F2584" s="8"/>
    </row>
    <row r="2585" spans="2:6">
      <c r="B2585" s="44"/>
      <c r="D2585" s="8"/>
      <c r="E2585" s="8"/>
      <c r="F2585" s="8"/>
    </row>
    <row r="2586" spans="2:6">
      <c r="B2586" s="44"/>
      <c r="D2586" s="8"/>
      <c r="E2586" s="8"/>
      <c r="F2586" s="8"/>
    </row>
    <row r="2587" spans="2:6">
      <c r="B2587" s="44"/>
      <c r="D2587" s="8"/>
      <c r="E2587" s="8"/>
      <c r="F2587" s="8"/>
    </row>
    <row r="2588" spans="2:6">
      <c r="B2588" s="44"/>
      <c r="D2588" s="8"/>
      <c r="E2588" s="8"/>
      <c r="F2588" s="8"/>
    </row>
    <row r="2589" spans="2:6">
      <c r="B2589" s="44"/>
      <c r="D2589" s="8"/>
      <c r="E2589" s="8"/>
      <c r="F2589" s="8"/>
    </row>
    <row r="2590" spans="2:6">
      <c r="B2590" s="44"/>
      <c r="D2590" s="8"/>
      <c r="E2590" s="8"/>
      <c r="F2590" s="8"/>
    </row>
    <row r="2591" spans="2:6">
      <c r="B2591" s="44"/>
      <c r="D2591" s="8"/>
      <c r="E2591" s="8"/>
      <c r="F2591" s="8"/>
    </row>
    <row r="2592" spans="2:6">
      <c r="B2592" s="44"/>
      <c r="D2592" s="8"/>
      <c r="E2592" s="8"/>
      <c r="F2592" s="8"/>
    </row>
    <row r="2593" spans="2:6">
      <c r="B2593" s="44"/>
      <c r="D2593" s="8"/>
      <c r="E2593" s="8"/>
      <c r="F2593" s="8"/>
    </row>
    <row r="2594" spans="2:6">
      <c r="B2594" s="44"/>
      <c r="D2594" s="8"/>
      <c r="E2594" s="8"/>
      <c r="F2594" s="8"/>
    </row>
    <row r="2595" spans="2:6">
      <c r="B2595" s="44"/>
      <c r="D2595" s="8"/>
      <c r="E2595" s="8"/>
      <c r="F2595" s="8"/>
    </row>
    <row r="2596" spans="2:6">
      <c r="B2596" s="44"/>
      <c r="D2596" s="8"/>
      <c r="E2596" s="8"/>
      <c r="F2596" s="8"/>
    </row>
    <row r="2597" spans="2:6">
      <c r="B2597" s="44"/>
      <c r="D2597" s="8"/>
      <c r="E2597" s="8"/>
      <c r="F2597" s="8"/>
    </row>
    <row r="2598" spans="2:6">
      <c r="B2598" s="44"/>
      <c r="D2598" s="8"/>
      <c r="E2598" s="8"/>
      <c r="F2598" s="8"/>
    </row>
    <row r="2599" spans="2:6">
      <c r="B2599" s="44"/>
      <c r="D2599" s="8"/>
      <c r="E2599" s="8"/>
      <c r="F2599" s="8"/>
    </row>
    <row r="2600" spans="2:6">
      <c r="B2600" s="44"/>
      <c r="D2600" s="8"/>
      <c r="E2600" s="8"/>
      <c r="F2600" s="8"/>
    </row>
    <row r="2601" spans="2:6">
      <c r="B2601" s="44"/>
      <c r="D2601" s="8"/>
      <c r="E2601" s="8"/>
      <c r="F2601" s="8"/>
    </row>
    <row r="2602" spans="2:6">
      <c r="B2602" s="44"/>
      <c r="D2602" s="8"/>
      <c r="E2602" s="8"/>
      <c r="F2602" s="8"/>
    </row>
    <row r="2603" spans="2:6">
      <c r="B2603" s="44"/>
      <c r="D2603" s="8"/>
      <c r="E2603" s="8"/>
      <c r="F2603" s="8"/>
    </row>
    <row r="2604" spans="2:6">
      <c r="B2604" s="44"/>
      <c r="D2604" s="8"/>
      <c r="E2604" s="8"/>
      <c r="F2604" s="8"/>
    </row>
    <row r="2605" spans="2:6">
      <c r="B2605" s="44"/>
      <c r="D2605" s="8"/>
      <c r="E2605" s="8"/>
      <c r="F2605" s="8"/>
    </row>
    <row r="2606" spans="2:6">
      <c r="B2606" s="44"/>
      <c r="D2606" s="8"/>
      <c r="E2606" s="8"/>
      <c r="F2606" s="8"/>
    </row>
    <row r="2607" spans="2:6">
      <c r="B2607" s="44"/>
      <c r="D2607" s="8"/>
      <c r="E2607" s="8"/>
      <c r="F2607" s="8"/>
    </row>
    <row r="2608" spans="2:6">
      <c r="B2608" s="44"/>
      <c r="D2608" s="8"/>
      <c r="E2608" s="8"/>
      <c r="F2608" s="8"/>
    </row>
    <row r="2609" spans="2:6">
      <c r="B2609" s="44"/>
      <c r="D2609" s="8"/>
      <c r="E2609" s="8"/>
      <c r="F2609" s="8"/>
    </row>
    <row r="2610" spans="2:6">
      <c r="B2610" s="44"/>
      <c r="D2610" s="8"/>
      <c r="E2610" s="8"/>
      <c r="F2610" s="8"/>
    </row>
    <row r="2611" spans="2:6">
      <c r="B2611" s="44"/>
      <c r="D2611" s="8"/>
      <c r="E2611" s="8"/>
      <c r="F2611" s="8"/>
    </row>
    <row r="2612" spans="2:6">
      <c r="B2612" s="44"/>
      <c r="D2612" s="8"/>
      <c r="E2612" s="8"/>
      <c r="F2612" s="8"/>
    </row>
    <row r="2613" spans="2:6">
      <c r="B2613" s="44"/>
      <c r="D2613" s="8"/>
      <c r="E2613" s="8"/>
      <c r="F2613" s="8"/>
    </row>
    <row r="2614" spans="2:6">
      <c r="B2614" s="44"/>
      <c r="D2614" s="8"/>
      <c r="E2614" s="8"/>
      <c r="F2614" s="8"/>
    </row>
    <row r="2615" spans="2:6">
      <c r="B2615" s="44"/>
      <c r="D2615" s="8"/>
      <c r="E2615" s="8"/>
      <c r="F2615" s="8"/>
    </row>
    <row r="2616" spans="2:6">
      <c r="B2616" s="44"/>
      <c r="D2616" s="8"/>
      <c r="E2616" s="8"/>
      <c r="F2616" s="8"/>
    </row>
    <row r="2617" spans="2:6">
      <c r="B2617" s="44"/>
      <c r="D2617" s="8"/>
      <c r="E2617" s="8"/>
      <c r="F2617" s="8"/>
    </row>
    <row r="2618" spans="2:6">
      <c r="B2618" s="44"/>
      <c r="D2618" s="8"/>
      <c r="E2618" s="8"/>
      <c r="F2618" s="8"/>
    </row>
    <row r="2619" spans="2:6">
      <c r="B2619" s="44"/>
      <c r="D2619" s="8"/>
      <c r="E2619" s="8"/>
      <c r="F2619" s="8"/>
    </row>
    <row r="2620" spans="2:6">
      <c r="B2620" s="44"/>
      <c r="D2620" s="8"/>
      <c r="E2620" s="8"/>
      <c r="F2620" s="8"/>
    </row>
    <row r="2621" spans="2:6">
      <c r="B2621" s="44"/>
      <c r="D2621" s="8"/>
      <c r="E2621" s="8"/>
      <c r="F2621" s="8"/>
    </row>
    <row r="2622" spans="2:6">
      <c r="B2622" s="44"/>
      <c r="D2622" s="8"/>
      <c r="E2622" s="8"/>
      <c r="F2622" s="8"/>
    </row>
    <row r="2623" spans="2:6">
      <c r="B2623" s="44"/>
      <c r="D2623" s="8"/>
      <c r="E2623" s="8"/>
      <c r="F2623" s="8"/>
    </row>
    <row r="2624" spans="2:6">
      <c r="B2624" s="44"/>
      <c r="D2624" s="8"/>
      <c r="E2624" s="8"/>
      <c r="F2624" s="8"/>
    </row>
    <row r="2625" spans="2:6">
      <c r="B2625" s="44"/>
      <c r="D2625" s="8"/>
      <c r="E2625" s="8"/>
      <c r="F2625" s="8"/>
    </row>
    <row r="2626" spans="2:6">
      <c r="B2626" s="44"/>
      <c r="D2626" s="8"/>
      <c r="E2626" s="8"/>
      <c r="F2626" s="8"/>
    </row>
    <row r="2627" spans="2:6">
      <c r="B2627" s="44"/>
      <c r="D2627" s="8"/>
      <c r="E2627" s="8"/>
      <c r="F2627" s="8"/>
    </row>
    <row r="2628" spans="2:6">
      <c r="B2628" s="44"/>
      <c r="D2628" s="8"/>
      <c r="E2628" s="8"/>
      <c r="F2628" s="8"/>
    </row>
    <row r="2629" spans="2:6">
      <c r="B2629" s="44"/>
      <c r="D2629" s="8"/>
      <c r="E2629" s="8"/>
      <c r="F2629" s="8"/>
    </row>
    <row r="2630" spans="2:6">
      <c r="B2630" s="44"/>
      <c r="D2630" s="8"/>
      <c r="E2630" s="8"/>
      <c r="F2630" s="8"/>
    </row>
    <row r="2631" spans="2:6">
      <c r="B2631" s="44"/>
      <c r="D2631" s="8"/>
      <c r="E2631" s="8"/>
      <c r="F2631" s="8"/>
    </row>
    <row r="2632" spans="2:6">
      <c r="B2632" s="44"/>
      <c r="D2632" s="8"/>
      <c r="E2632" s="8"/>
      <c r="F2632" s="8"/>
    </row>
    <row r="2633" spans="2:6">
      <c r="B2633" s="44"/>
      <c r="D2633" s="8"/>
      <c r="E2633" s="8"/>
      <c r="F2633" s="8"/>
    </row>
    <row r="2634" spans="2:6">
      <c r="B2634" s="44"/>
      <c r="D2634" s="8"/>
      <c r="E2634" s="8"/>
      <c r="F2634" s="8"/>
    </row>
    <row r="2635" spans="2:6">
      <c r="B2635" s="44"/>
      <c r="D2635" s="8"/>
      <c r="E2635" s="8"/>
      <c r="F2635" s="8"/>
    </row>
    <row r="2636" spans="2:6">
      <c r="B2636" s="44"/>
      <c r="D2636" s="8"/>
      <c r="E2636" s="8"/>
      <c r="F2636" s="8"/>
    </row>
    <row r="2637" spans="2:6">
      <c r="B2637" s="44"/>
      <c r="D2637" s="8"/>
      <c r="E2637" s="8"/>
      <c r="F2637" s="8"/>
    </row>
    <row r="2638" spans="2:6">
      <c r="B2638" s="44"/>
      <c r="D2638" s="8"/>
      <c r="E2638" s="8"/>
      <c r="F2638" s="8"/>
    </row>
    <row r="2639" spans="2:6">
      <c r="B2639" s="44"/>
      <c r="D2639" s="8"/>
      <c r="E2639" s="8"/>
      <c r="F2639" s="8"/>
    </row>
    <row r="2640" spans="2:6">
      <c r="B2640" s="44"/>
      <c r="D2640" s="8"/>
      <c r="E2640" s="8"/>
      <c r="F2640" s="8"/>
    </row>
    <row r="2641" spans="2:6">
      <c r="B2641" s="44"/>
      <c r="D2641" s="8"/>
      <c r="E2641" s="8"/>
      <c r="F2641" s="8"/>
    </row>
    <row r="2642" spans="2:6">
      <c r="B2642" s="44"/>
      <c r="D2642" s="8"/>
      <c r="E2642" s="8"/>
      <c r="F2642" s="8"/>
    </row>
    <row r="2643" spans="2:6">
      <c r="B2643" s="44"/>
      <c r="D2643" s="8"/>
      <c r="E2643" s="8"/>
      <c r="F2643" s="8"/>
    </row>
    <row r="2644" spans="2:6">
      <c r="B2644" s="44"/>
      <c r="D2644" s="8"/>
      <c r="E2644" s="8"/>
      <c r="F2644" s="8"/>
    </row>
    <row r="2645" spans="2:6">
      <c r="B2645" s="44"/>
      <c r="D2645" s="8"/>
      <c r="E2645" s="8"/>
      <c r="F2645" s="8"/>
    </row>
    <row r="2646" spans="2:6">
      <c r="B2646" s="44"/>
      <c r="D2646" s="8"/>
      <c r="E2646" s="8"/>
      <c r="F2646" s="8"/>
    </row>
    <row r="2647" spans="2:6">
      <c r="B2647" s="44"/>
      <c r="D2647" s="8"/>
      <c r="E2647" s="8"/>
      <c r="F2647" s="8"/>
    </row>
    <row r="2648" spans="2:6">
      <c r="B2648" s="44"/>
      <c r="D2648" s="8"/>
      <c r="E2648" s="8"/>
      <c r="F2648" s="8"/>
    </row>
    <row r="2649" spans="2:6">
      <c r="B2649" s="44"/>
      <c r="D2649" s="8"/>
      <c r="E2649" s="8"/>
      <c r="F2649" s="8"/>
    </row>
    <row r="2650" spans="2:6">
      <c r="B2650" s="44"/>
      <c r="D2650" s="8"/>
      <c r="E2650" s="8"/>
      <c r="F2650" s="8"/>
    </row>
    <row r="2651" spans="2:6">
      <c r="B2651" s="44"/>
      <c r="D2651" s="8"/>
      <c r="E2651" s="8"/>
      <c r="F2651" s="8"/>
    </row>
    <row r="2652" spans="2:6">
      <c r="B2652" s="44"/>
      <c r="D2652" s="8"/>
      <c r="E2652" s="8"/>
      <c r="F2652" s="8"/>
    </row>
    <row r="2653" spans="2:6">
      <c r="B2653" s="44"/>
      <c r="D2653" s="8"/>
      <c r="E2653" s="8"/>
      <c r="F2653" s="8"/>
    </row>
    <row r="2654" spans="2:6">
      <c r="B2654" s="44"/>
      <c r="D2654" s="8"/>
      <c r="E2654" s="8"/>
      <c r="F2654" s="8"/>
    </row>
    <row r="2655" spans="2:6">
      <c r="B2655" s="44"/>
      <c r="D2655" s="8"/>
      <c r="E2655" s="8"/>
      <c r="F2655" s="8"/>
    </row>
    <row r="2656" spans="2:6">
      <c r="B2656" s="44"/>
      <c r="D2656" s="8"/>
      <c r="E2656" s="8"/>
      <c r="F2656" s="8"/>
    </row>
    <row r="2657" spans="2:6">
      <c r="B2657" s="44"/>
      <c r="D2657" s="8"/>
      <c r="E2657" s="8"/>
      <c r="F2657" s="8"/>
    </row>
    <row r="2658" spans="2:6">
      <c r="B2658" s="44"/>
      <c r="D2658" s="8"/>
      <c r="E2658" s="8"/>
      <c r="F2658" s="8"/>
    </row>
    <row r="2659" spans="2:6">
      <c r="B2659" s="44"/>
      <c r="D2659" s="8"/>
      <c r="E2659" s="8"/>
      <c r="F2659" s="8"/>
    </row>
    <row r="2660" spans="2:6">
      <c r="B2660" s="44"/>
      <c r="D2660" s="8"/>
      <c r="E2660" s="8"/>
      <c r="F2660" s="8"/>
    </row>
    <row r="2661" spans="2:6">
      <c r="B2661" s="44"/>
      <c r="D2661" s="8"/>
      <c r="E2661" s="8"/>
      <c r="F2661" s="8"/>
    </row>
    <row r="2662" spans="2:6">
      <c r="B2662" s="44"/>
      <c r="D2662" s="8"/>
      <c r="E2662" s="8"/>
      <c r="F2662" s="8"/>
    </row>
    <row r="2663" spans="2:6">
      <c r="B2663" s="44"/>
      <c r="D2663" s="8"/>
      <c r="E2663" s="8"/>
      <c r="F2663" s="8"/>
    </row>
    <row r="2664" spans="2:6">
      <c r="B2664" s="44"/>
      <c r="D2664" s="8"/>
      <c r="E2664" s="8"/>
      <c r="F2664" s="8"/>
    </row>
    <row r="2665" spans="2:6">
      <c r="B2665" s="44"/>
      <c r="D2665" s="8"/>
      <c r="E2665" s="8"/>
      <c r="F2665" s="8"/>
    </row>
    <row r="2666" spans="2:6">
      <c r="B2666" s="44"/>
      <c r="D2666" s="8"/>
      <c r="E2666" s="8"/>
      <c r="F2666" s="8"/>
    </row>
    <row r="2667" spans="2:6">
      <c r="B2667" s="44"/>
      <c r="D2667" s="8"/>
      <c r="E2667" s="8"/>
      <c r="F2667" s="8"/>
    </row>
    <row r="2668" spans="2:6">
      <c r="B2668" s="44"/>
      <c r="D2668" s="8"/>
      <c r="E2668" s="8"/>
      <c r="F2668" s="8"/>
    </row>
    <row r="2669" spans="2:6">
      <c r="B2669" s="44"/>
      <c r="D2669" s="8"/>
      <c r="E2669" s="8"/>
      <c r="F2669" s="8"/>
    </row>
    <row r="2670" spans="2:6">
      <c r="B2670" s="44"/>
      <c r="D2670" s="8"/>
      <c r="E2670" s="8"/>
      <c r="F2670" s="8"/>
    </row>
    <row r="2671" spans="2:6">
      <c r="B2671" s="44"/>
      <c r="D2671" s="8"/>
      <c r="E2671" s="8"/>
      <c r="F2671" s="8"/>
    </row>
    <row r="2672" spans="2:6">
      <c r="B2672" s="44"/>
      <c r="D2672" s="8"/>
      <c r="E2672" s="8"/>
      <c r="F2672" s="8"/>
    </row>
    <row r="2673" spans="2:6">
      <c r="B2673" s="44"/>
      <c r="D2673" s="8"/>
      <c r="E2673" s="8"/>
      <c r="F2673" s="8"/>
    </row>
    <row r="2674" spans="2:6">
      <c r="B2674" s="44"/>
      <c r="D2674" s="8"/>
      <c r="E2674" s="8"/>
      <c r="F2674" s="8"/>
    </row>
    <row r="2675" spans="2:6">
      <c r="B2675" s="44"/>
      <c r="D2675" s="8"/>
      <c r="E2675" s="8"/>
      <c r="F2675" s="8"/>
    </row>
    <row r="2676" spans="2:6">
      <c r="B2676" s="44"/>
      <c r="D2676" s="8"/>
      <c r="E2676" s="8"/>
      <c r="F2676" s="8"/>
    </row>
    <row r="2677" spans="2:6">
      <c r="B2677" s="44"/>
      <c r="D2677" s="8"/>
      <c r="E2677" s="8"/>
      <c r="F2677" s="8"/>
    </row>
    <row r="2678" spans="2:6">
      <c r="B2678" s="44"/>
      <c r="D2678" s="8"/>
      <c r="E2678" s="8"/>
      <c r="F2678" s="8"/>
    </row>
    <row r="2679" spans="2:6">
      <c r="B2679" s="44"/>
      <c r="D2679" s="8"/>
      <c r="E2679" s="8"/>
      <c r="F2679" s="8"/>
    </row>
    <row r="2680" spans="2:6">
      <c r="B2680" s="44"/>
      <c r="D2680" s="8"/>
      <c r="E2680" s="8"/>
      <c r="F2680" s="8"/>
    </row>
    <row r="2681" spans="2:6">
      <c r="B2681" s="44"/>
      <c r="D2681" s="8"/>
      <c r="E2681" s="8"/>
      <c r="F2681" s="8"/>
    </row>
    <row r="2682" spans="2:6">
      <c r="B2682" s="44"/>
      <c r="D2682" s="8"/>
      <c r="E2682" s="8"/>
      <c r="F2682" s="8"/>
    </row>
    <row r="2683" spans="2:6">
      <c r="B2683" s="44"/>
      <c r="D2683" s="8"/>
      <c r="E2683" s="8"/>
      <c r="F2683" s="8"/>
    </row>
    <row r="2684" spans="2:6">
      <c r="B2684" s="44"/>
      <c r="D2684" s="8"/>
      <c r="E2684" s="8"/>
      <c r="F2684" s="8"/>
    </row>
    <row r="2685" spans="2:6">
      <c r="B2685" s="44"/>
      <c r="D2685" s="8"/>
      <c r="E2685" s="8"/>
      <c r="F2685" s="8"/>
    </row>
    <row r="2686" spans="2:6">
      <c r="B2686" s="44"/>
      <c r="D2686" s="8"/>
      <c r="E2686" s="8"/>
      <c r="F2686" s="8"/>
    </row>
    <row r="2687" spans="2:6">
      <c r="B2687" s="44"/>
      <c r="D2687" s="8"/>
      <c r="E2687" s="8"/>
      <c r="F2687" s="8"/>
    </row>
    <row r="2688" spans="2:6">
      <c r="B2688" s="44"/>
      <c r="D2688" s="8"/>
      <c r="E2688" s="8"/>
      <c r="F2688" s="8"/>
    </row>
    <row r="2689" spans="2:6">
      <c r="B2689" s="44"/>
      <c r="D2689" s="8"/>
      <c r="E2689" s="8"/>
      <c r="F2689" s="8"/>
    </row>
    <row r="2690" spans="2:6">
      <c r="B2690" s="44"/>
      <c r="D2690" s="8"/>
      <c r="E2690" s="8"/>
      <c r="F2690" s="8"/>
    </row>
    <row r="2691" spans="2:6">
      <c r="B2691" s="44"/>
      <c r="D2691" s="8"/>
      <c r="E2691" s="8"/>
      <c r="F2691" s="8"/>
    </row>
    <row r="2692" spans="2:6">
      <c r="B2692" s="44"/>
      <c r="D2692" s="8"/>
      <c r="E2692" s="8"/>
      <c r="F2692" s="8"/>
    </row>
    <row r="2693" spans="2:6">
      <c r="B2693" s="44"/>
      <c r="D2693" s="8"/>
      <c r="E2693" s="8"/>
      <c r="F2693" s="8"/>
    </row>
    <row r="2694" spans="2:6">
      <c r="B2694" s="44"/>
      <c r="D2694" s="8"/>
      <c r="E2694" s="8"/>
      <c r="F2694" s="8"/>
    </row>
    <row r="2695" spans="2:6">
      <c r="B2695" s="44"/>
      <c r="D2695" s="8"/>
      <c r="E2695" s="8"/>
      <c r="F2695" s="8"/>
    </row>
    <row r="2696" spans="2:6">
      <c r="B2696" s="44"/>
      <c r="D2696" s="8"/>
      <c r="E2696" s="8"/>
      <c r="F2696" s="8"/>
    </row>
    <row r="2697" spans="2:6">
      <c r="B2697" s="44"/>
      <c r="D2697" s="8"/>
      <c r="E2697" s="8"/>
      <c r="F2697" s="8"/>
    </row>
    <row r="2698" spans="2:6">
      <c r="B2698" s="44"/>
      <c r="D2698" s="8"/>
      <c r="E2698" s="8"/>
      <c r="F2698" s="8"/>
    </row>
    <row r="2699" spans="2:6">
      <c r="B2699" s="44"/>
      <c r="D2699" s="8"/>
      <c r="E2699" s="8"/>
      <c r="F2699" s="8"/>
    </row>
    <row r="2700" spans="2:6">
      <c r="B2700" s="44"/>
      <c r="D2700" s="8"/>
      <c r="E2700" s="8"/>
      <c r="F2700" s="8"/>
    </row>
    <row r="2701" spans="2:6">
      <c r="B2701" s="44"/>
      <c r="D2701" s="8"/>
      <c r="E2701" s="8"/>
      <c r="F2701" s="8"/>
    </row>
    <row r="2702" spans="2:6">
      <c r="B2702" s="44"/>
      <c r="D2702" s="8"/>
      <c r="E2702" s="8"/>
      <c r="F2702" s="8"/>
    </row>
    <row r="2703" spans="2:6">
      <c r="B2703" s="44"/>
      <c r="D2703" s="8"/>
      <c r="E2703" s="8"/>
      <c r="F2703" s="8"/>
    </row>
    <row r="2704" spans="2:6">
      <c r="B2704" s="44"/>
      <c r="D2704" s="8"/>
      <c r="E2704" s="8"/>
      <c r="F2704" s="8"/>
    </row>
    <row r="2705" spans="2:6">
      <c r="B2705" s="44"/>
      <c r="D2705" s="8"/>
      <c r="E2705" s="8"/>
      <c r="F2705" s="8"/>
    </row>
    <row r="2706" spans="2:6">
      <c r="B2706" s="44"/>
      <c r="D2706" s="8"/>
      <c r="E2706" s="8"/>
      <c r="F2706" s="8"/>
    </row>
    <row r="2707" spans="2:6">
      <c r="B2707" s="44"/>
      <c r="D2707" s="8"/>
      <c r="E2707" s="8"/>
      <c r="F2707" s="8"/>
    </row>
    <row r="2708" spans="2:6">
      <c r="B2708" s="44"/>
      <c r="D2708" s="8"/>
      <c r="E2708" s="8"/>
      <c r="F2708" s="8"/>
    </row>
    <row r="2709" spans="2:6">
      <c r="B2709" s="44"/>
      <c r="D2709" s="8"/>
      <c r="E2709" s="8"/>
      <c r="F2709" s="8"/>
    </row>
    <row r="2710" spans="2:6">
      <c r="B2710" s="44"/>
      <c r="D2710" s="8"/>
      <c r="E2710" s="8"/>
      <c r="F2710" s="8"/>
    </row>
    <row r="2711" spans="2:6">
      <c r="B2711" s="44"/>
      <c r="D2711" s="8"/>
      <c r="E2711" s="8"/>
      <c r="F2711" s="8"/>
    </row>
    <row r="2712" spans="2:6">
      <c r="B2712" s="44"/>
      <c r="D2712" s="8"/>
      <c r="E2712" s="8"/>
      <c r="F2712" s="8"/>
    </row>
    <row r="2713" spans="2:6">
      <c r="B2713" s="44"/>
      <c r="D2713" s="8"/>
      <c r="E2713" s="8"/>
      <c r="F2713" s="8"/>
    </row>
    <row r="2714" spans="2:6">
      <c r="B2714" s="44"/>
      <c r="D2714" s="8"/>
      <c r="E2714" s="8"/>
      <c r="F2714" s="8"/>
    </row>
    <row r="2715" spans="2:6">
      <c r="B2715" s="44"/>
      <c r="D2715" s="8"/>
      <c r="E2715" s="8"/>
      <c r="F2715" s="8"/>
    </row>
    <row r="2716" spans="2:6">
      <c r="B2716" s="44"/>
      <c r="D2716" s="8"/>
      <c r="E2716" s="8"/>
      <c r="F2716" s="8"/>
    </row>
    <row r="2717" spans="2:6">
      <c r="B2717" s="44"/>
      <c r="D2717" s="8"/>
      <c r="E2717" s="8"/>
      <c r="F2717" s="8"/>
    </row>
    <row r="2718" spans="2:6">
      <c r="B2718" s="44"/>
      <c r="D2718" s="8"/>
      <c r="E2718" s="8"/>
      <c r="F2718" s="8"/>
    </row>
    <row r="2719" spans="2:6">
      <c r="B2719" s="44"/>
      <c r="D2719" s="8"/>
      <c r="E2719" s="8"/>
      <c r="F2719" s="8"/>
    </row>
    <row r="2720" spans="2:6">
      <c r="B2720" s="44"/>
      <c r="D2720" s="8"/>
      <c r="E2720" s="8"/>
      <c r="F2720" s="8"/>
    </row>
    <row r="2721" spans="2:6">
      <c r="B2721" s="44"/>
      <c r="D2721" s="8"/>
      <c r="E2721" s="8"/>
      <c r="F2721" s="8"/>
    </row>
    <row r="2722" spans="2:6">
      <c r="B2722" s="44"/>
      <c r="D2722" s="8"/>
      <c r="E2722" s="8"/>
      <c r="F2722" s="8"/>
    </row>
    <row r="2723" spans="2:6">
      <c r="B2723" s="44"/>
      <c r="D2723" s="8"/>
      <c r="E2723" s="8"/>
      <c r="F2723" s="8"/>
    </row>
    <row r="2724" spans="2:6">
      <c r="B2724" s="44"/>
      <c r="D2724" s="8"/>
      <c r="E2724" s="8"/>
      <c r="F2724" s="8"/>
    </row>
    <row r="2725" spans="2:6">
      <c r="B2725" s="44"/>
      <c r="D2725" s="8"/>
      <c r="E2725" s="8"/>
      <c r="F2725" s="8"/>
    </row>
    <row r="2726" spans="2:6">
      <c r="B2726" s="44"/>
      <c r="D2726" s="8"/>
      <c r="E2726" s="8"/>
      <c r="F2726" s="8"/>
    </row>
    <row r="2727" spans="2:6">
      <c r="B2727" s="44"/>
      <c r="D2727" s="8"/>
      <c r="E2727" s="8"/>
      <c r="F2727" s="8"/>
    </row>
    <row r="2728" spans="2:6">
      <c r="B2728" s="44"/>
      <c r="D2728" s="8"/>
      <c r="E2728" s="8"/>
      <c r="F2728" s="8"/>
    </row>
    <row r="2729" spans="2:6">
      <c r="B2729" s="44"/>
      <c r="D2729" s="8"/>
      <c r="E2729" s="8"/>
      <c r="F2729" s="8"/>
    </row>
    <row r="2730" spans="2:6">
      <c r="B2730" s="44"/>
      <c r="D2730" s="8"/>
      <c r="E2730" s="8"/>
      <c r="F2730" s="8"/>
    </row>
    <row r="2731" spans="2:6">
      <c r="B2731" s="44"/>
      <c r="D2731" s="8"/>
      <c r="E2731" s="8"/>
      <c r="F2731" s="8"/>
    </row>
    <row r="2732" spans="2:6">
      <c r="B2732" s="44"/>
      <c r="D2732" s="8"/>
      <c r="E2732" s="8"/>
      <c r="F2732" s="8"/>
    </row>
    <row r="2733" spans="2:6">
      <c r="B2733" s="44"/>
      <c r="D2733" s="8"/>
      <c r="E2733" s="8"/>
      <c r="F2733" s="8"/>
    </row>
    <row r="2734" spans="2:6">
      <c r="B2734" s="44"/>
      <c r="D2734" s="8"/>
      <c r="E2734" s="8"/>
      <c r="F2734" s="8"/>
    </row>
    <row r="2735" spans="2:6">
      <c r="B2735" s="44"/>
      <c r="D2735" s="8"/>
      <c r="E2735" s="8"/>
      <c r="F2735" s="8"/>
    </row>
    <row r="2736" spans="2:6">
      <c r="B2736" s="44"/>
      <c r="D2736" s="8"/>
      <c r="E2736" s="8"/>
      <c r="F2736" s="8"/>
    </row>
    <row r="2737" spans="2:6">
      <c r="B2737" s="44"/>
      <c r="D2737" s="8"/>
      <c r="E2737" s="8"/>
      <c r="F2737" s="8"/>
    </row>
    <row r="2738" spans="2:6">
      <c r="B2738" s="44"/>
      <c r="D2738" s="8"/>
      <c r="E2738" s="8"/>
      <c r="F2738" s="8"/>
    </row>
    <row r="2739" spans="2:6">
      <c r="B2739" s="44"/>
      <c r="D2739" s="8"/>
      <c r="E2739" s="8"/>
      <c r="F2739" s="8"/>
    </row>
    <row r="2740" spans="2:6">
      <c r="B2740" s="44"/>
      <c r="D2740" s="8"/>
      <c r="E2740" s="8"/>
      <c r="F2740" s="8"/>
    </row>
    <row r="2741" spans="2:6">
      <c r="B2741" s="44"/>
      <c r="D2741" s="8"/>
      <c r="E2741" s="8"/>
      <c r="F2741" s="8"/>
    </row>
    <row r="2742" spans="2:6">
      <c r="B2742" s="44"/>
      <c r="D2742" s="8"/>
      <c r="E2742" s="8"/>
      <c r="F2742" s="8"/>
    </row>
    <row r="2743" spans="2:6">
      <c r="B2743" s="44"/>
      <c r="D2743" s="8"/>
      <c r="E2743" s="8"/>
      <c r="F2743" s="8"/>
    </row>
    <row r="2744" spans="2:6">
      <c r="B2744" s="44"/>
      <c r="D2744" s="8"/>
      <c r="E2744" s="8"/>
      <c r="F2744" s="8"/>
    </row>
    <row r="2745" spans="2:6">
      <c r="B2745" s="44"/>
      <c r="D2745" s="8"/>
      <c r="E2745" s="8"/>
      <c r="F2745" s="8"/>
    </row>
    <row r="2746" spans="2:6">
      <c r="B2746" s="44"/>
      <c r="D2746" s="8"/>
      <c r="E2746" s="8"/>
      <c r="F2746" s="8"/>
    </row>
    <row r="2747" spans="2:6">
      <c r="B2747" s="44"/>
      <c r="D2747" s="8"/>
      <c r="E2747" s="8"/>
      <c r="F2747" s="8"/>
    </row>
    <row r="2748" spans="2:6">
      <c r="B2748" s="44"/>
      <c r="D2748" s="8"/>
      <c r="E2748" s="8"/>
      <c r="F2748" s="8"/>
    </row>
    <row r="2749" spans="2:6">
      <c r="B2749" s="44"/>
      <c r="D2749" s="8"/>
      <c r="E2749" s="8"/>
      <c r="F2749" s="8"/>
    </row>
    <row r="2750" spans="2:6">
      <c r="B2750" s="44"/>
      <c r="D2750" s="8"/>
      <c r="E2750" s="8"/>
      <c r="F2750" s="8"/>
    </row>
    <row r="2751" spans="2:6">
      <c r="B2751" s="44"/>
      <c r="D2751" s="8"/>
      <c r="E2751" s="8"/>
      <c r="F2751" s="8"/>
    </row>
    <row r="2752" spans="2:6">
      <c r="B2752" s="44"/>
      <c r="D2752" s="8"/>
      <c r="E2752" s="8"/>
      <c r="F2752" s="8"/>
    </row>
    <row r="2753" spans="2:6">
      <c r="B2753" s="44"/>
      <c r="D2753" s="8"/>
      <c r="E2753" s="8"/>
      <c r="F2753" s="8"/>
    </row>
    <row r="2754" spans="2:6">
      <c r="B2754" s="44"/>
      <c r="D2754" s="8"/>
      <c r="E2754" s="8"/>
      <c r="F2754" s="8"/>
    </row>
    <row r="2755" spans="2:6">
      <c r="B2755" s="44"/>
      <c r="D2755" s="8"/>
      <c r="E2755" s="8"/>
      <c r="F2755" s="8"/>
    </row>
    <row r="2756" spans="2:6">
      <c r="B2756" s="44"/>
      <c r="D2756" s="8"/>
      <c r="E2756" s="8"/>
      <c r="F2756" s="8"/>
    </row>
    <row r="2757" spans="2:6">
      <c r="B2757" s="44"/>
      <c r="D2757" s="8"/>
      <c r="E2757" s="8"/>
      <c r="F2757" s="8"/>
    </row>
    <row r="2758" spans="2:6">
      <c r="B2758" s="44"/>
      <c r="D2758" s="8"/>
      <c r="E2758" s="8"/>
      <c r="F2758" s="8"/>
    </row>
    <row r="2759" spans="2:6">
      <c r="B2759" s="44"/>
      <c r="D2759" s="8"/>
      <c r="E2759" s="8"/>
      <c r="F2759" s="8"/>
    </row>
    <row r="2760" spans="2:6">
      <c r="B2760" s="44"/>
      <c r="D2760" s="8"/>
      <c r="E2760" s="8"/>
      <c r="F2760" s="8"/>
    </row>
    <row r="2761" spans="2:6">
      <c r="B2761" s="44"/>
      <c r="D2761" s="8"/>
      <c r="E2761" s="8"/>
      <c r="F2761" s="8"/>
    </row>
    <row r="2762" spans="2:6">
      <c r="B2762" s="44"/>
      <c r="D2762" s="8"/>
      <c r="E2762" s="8"/>
      <c r="F2762" s="8"/>
    </row>
    <row r="2763" spans="2:6">
      <c r="B2763" s="44"/>
      <c r="D2763" s="8"/>
      <c r="E2763" s="8"/>
      <c r="F2763" s="8"/>
    </row>
    <row r="2764" spans="2:6">
      <c r="B2764" s="44"/>
      <c r="D2764" s="8"/>
      <c r="E2764" s="8"/>
      <c r="F2764" s="8"/>
    </row>
    <row r="2765" spans="2:6">
      <c r="B2765" s="44"/>
      <c r="D2765" s="8"/>
      <c r="E2765" s="8"/>
      <c r="F2765" s="8"/>
    </row>
    <row r="2766" spans="2:6">
      <c r="B2766" s="44"/>
      <c r="D2766" s="8"/>
      <c r="E2766" s="8"/>
      <c r="F2766" s="8"/>
    </row>
    <row r="2767" spans="2:6">
      <c r="B2767" s="44"/>
      <c r="D2767" s="8"/>
      <c r="E2767" s="8"/>
      <c r="F2767" s="8"/>
    </row>
    <row r="2768" spans="2:6">
      <c r="B2768" s="44"/>
      <c r="D2768" s="8"/>
      <c r="E2768" s="8"/>
      <c r="F2768" s="8"/>
    </row>
    <row r="2769" spans="2:6">
      <c r="B2769" s="44"/>
      <c r="D2769" s="8"/>
      <c r="E2769" s="8"/>
      <c r="F2769" s="8"/>
    </row>
    <row r="2770" spans="2:6">
      <c r="B2770" s="44"/>
      <c r="D2770" s="8"/>
      <c r="E2770" s="8"/>
      <c r="F2770" s="8"/>
    </row>
    <row r="2771" spans="2:6">
      <c r="B2771" s="44"/>
      <c r="D2771" s="8"/>
      <c r="E2771" s="8"/>
      <c r="F2771" s="8"/>
    </row>
    <row r="2772" spans="2:6">
      <c r="B2772" s="44"/>
      <c r="D2772" s="8"/>
      <c r="E2772" s="8"/>
      <c r="F2772" s="8"/>
    </row>
    <row r="2773" spans="2:6">
      <c r="B2773" s="44"/>
      <c r="D2773" s="8"/>
      <c r="E2773" s="8"/>
      <c r="F2773" s="8"/>
    </row>
    <row r="2774" spans="2:6">
      <c r="B2774" s="44"/>
      <c r="D2774" s="8"/>
      <c r="E2774" s="8"/>
      <c r="F2774" s="8"/>
    </row>
    <row r="2775" spans="2:6">
      <c r="B2775" s="44"/>
      <c r="D2775" s="8"/>
      <c r="E2775" s="8"/>
      <c r="F2775" s="8"/>
    </row>
    <row r="2776" spans="2:6">
      <c r="B2776" s="44"/>
      <c r="D2776" s="8"/>
      <c r="E2776" s="8"/>
      <c r="F2776" s="8"/>
    </row>
    <row r="2777" spans="2:6">
      <c r="B2777" s="44"/>
      <c r="D2777" s="8"/>
      <c r="E2777" s="8"/>
      <c r="F2777" s="8"/>
    </row>
    <row r="2778" spans="2:6">
      <c r="B2778" s="44"/>
      <c r="D2778" s="8"/>
      <c r="E2778" s="8"/>
      <c r="F2778" s="8"/>
    </row>
    <row r="2779" spans="2:6">
      <c r="B2779" s="44"/>
      <c r="D2779" s="8"/>
      <c r="E2779" s="8"/>
      <c r="F2779" s="8"/>
    </row>
    <row r="2780" spans="2:6">
      <c r="B2780" s="44"/>
      <c r="D2780" s="8"/>
      <c r="E2780" s="8"/>
      <c r="F2780" s="8"/>
    </row>
    <row r="2781" spans="2:6">
      <c r="B2781" s="44"/>
      <c r="D2781" s="8"/>
      <c r="E2781" s="8"/>
      <c r="F2781" s="8"/>
    </row>
    <row r="2782" spans="2:6">
      <c r="B2782" s="44"/>
      <c r="D2782" s="8"/>
      <c r="E2782" s="8"/>
      <c r="F2782" s="8"/>
    </row>
    <row r="2783" spans="2:6">
      <c r="B2783" s="44"/>
      <c r="D2783" s="8"/>
      <c r="E2783" s="8"/>
      <c r="F2783" s="8"/>
    </row>
    <row r="2784" spans="2:6">
      <c r="B2784" s="44"/>
      <c r="D2784" s="8"/>
      <c r="E2784" s="8"/>
      <c r="F2784" s="8"/>
    </row>
    <row r="2785" spans="2:6">
      <c r="B2785" s="44"/>
      <c r="D2785" s="8"/>
      <c r="E2785" s="8"/>
      <c r="F2785" s="8"/>
    </row>
    <row r="2786" spans="2:6">
      <c r="B2786" s="44"/>
      <c r="D2786" s="8"/>
      <c r="E2786" s="8"/>
      <c r="F2786" s="8"/>
    </row>
    <row r="2787" spans="2:6">
      <c r="B2787" s="44"/>
      <c r="D2787" s="8"/>
      <c r="E2787" s="8"/>
      <c r="F2787" s="8"/>
    </row>
    <row r="2788" spans="2:6">
      <c r="B2788" s="44"/>
      <c r="D2788" s="8"/>
      <c r="E2788" s="8"/>
      <c r="F2788" s="8"/>
    </row>
    <row r="2789" spans="2:6">
      <c r="B2789" s="44"/>
      <c r="D2789" s="8"/>
      <c r="E2789" s="8"/>
      <c r="F2789" s="8"/>
    </row>
    <row r="2790" spans="2:6">
      <c r="B2790" s="44"/>
      <c r="D2790" s="8"/>
      <c r="E2790" s="8"/>
      <c r="F2790" s="8"/>
    </row>
    <row r="2791" spans="2:6">
      <c r="B2791" s="44"/>
      <c r="D2791" s="8"/>
      <c r="E2791" s="8"/>
      <c r="F2791" s="8"/>
    </row>
    <row r="2792" spans="2:6">
      <c r="B2792" s="44"/>
      <c r="D2792" s="8"/>
      <c r="E2792" s="8"/>
      <c r="F2792" s="8"/>
    </row>
    <row r="2793" spans="2:6">
      <c r="B2793" s="44"/>
      <c r="D2793" s="8"/>
      <c r="E2793" s="8"/>
      <c r="F2793" s="8"/>
    </row>
    <row r="2794" spans="2:6">
      <c r="B2794" s="44"/>
      <c r="D2794" s="8"/>
      <c r="E2794" s="8"/>
      <c r="F2794" s="8"/>
    </row>
    <row r="2795" spans="2:6">
      <c r="B2795" s="44"/>
      <c r="D2795" s="8"/>
      <c r="E2795" s="8"/>
      <c r="F2795" s="8"/>
    </row>
    <row r="2796" spans="2:6">
      <c r="B2796" s="44"/>
      <c r="D2796" s="8"/>
      <c r="E2796" s="8"/>
      <c r="F2796" s="8"/>
    </row>
    <row r="2797" spans="2:6">
      <c r="B2797" s="44"/>
      <c r="D2797" s="8"/>
      <c r="E2797" s="8"/>
      <c r="F2797" s="8"/>
    </row>
    <row r="2798" spans="2:6">
      <c r="B2798" s="44"/>
      <c r="D2798" s="8"/>
      <c r="E2798" s="8"/>
      <c r="F2798" s="8"/>
    </row>
    <row r="2799" spans="2:6">
      <c r="B2799" s="44"/>
      <c r="D2799" s="8"/>
      <c r="E2799" s="8"/>
      <c r="F2799" s="8"/>
    </row>
    <row r="2800" spans="2:6">
      <c r="B2800" s="44"/>
      <c r="D2800" s="8"/>
      <c r="E2800" s="8"/>
      <c r="F2800" s="8"/>
    </row>
    <row r="2801" spans="2:6">
      <c r="B2801" s="44"/>
      <c r="D2801" s="8"/>
      <c r="E2801" s="8"/>
      <c r="F2801" s="8"/>
    </row>
    <row r="2802" spans="2:6">
      <c r="B2802" s="44"/>
      <c r="D2802" s="8"/>
      <c r="E2802" s="8"/>
      <c r="F2802" s="8"/>
    </row>
    <row r="2803" spans="2:6">
      <c r="B2803" s="44"/>
      <c r="D2803" s="8"/>
      <c r="E2803" s="8"/>
      <c r="F2803" s="8"/>
    </row>
    <row r="2804" spans="2:6">
      <c r="B2804" s="44"/>
      <c r="D2804" s="8"/>
      <c r="E2804" s="8"/>
      <c r="F2804" s="8"/>
    </row>
    <row r="2805" spans="2:6">
      <c r="B2805" s="44"/>
      <c r="D2805" s="8"/>
      <c r="E2805" s="8"/>
      <c r="F2805" s="8"/>
    </row>
    <row r="2806" spans="2:6">
      <c r="B2806" s="44"/>
      <c r="D2806" s="8"/>
      <c r="E2806" s="8"/>
      <c r="F2806" s="8"/>
    </row>
    <row r="2807" spans="2:6">
      <c r="B2807" s="44"/>
      <c r="D2807" s="8"/>
      <c r="E2807" s="8"/>
      <c r="F2807" s="8"/>
    </row>
    <row r="2808" spans="2:6">
      <c r="B2808" s="44"/>
      <c r="D2808" s="8"/>
      <c r="E2808" s="8"/>
      <c r="F2808" s="8"/>
    </row>
    <row r="2809" spans="2:6">
      <c r="B2809" s="44"/>
      <c r="D2809" s="8"/>
      <c r="E2809" s="8"/>
      <c r="F2809" s="8"/>
    </row>
    <row r="2810" spans="2:6">
      <c r="B2810" s="44"/>
      <c r="D2810" s="8"/>
      <c r="E2810" s="8"/>
      <c r="F2810" s="8"/>
    </row>
    <row r="2811" spans="2:6">
      <c r="B2811" s="44"/>
      <c r="D2811" s="8"/>
      <c r="E2811" s="8"/>
      <c r="F2811" s="8"/>
    </row>
    <row r="2812" spans="2:6">
      <c r="B2812" s="44"/>
      <c r="D2812" s="8"/>
      <c r="E2812" s="8"/>
      <c r="F2812" s="8"/>
    </row>
    <row r="2813" spans="2:6">
      <c r="B2813" s="44"/>
      <c r="D2813" s="8"/>
      <c r="E2813" s="8"/>
      <c r="F2813" s="8"/>
    </row>
    <row r="2814" spans="2:6">
      <c r="B2814" s="44"/>
      <c r="D2814" s="8"/>
      <c r="E2814" s="8"/>
      <c r="F2814" s="8"/>
    </row>
    <row r="2815" spans="2:6">
      <c r="B2815" s="44"/>
      <c r="D2815" s="8"/>
      <c r="E2815" s="8"/>
      <c r="F2815" s="8"/>
    </row>
    <row r="2816" spans="2:6">
      <c r="B2816" s="44"/>
      <c r="D2816" s="8"/>
      <c r="E2816" s="8"/>
      <c r="F2816" s="8"/>
    </row>
    <row r="2817" spans="2:6">
      <c r="B2817" s="44"/>
      <c r="D2817" s="8"/>
      <c r="E2817" s="8"/>
      <c r="F2817" s="8"/>
    </row>
    <row r="2818" spans="2:6">
      <c r="B2818" s="44"/>
      <c r="D2818" s="8"/>
      <c r="E2818" s="8"/>
      <c r="F2818" s="8"/>
    </row>
    <row r="2819" spans="2:6">
      <c r="B2819" s="44"/>
      <c r="D2819" s="8"/>
      <c r="E2819" s="8"/>
      <c r="F2819" s="8"/>
    </row>
    <row r="2820" spans="2:6">
      <c r="B2820" s="44"/>
      <c r="D2820" s="8"/>
      <c r="E2820" s="8"/>
      <c r="F2820" s="8"/>
    </row>
    <row r="2821" spans="2:6">
      <c r="B2821" s="44"/>
      <c r="D2821" s="8"/>
      <c r="E2821" s="8"/>
      <c r="F2821" s="8"/>
    </row>
    <row r="2822" spans="2:6">
      <c r="B2822" s="44"/>
      <c r="D2822" s="8"/>
      <c r="E2822" s="8"/>
      <c r="F2822" s="8"/>
    </row>
    <row r="2823" spans="2:6">
      <c r="B2823" s="44"/>
      <c r="D2823" s="8"/>
      <c r="E2823" s="8"/>
      <c r="F2823" s="8"/>
    </row>
    <row r="2824" spans="2:6">
      <c r="B2824" s="44"/>
      <c r="D2824" s="8"/>
      <c r="E2824" s="8"/>
      <c r="F2824" s="8"/>
    </row>
    <row r="2825" spans="2:6">
      <c r="B2825" s="44"/>
      <c r="D2825" s="8"/>
      <c r="E2825" s="8"/>
      <c r="F2825" s="8"/>
    </row>
    <row r="2826" spans="2:6">
      <c r="B2826" s="44"/>
      <c r="D2826" s="8"/>
      <c r="E2826" s="8"/>
      <c r="F2826" s="8"/>
    </row>
    <row r="2827" spans="2:6">
      <c r="B2827" s="44"/>
      <c r="D2827" s="8"/>
      <c r="E2827" s="8"/>
      <c r="F2827" s="8"/>
    </row>
    <row r="2828" spans="2:6">
      <c r="B2828" s="44"/>
      <c r="D2828" s="8"/>
      <c r="E2828" s="8"/>
      <c r="F2828" s="8"/>
    </row>
    <row r="2829" spans="2:6">
      <c r="B2829" s="44"/>
      <c r="D2829" s="8"/>
      <c r="E2829" s="8"/>
      <c r="F2829" s="8"/>
    </row>
    <row r="2830" spans="2:6">
      <c r="B2830" s="44"/>
      <c r="D2830" s="8"/>
      <c r="E2830" s="8"/>
      <c r="F2830" s="8"/>
    </row>
    <row r="2831" spans="2:6">
      <c r="B2831" s="44"/>
      <c r="D2831" s="8"/>
      <c r="E2831" s="8"/>
      <c r="F2831" s="8"/>
    </row>
    <row r="2832" spans="2:6">
      <c r="B2832" s="44"/>
      <c r="D2832" s="8"/>
      <c r="E2832" s="8"/>
      <c r="F2832" s="8"/>
    </row>
    <row r="2833" spans="2:6">
      <c r="B2833" s="44"/>
      <c r="D2833" s="8"/>
      <c r="E2833" s="8"/>
      <c r="F2833" s="8"/>
    </row>
    <row r="2834" spans="2:6">
      <c r="B2834" s="44"/>
      <c r="D2834" s="8"/>
      <c r="E2834" s="8"/>
      <c r="F2834" s="8"/>
    </row>
    <row r="2835" spans="2:6">
      <c r="B2835" s="44"/>
      <c r="D2835" s="8"/>
      <c r="E2835" s="8"/>
      <c r="F2835" s="8"/>
    </row>
    <row r="2836" spans="2:6">
      <c r="B2836" s="44"/>
      <c r="D2836" s="8"/>
      <c r="E2836" s="8"/>
      <c r="F2836" s="8"/>
    </row>
    <row r="2837" spans="2:6">
      <c r="B2837" s="44"/>
      <c r="D2837" s="8"/>
      <c r="E2837" s="8"/>
      <c r="F2837" s="8"/>
    </row>
    <row r="2838" spans="2:6">
      <c r="B2838" s="44"/>
      <c r="D2838" s="8"/>
      <c r="E2838" s="8"/>
      <c r="F2838" s="8"/>
    </row>
    <row r="2839" spans="2:6">
      <c r="B2839" s="44"/>
      <c r="D2839" s="8"/>
      <c r="E2839" s="8"/>
      <c r="F2839" s="8"/>
    </row>
    <row r="2840" spans="2:6">
      <c r="B2840" s="44"/>
      <c r="D2840" s="8"/>
      <c r="E2840" s="8"/>
      <c r="F2840" s="8"/>
    </row>
    <row r="2841" spans="2:6">
      <c r="B2841" s="44"/>
      <c r="D2841" s="8"/>
      <c r="E2841" s="8"/>
      <c r="F2841" s="8"/>
    </row>
    <row r="2842" spans="2:6">
      <c r="B2842" s="44"/>
      <c r="D2842" s="8"/>
      <c r="E2842" s="8"/>
      <c r="F2842" s="8"/>
    </row>
    <row r="2843" spans="2:6">
      <c r="B2843" s="44"/>
      <c r="D2843" s="8"/>
      <c r="E2843" s="8"/>
      <c r="F2843" s="8"/>
    </row>
    <row r="2844" spans="2:6">
      <c r="B2844" s="44"/>
      <c r="D2844" s="8"/>
      <c r="E2844" s="8"/>
      <c r="F2844" s="8"/>
    </row>
    <row r="2845" spans="2:6">
      <c r="B2845" s="44"/>
      <c r="D2845" s="8"/>
      <c r="E2845" s="8"/>
      <c r="F2845" s="8"/>
    </row>
    <row r="2846" spans="2:6">
      <c r="B2846" s="44"/>
      <c r="D2846" s="8"/>
      <c r="E2846" s="8"/>
      <c r="F2846" s="8"/>
    </row>
    <row r="2847" spans="2:6">
      <c r="B2847" s="44"/>
      <c r="D2847" s="8"/>
      <c r="E2847" s="8"/>
      <c r="F2847" s="8"/>
    </row>
    <row r="2848" spans="2:6">
      <c r="B2848" s="44"/>
      <c r="D2848" s="8"/>
      <c r="E2848" s="8"/>
      <c r="F2848" s="8"/>
    </row>
    <row r="2849" spans="2:6">
      <c r="B2849" s="44"/>
      <c r="D2849" s="8"/>
      <c r="E2849" s="8"/>
      <c r="F2849" s="8"/>
    </row>
    <row r="2850" spans="2:6">
      <c r="B2850" s="44"/>
      <c r="D2850" s="8"/>
      <c r="E2850" s="8"/>
      <c r="F2850" s="8"/>
    </row>
    <row r="2851" spans="2:6">
      <c r="B2851" s="44"/>
      <c r="D2851" s="8"/>
      <c r="E2851" s="8"/>
      <c r="F2851" s="8"/>
    </row>
    <row r="2852" spans="2:6">
      <c r="B2852" s="44"/>
      <c r="D2852" s="8"/>
      <c r="E2852" s="8"/>
      <c r="F2852" s="8"/>
    </row>
    <row r="2853" spans="2:6">
      <c r="B2853" s="44"/>
      <c r="D2853" s="8"/>
      <c r="E2853" s="8"/>
      <c r="F2853" s="8"/>
    </row>
    <row r="2854" spans="2:6">
      <c r="B2854" s="44"/>
      <c r="D2854" s="8"/>
      <c r="E2854" s="8"/>
      <c r="F2854" s="8"/>
    </row>
    <row r="2855" spans="2:6">
      <c r="B2855" s="44"/>
      <c r="D2855" s="8"/>
      <c r="E2855" s="8"/>
      <c r="F2855" s="8"/>
    </row>
    <row r="2856" spans="2:6">
      <c r="B2856" s="44"/>
      <c r="D2856" s="8"/>
      <c r="E2856" s="8"/>
      <c r="F2856" s="8"/>
    </row>
    <row r="2857" spans="2:6">
      <c r="B2857" s="44"/>
      <c r="D2857" s="8"/>
      <c r="E2857" s="8"/>
      <c r="F2857" s="8"/>
    </row>
    <row r="2858" spans="2:6">
      <c r="B2858" s="44"/>
      <c r="D2858" s="8"/>
      <c r="E2858" s="8"/>
      <c r="F2858" s="8"/>
    </row>
    <row r="2859" spans="2:6">
      <c r="B2859" s="44"/>
      <c r="D2859" s="8"/>
      <c r="E2859" s="8"/>
      <c r="F2859" s="8"/>
    </row>
    <row r="2860" spans="2:6">
      <c r="B2860" s="44"/>
      <c r="D2860" s="8"/>
      <c r="E2860" s="8"/>
      <c r="F2860" s="8"/>
    </row>
    <row r="2861" spans="2:6">
      <c r="B2861" s="44"/>
      <c r="D2861" s="8"/>
      <c r="E2861" s="8"/>
      <c r="F2861" s="8"/>
    </row>
    <row r="2862" spans="2:6">
      <c r="B2862" s="44"/>
      <c r="D2862" s="8"/>
      <c r="E2862" s="8"/>
      <c r="F2862" s="8"/>
    </row>
    <row r="2863" spans="2:6">
      <c r="B2863" s="44"/>
      <c r="D2863" s="8"/>
      <c r="E2863" s="8"/>
      <c r="F2863" s="8"/>
    </row>
    <row r="2864" spans="2:6">
      <c r="B2864" s="44"/>
      <c r="D2864" s="8"/>
      <c r="E2864" s="8"/>
      <c r="F2864" s="8"/>
    </row>
    <row r="2865" spans="2:6">
      <c r="B2865" s="44"/>
      <c r="D2865" s="8"/>
      <c r="E2865" s="8"/>
      <c r="F2865" s="8"/>
    </row>
    <row r="2866" spans="2:6">
      <c r="B2866" s="44"/>
      <c r="D2866" s="8"/>
      <c r="E2866" s="8"/>
      <c r="F2866" s="8"/>
    </row>
    <row r="2867" spans="2:6">
      <c r="B2867" s="44"/>
      <c r="D2867" s="8"/>
      <c r="E2867" s="8"/>
      <c r="F2867" s="8"/>
    </row>
    <row r="2868" spans="2:6">
      <c r="B2868" s="44"/>
      <c r="D2868" s="8"/>
      <c r="E2868" s="8"/>
      <c r="F2868" s="8"/>
    </row>
    <row r="2869" spans="2:6">
      <c r="B2869" s="44"/>
      <c r="D2869" s="8"/>
      <c r="E2869" s="8"/>
      <c r="F2869" s="8"/>
    </row>
    <row r="2870" spans="2:6">
      <c r="B2870" s="44"/>
      <c r="D2870" s="8"/>
      <c r="E2870" s="8"/>
      <c r="F2870" s="8"/>
    </row>
    <row r="2871" spans="2:6">
      <c r="B2871" s="44"/>
      <c r="D2871" s="8"/>
      <c r="E2871" s="8"/>
      <c r="F2871" s="8"/>
    </row>
    <row r="2872" spans="2:6">
      <c r="B2872" s="44"/>
      <c r="D2872" s="8"/>
      <c r="E2872" s="8"/>
      <c r="F2872" s="8"/>
    </row>
    <row r="2873" spans="2:6">
      <c r="B2873" s="44"/>
      <c r="D2873" s="8"/>
      <c r="E2873" s="8"/>
      <c r="F2873" s="8"/>
    </row>
    <row r="2874" spans="2:6">
      <c r="B2874" s="44"/>
      <c r="D2874" s="8"/>
      <c r="E2874" s="8"/>
      <c r="F2874" s="8"/>
    </row>
    <row r="2875" spans="2:6">
      <c r="B2875" s="44"/>
      <c r="D2875" s="8"/>
      <c r="E2875" s="8"/>
      <c r="F2875" s="8"/>
    </row>
    <row r="2876" spans="2:6">
      <c r="B2876" s="44"/>
      <c r="D2876" s="8"/>
      <c r="E2876" s="8"/>
      <c r="F2876" s="8"/>
    </row>
    <row r="2877" spans="2:6">
      <c r="B2877" s="44"/>
      <c r="D2877" s="8"/>
      <c r="E2877" s="8"/>
      <c r="F2877" s="8"/>
    </row>
    <row r="2878" spans="2:6">
      <c r="B2878" s="44"/>
      <c r="D2878" s="8"/>
      <c r="E2878" s="8"/>
      <c r="F2878" s="8"/>
    </row>
    <row r="2879" spans="2:6">
      <c r="B2879" s="44"/>
      <c r="D2879" s="8"/>
      <c r="E2879" s="8"/>
      <c r="F2879" s="8"/>
    </row>
    <row r="2880" spans="2:6">
      <c r="B2880" s="44"/>
      <c r="D2880" s="8"/>
      <c r="E2880" s="8"/>
      <c r="F2880" s="8"/>
    </row>
    <row r="2881" spans="2:6">
      <c r="B2881" s="44"/>
      <c r="D2881" s="8"/>
      <c r="E2881" s="8"/>
      <c r="F2881" s="8"/>
    </row>
    <row r="2882" spans="2:6">
      <c r="B2882" s="44"/>
      <c r="D2882" s="8"/>
      <c r="E2882" s="8"/>
      <c r="F2882" s="8"/>
    </row>
    <row r="2883" spans="2:6">
      <c r="B2883" s="44"/>
      <c r="D2883" s="8"/>
      <c r="E2883" s="8"/>
      <c r="F2883" s="8"/>
    </row>
    <row r="2884" spans="2:6">
      <c r="B2884" s="44"/>
      <c r="D2884" s="8"/>
      <c r="E2884" s="8"/>
      <c r="F2884" s="8"/>
    </row>
    <row r="2885" spans="2:6">
      <c r="B2885" s="44"/>
      <c r="D2885" s="8"/>
      <c r="E2885" s="8"/>
      <c r="F2885" s="8"/>
    </row>
    <row r="2886" spans="2:6">
      <c r="B2886" s="44"/>
      <c r="D2886" s="8"/>
      <c r="E2886" s="8"/>
      <c r="F2886" s="8"/>
    </row>
    <row r="2887" spans="2:6">
      <c r="B2887" s="44"/>
      <c r="D2887" s="8"/>
      <c r="E2887" s="8"/>
      <c r="F2887" s="8"/>
    </row>
    <row r="2888" spans="2:6">
      <c r="B2888" s="44"/>
      <c r="D2888" s="8"/>
      <c r="E2888" s="8"/>
      <c r="F2888" s="8"/>
    </row>
    <row r="2889" spans="2:6">
      <c r="B2889" s="44"/>
      <c r="D2889" s="8"/>
      <c r="E2889" s="8"/>
      <c r="F2889" s="8"/>
    </row>
    <row r="2890" spans="2:6">
      <c r="B2890" s="44"/>
      <c r="D2890" s="8"/>
      <c r="E2890" s="8"/>
      <c r="F2890" s="8"/>
    </row>
    <row r="2891" spans="2:6">
      <c r="B2891" s="44"/>
      <c r="D2891" s="8"/>
      <c r="E2891" s="8"/>
      <c r="F2891" s="8"/>
    </row>
    <row r="2892" spans="2:6">
      <c r="B2892" s="44"/>
      <c r="D2892" s="8"/>
      <c r="E2892" s="8"/>
      <c r="F2892" s="8"/>
    </row>
    <row r="2893" spans="2:6">
      <c r="B2893" s="44"/>
      <c r="D2893" s="8"/>
      <c r="E2893" s="8"/>
      <c r="F2893" s="8"/>
    </row>
    <row r="2894" spans="2:6">
      <c r="B2894" s="44"/>
      <c r="D2894" s="8"/>
      <c r="E2894" s="8"/>
      <c r="F2894" s="8"/>
    </row>
    <row r="2895" spans="2:6">
      <c r="B2895" s="44"/>
      <c r="D2895" s="8"/>
      <c r="E2895" s="8"/>
      <c r="F2895" s="8"/>
    </row>
    <row r="2896" spans="2:6">
      <c r="B2896" s="44"/>
      <c r="D2896" s="8"/>
      <c r="E2896" s="8"/>
      <c r="F2896" s="8"/>
    </row>
    <row r="2897" spans="2:6">
      <c r="B2897" s="44"/>
      <c r="D2897" s="8"/>
      <c r="E2897" s="8"/>
      <c r="F2897" s="8"/>
    </row>
    <row r="2898" spans="2:6">
      <c r="B2898" s="44"/>
      <c r="D2898" s="8"/>
      <c r="E2898" s="8"/>
      <c r="F2898" s="8"/>
    </row>
    <row r="2899" spans="2:6">
      <c r="B2899" s="44"/>
      <c r="D2899" s="8"/>
      <c r="E2899" s="8"/>
      <c r="F2899" s="8"/>
    </row>
    <row r="2900" spans="2:6">
      <c r="B2900" s="44"/>
      <c r="D2900" s="8"/>
      <c r="E2900" s="8"/>
      <c r="F2900" s="8"/>
    </row>
    <row r="2901" spans="2:6">
      <c r="B2901" s="44"/>
      <c r="D2901" s="8"/>
      <c r="E2901" s="8"/>
      <c r="F2901" s="8"/>
    </row>
    <row r="2902" spans="2:6">
      <c r="B2902" s="44"/>
      <c r="D2902" s="8"/>
      <c r="E2902" s="8"/>
      <c r="F2902" s="8"/>
    </row>
    <row r="2903" spans="2:6">
      <c r="B2903" s="44"/>
      <c r="D2903" s="8"/>
      <c r="E2903" s="8"/>
      <c r="F2903" s="8"/>
    </row>
    <row r="2904" spans="2:6">
      <c r="B2904" s="44"/>
      <c r="D2904" s="8"/>
      <c r="E2904" s="8"/>
      <c r="F2904" s="8"/>
    </row>
    <row r="2905" spans="2:6">
      <c r="B2905" s="44"/>
      <c r="D2905" s="8"/>
      <c r="E2905" s="8"/>
      <c r="F2905" s="8"/>
    </row>
    <row r="2906" spans="2:6">
      <c r="B2906" s="44"/>
      <c r="D2906" s="8"/>
      <c r="E2906" s="8"/>
      <c r="F2906" s="8"/>
    </row>
    <row r="2907" spans="2:6">
      <c r="B2907" s="44"/>
      <c r="D2907" s="8"/>
      <c r="E2907" s="8"/>
      <c r="F2907" s="8"/>
    </row>
    <row r="2908" spans="2:6">
      <c r="B2908" s="44"/>
      <c r="D2908" s="8"/>
      <c r="E2908" s="8"/>
      <c r="F2908" s="8"/>
    </row>
    <row r="2909" spans="2:6">
      <c r="B2909" s="44"/>
      <c r="D2909" s="8"/>
      <c r="E2909" s="8"/>
      <c r="F2909" s="8"/>
    </row>
    <row r="2910" spans="2:6">
      <c r="B2910" s="44"/>
      <c r="D2910" s="8"/>
      <c r="E2910" s="8"/>
      <c r="F2910" s="8"/>
    </row>
    <row r="2911" spans="2:6">
      <c r="B2911" s="44"/>
      <c r="D2911" s="8"/>
      <c r="E2911" s="8"/>
      <c r="F2911" s="8"/>
    </row>
    <row r="2912" spans="2:6">
      <c r="B2912" s="44"/>
      <c r="D2912" s="8"/>
      <c r="E2912" s="8"/>
      <c r="F2912" s="8"/>
    </row>
    <row r="2913" spans="2:6">
      <c r="B2913" s="44"/>
      <c r="D2913" s="8"/>
      <c r="E2913" s="8"/>
      <c r="F2913" s="8"/>
    </row>
    <row r="2914" spans="2:6">
      <c r="B2914" s="44"/>
      <c r="D2914" s="8"/>
      <c r="E2914" s="8"/>
      <c r="F2914" s="8"/>
    </row>
    <row r="2915" spans="2:6">
      <c r="B2915" s="44"/>
      <c r="D2915" s="8"/>
      <c r="E2915" s="8"/>
      <c r="F2915" s="8"/>
    </row>
    <row r="2916" spans="2:6">
      <c r="B2916" s="44"/>
      <c r="D2916" s="8"/>
      <c r="E2916" s="8"/>
      <c r="F2916" s="8"/>
    </row>
    <row r="2917" spans="2:6">
      <c r="B2917" s="44"/>
      <c r="D2917" s="8"/>
      <c r="E2917" s="8"/>
      <c r="F2917" s="8"/>
    </row>
    <row r="2918" spans="2:6">
      <c r="B2918" s="44"/>
      <c r="D2918" s="8"/>
      <c r="E2918" s="8"/>
      <c r="F2918" s="8"/>
    </row>
    <row r="2919" spans="2:6">
      <c r="B2919" s="44"/>
      <c r="D2919" s="8"/>
      <c r="E2919" s="8"/>
      <c r="F2919" s="8"/>
    </row>
    <row r="2920" spans="2:6">
      <c r="B2920" s="44"/>
      <c r="D2920" s="8"/>
      <c r="E2920" s="8"/>
      <c r="F2920" s="8"/>
    </row>
    <row r="2921" spans="2:6">
      <c r="B2921" s="44"/>
      <c r="D2921" s="8"/>
      <c r="E2921" s="8"/>
      <c r="F2921" s="8"/>
    </row>
    <row r="2922" spans="2:6">
      <c r="B2922" s="44"/>
      <c r="D2922" s="8"/>
      <c r="E2922" s="8"/>
      <c r="F2922" s="8"/>
    </row>
    <row r="2923" spans="2:6">
      <c r="B2923" s="44"/>
      <c r="D2923" s="8"/>
      <c r="E2923" s="8"/>
      <c r="F2923" s="8"/>
    </row>
    <row r="2924" spans="2:6">
      <c r="B2924" s="44"/>
      <c r="D2924" s="8"/>
      <c r="E2924" s="8"/>
      <c r="F2924" s="8"/>
    </row>
    <row r="2925" spans="2:6">
      <c r="B2925" s="44"/>
      <c r="D2925" s="8"/>
      <c r="E2925" s="8"/>
      <c r="F2925" s="8"/>
    </row>
    <row r="2926" spans="2:6">
      <c r="B2926" s="44"/>
      <c r="D2926" s="8"/>
      <c r="E2926" s="8"/>
      <c r="F2926" s="8"/>
    </row>
    <row r="2927" spans="2:6">
      <c r="B2927" s="44"/>
      <c r="D2927" s="8"/>
      <c r="E2927" s="8"/>
      <c r="F2927" s="8"/>
    </row>
    <row r="2928" spans="2:6">
      <c r="B2928" s="44"/>
      <c r="D2928" s="8"/>
      <c r="E2928" s="8"/>
      <c r="F2928" s="8"/>
    </row>
    <row r="2929" spans="2:6">
      <c r="B2929" s="44"/>
      <c r="D2929" s="8"/>
      <c r="E2929" s="8"/>
      <c r="F2929" s="8"/>
    </row>
    <row r="2930" spans="2:6">
      <c r="B2930" s="44"/>
      <c r="D2930" s="8"/>
      <c r="E2930" s="8"/>
      <c r="F2930" s="8"/>
    </row>
    <row r="2931" spans="2:6">
      <c r="B2931" s="44"/>
      <c r="D2931" s="8"/>
      <c r="E2931" s="8"/>
      <c r="F2931" s="8"/>
    </row>
    <row r="2932" spans="2:6">
      <c r="B2932" s="44"/>
      <c r="D2932" s="8"/>
      <c r="E2932" s="8"/>
      <c r="F2932" s="8"/>
    </row>
    <row r="2933" spans="2:6">
      <c r="B2933" s="44"/>
      <c r="D2933" s="8"/>
      <c r="E2933" s="8"/>
      <c r="F2933" s="8"/>
    </row>
    <row r="2934" spans="2:6">
      <c r="B2934" s="44"/>
      <c r="D2934" s="8"/>
      <c r="E2934" s="8"/>
      <c r="F2934" s="8"/>
    </row>
    <row r="2935" spans="2:6">
      <c r="B2935" s="44"/>
      <c r="D2935" s="8"/>
      <c r="E2935" s="8"/>
      <c r="F2935" s="8"/>
    </row>
    <row r="2936" spans="2:6">
      <c r="B2936" s="44"/>
      <c r="D2936" s="8"/>
      <c r="E2936" s="8"/>
      <c r="F2936" s="8"/>
    </row>
    <row r="2937" spans="2:6">
      <c r="B2937" s="44"/>
      <c r="D2937" s="8"/>
      <c r="E2937" s="8"/>
      <c r="F2937" s="8"/>
    </row>
    <row r="2938" spans="2:6">
      <c r="B2938" s="44"/>
      <c r="D2938" s="8"/>
      <c r="E2938" s="8"/>
      <c r="F2938" s="8"/>
    </row>
    <row r="2939" spans="2:6">
      <c r="B2939" s="44"/>
      <c r="D2939" s="8"/>
      <c r="E2939" s="8"/>
      <c r="F2939" s="8"/>
    </row>
    <row r="2940" spans="2:6">
      <c r="B2940" s="44"/>
      <c r="D2940" s="8"/>
      <c r="E2940" s="8"/>
      <c r="F2940" s="8"/>
    </row>
    <row r="2941" spans="2:6">
      <c r="B2941" s="44"/>
      <c r="D2941" s="8"/>
      <c r="E2941" s="8"/>
      <c r="F2941" s="8"/>
    </row>
    <row r="2942" spans="2:6">
      <c r="B2942" s="44"/>
      <c r="D2942" s="8"/>
      <c r="E2942" s="8"/>
      <c r="F2942" s="8"/>
    </row>
    <row r="2943" spans="2:6">
      <c r="B2943" s="44"/>
      <c r="D2943" s="8"/>
      <c r="E2943" s="8"/>
      <c r="F2943" s="8"/>
    </row>
    <row r="2944" spans="2:6">
      <c r="B2944" s="44"/>
      <c r="D2944" s="8"/>
      <c r="E2944" s="8"/>
      <c r="F2944" s="8"/>
    </row>
    <row r="2945" spans="2:6">
      <c r="B2945" s="44"/>
      <c r="D2945" s="8"/>
      <c r="E2945" s="8"/>
      <c r="F2945" s="8"/>
    </row>
    <row r="2946" spans="2:6">
      <c r="B2946" s="44"/>
      <c r="D2946" s="8"/>
      <c r="E2946" s="8"/>
      <c r="F2946" s="8"/>
    </row>
    <row r="2947" spans="2:6">
      <c r="B2947" s="44"/>
      <c r="D2947" s="8"/>
      <c r="E2947" s="8"/>
      <c r="F2947" s="8"/>
    </row>
    <row r="2948" spans="2:6">
      <c r="B2948" s="44"/>
      <c r="D2948" s="8"/>
      <c r="E2948" s="8"/>
      <c r="F2948" s="8"/>
    </row>
    <row r="2949" spans="2:6">
      <c r="B2949" s="44"/>
      <c r="D2949" s="8"/>
      <c r="E2949" s="8"/>
      <c r="F2949" s="8"/>
    </row>
    <row r="2950" spans="2:6">
      <c r="B2950" s="44"/>
      <c r="D2950" s="8"/>
      <c r="E2950" s="8"/>
      <c r="F2950" s="8"/>
    </row>
    <row r="2951" spans="2:6">
      <c r="B2951" s="44"/>
      <c r="D2951" s="8"/>
      <c r="E2951" s="8"/>
      <c r="F2951" s="8"/>
    </row>
    <row r="2952" spans="2:6">
      <c r="B2952" s="44"/>
      <c r="D2952" s="8"/>
      <c r="E2952" s="8"/>
      <c r="F2952" s="8"/>
    </row>
    <row r="2953" spans="2:6">
      <c r="B2953" s="44"/>
      <c r="D2953" s="8"/>
      <c r="E2953" s="8"/>
      <c r="F2953" s="8"/>
    </row>
    <row r="2954" spans="2:6">
      <c r="B2954" s="44"/>
      <c r="D2954" s="8"/>
      <c r="E2954" s="8"/>
      <c r="F2954" s="8"/>
    </row>
    <row r="2955" spans="2:6">
      <c r="B2955" s="44"/>
      <c r="D2955" s="8"/>
      <c r="E2955" s="8"/>
      <c r="F2955" s="8"/>
    </row>
    <row r="2956" spans="2:6">
      <c r="B2956" s="44"/>
      <c r="D2956" s="8"/>
      <c r="E2956" s="8"/>
      <c r="F2956" s="8"/>
    </row>
    <row r="2957" spans="2:6">
      <c r="B2957" s="44"/>
      <c r="D2957" s="8"/>
      <c r="E2957" s="8"/>
      <c r="F2957" s="8"/>
    </row>
    <row r="2958" spans="2:6">
      <c r="B2958" s="44"/>
      <c r="D2958" s="8"/>
      <c r="E2958" s="8"/>
      <c r="F2958" s="8"/>
    </row>
    <row r="2959" spans="2:6">
      <c r="B2959" s="44"/>
      <c r="D2959" s="8"/>
      <c r="E2959" s="8"/>
      <c r="F2959" s="8"/>
    </row>
    <row r="2960" spans="2:6">
      <c r="B2960" s="44"/>
      <c r="D2960" s="8"/>
      <c r="E2960" s="8"/>
      <c r="F2960" s="8"/>
    </row>
    <row r="2961" spans="2:6">
      <c r="B2961" s="44"/>
      <c r="D2961" s="8"/>
      <c r="E2961" s="8"/>
      <c r="F2961" s="8"/>
    </row>
    <row r="2962" spans="2:6">
      <c r="B2962" s="44"/>
      <c r="D2962" s="8"/>
      <c r="E2962" s="8"/>
      <c r="F2962" s="8"/>
    </row>
    <row r="2963" spans="2:6">
      <c r="B2963" s="44"/>
      <c r="D2963" s="8"/>
      <c r="E2963" s="8"/>
      <c r="F2963" s="8"/>
    </row>
    <row r="2964" spans="2:6">
      <c r="B2964" s="44"/>
      <c r="D2964" s="8"/>
      <c r="E2964" s="8"/>
      <c r="F2964" s="8"/>
    </row>
    <row r="2965" spans="2:6">
      <c r="B2965" s="44"/>
      <c r="D2965" s="8"/>
      <c r="E2965" s="8"/>
      <c r="F2965" s="8"/>
    </row>
    <row r="2966" spans="2:6">
      <c r="B2966" s="44"/>
      <c r="D2966" s="8"/>
      <c r="E2966" s="8"/>
      <c r="F2966" s="8"/>
    </row>
    <row r="2967" spans="2:6">
      <c r="B2967" s="44"/>
      <c r="D2967" s="8"/>
      <c r="E2967" s="8"/>
      <c r="F2967" s="8"/>
    </row>
    <row r="2968" spans="2:6">
      <c r="B2968" s="44"/>
      <c r="D2968" s="8"/>
      <c r="E2968" s="8"/>
      <c r="F2968" s="8"/>
    </row>
    <row r="2969" spans="2:6">
      <c r="B2969" s="44"/>
      <c r="D2969" s="8"/>
      <c r="E2969" s="8"/>
      <c r="F2969" s="8"/>
    </row>
    <row r="2970" spans="2:6">
      <c r="B2970" s="44"/>
      <c r="D2970" s="8"/>
      <c r="E2970" s="8"/>
      <c r="F2970" s="8"/>
    </row>
    <row r="2971" spans="2:6">
      <c r="B2971" s="44"/>
      <c r="D2971" s="8"/>
      <c r="E2971" s="8"/>
      <c r="F2971" s="8"/>
    </row>
    <row r="2972" spans="2:6">
      <c r="B2972" s="44"/>
      <c r="D2972" s="8"/>
      <c r="E2972" s="8"/>
      <c r="F2972" s="8"/>
    </row>
    <row r="2973" spans="2:6">
      <c r="B2973" s="44"/>
      <c r="D2973" s="8"/>
      <c r="E2973" s="8"/>
      <c r="F2973" s="8"/>
    </row>
    <row r="2974" spans="2:6">
      <c r="B2974" s="44"/>
      <c r="D2974" s="8"/>
      <c r="E2974" s="8"/>
      <c r="F2974" s="8"/>
    </row>
    <row r="2975" spans="2:6">
      <c r="B2975" s="44"/>
      <c r="D2975" s="8"/>
      <c r="E2975" s="8"/>
      <c r="F2975" s="8"/>
    </row>
    <row r="2976" spans="2:6">
      <c r="B2976" s="44"/>
      <c r="D2976" s="8"/>
      <c r="E2976" s="8"/>
      <c r="F2976" s="8"/>
    </row>
    <row r="2977" spans="2:6">
      <c r="B2977" s="44"/>
      <c r="D2977" s="8"/>
      <c r="E2977" s="8"/>
      <c r="F2977" s="8"/>
    </row>
    <row r="2978" spans="2:6">
      <c r="B2978" s="44"/>
      <c r="D2978" s="8"/>
      <c r="E2978" s="8"/>
      <c r="F2978" s="8"/>
    </row>
    <row r="2979" spans="2:6">
      <c r="B2979" s="44"/>
      <c r="D2979" s="8"/>
      <c r="E2979" s="8"/>
      <c r="F2979" s="8"/>
    </row>
    <row r="2980" spans="2:6">
      <c r="B2980" s="44"/>
      <c r="D2980" s="8"/>
      <c r="E2980" s="8"/>
      <c r="F2980" s="8"/>
    </row>
    <row r="2981" spans="2:6">
      <c r="B2981" s="44"/>
      <c r="D2981" s="8"/>
      <c r="E2981" s="8"/>
      <c r="F2981" s="8"/>
    </row>
    <row r="2982" spans="2:6">
      <c r="B2982" s="44"/>
      <c r="D2982" s="8"/>
      <c r="E2982" s="8"/>
      <c r="F2982" s="8"/>
    </row>
    <row r="2983" spans="2:6">
      <c r="B2983" s="44"/>
      <c r="D2983" s="8"/>
      <c r="E2983" s="8"/>
      <c r="F2983" s="8"/>
    </row>
    <row r="2984" spans="2:6">
      <c r="B2984" s="44"/>
      <c r="D2984" s="8"/>
      <c r="E2984" s="8"/>
      <c r="F2984" s="8"/>
    </row>
    <row r="2985" spans="2:6">
      <c r="B2985" s="44"/>
      <c r="D2985" s="8"/>
      <c r="E2985" s="8"/>
      <c r="F2985" s="8"/>
    </row>
    <row r="2986" spans="2:6">
      <c r="B2986" s="44"/>
      <c r="D2986" s="8"/>
      <c r="E2986" s="8"/>
      <c r="F2986" s="8"/>
    </row>
    <row r="2987" spans="2:6">
      <c r="B2987" s="44"/>
      <c r="D2987" s="8"/>
      <c r="E2987" s="8"/>
      <c r="F2987" s="8"/>
    </row>
    <row r="2988" spans="2:6">
      <c r="B2988" s="44"/>
      <c r="D2988" s="8"/>
      <c r="E2988" s="8"/>
      <c r="F2988" s="8"/>
    </row>
    <row r="2989" spans="2:6">
      <c r="B2989" s="44"/>
      <c r="D2989" s="8"/>
      <c r="E2989" s="8"/>
      <c r="F2989" s="8"/>
    </row>
    <row r="2990" spans="2:6">
      <c r="B2990" s="44"/>
      <c r="D2990" s="8"/>
      <c r="E2990" s="8"/>
      <c r="F2990" s="8"/>
    </row>
    <row r="2991" spans="2:6">
      <c r="B2991" s="44"/>
      <c r="D2991" s="8"/>
      <c r="E2991" s="8"/>
      <c r="F2991" s="8"/>
    </row>
    <row r="2992" spans="2:6">
      <c r="B2992" s="44"/>
      <c r="D2992" s="8"/>
      <c r="E2992" s="8"/>
      <c r="F2992" s="8"/>
    </row>
    <row r="2993" spans="2:6">
      <c r="B2993" s="44"/>
      <c r="D2993" s="8"/>
      <c r="E2993" s="8"/>
      <c r="F2993" s="8"/>
    </row>
    <row r="2994" spans="2:6">
      <c r="B2994" s="44"/>
      <c r="D2994" s="8"/>
      <c r="E2994" s="8"/>
      <c r="F2994" s="8"/>
    </row>
    <row r="2995" spans="2:6">
      <c r="B2995" s="44"/>
      <c r="D2995" s="8"/>
      <c r="E2995" s="8"/>
      <c r="F2995" s="8"/>
    </row>
    <row r="2996" spans="2:6">
      <c r="B2996" s="44"/>
      <c r="D2996" s="8"/>
      <c r="E2996" s="8"/>
      <c r="F2996" s="8"/>
    </row>
    <row r="2997" spans="2:6">
      <c r="B2997" s="44"/>
      <c r="D2997" s="8"/>
      <c r="E2997" s="8"/>
      <c r="F2997" s="8"/>
    </row>
    <row r="2998" spans="2:6">
      <c r="B2998" s="44"/>
      <c r="D2998" s="8"/>
      <c r="E2998" s="8"/>
      <c r="F2998" s="8"/>
    </row>
    <row r="2999" spans="2:6">
      <c r="B2999" s="44"/>
      <c r="D2999" s="8"/>
      <c r="E2999" s="8"/>
      <c r="F2999" s="8"/>
    </row>
    <row r="3000" spans="2:6">
      <c r="B3000" s="44"/>
      <c r="D3000" s="8"/>
      <c r="E3000" s="8"/>
      <c r="F3000" s="8"/>
    </row>
    <row r="3001" spans="2:6">
      <c r="B3001" s="44"/>
      <c r="D3001" s="8"/>
      <c r="E3001" s="8"/>
      <c r="F3001" s="8"/>
    </row>
    <row r="3002" spans="2:6">
      <c r="B3002" s="44"/>
      <c r="D3002" s="8"/>
      <c r="E3002" s="8"/>
      <c r="F3002" s="8"/>
    </row>
    <row r="3003" spans="2:6">
      <c r="B3003" s="44"/>
      <c r="D3003" s="8"/>
      <c r="E3003" s="8"/>
      <c r="F3003" s="8"/>
    </row>
    <row r="3004" spans="2:6">
      <c r="B3004" s="44"/>
      <c r="D3004" s="8"/>
      <c r="E3004" s="8"/>
      <c r="F3004" s="8"/>
    </row>
    <row r="3005" spans="2:6">
      <c r="B3005" s="44"/>
      <c r="D3005" s="8"/>
      <c r="E3005" s="8"/>
      <c r="F3005" s="8"/>
    </row>
    <row r="3006" spans="2:6">
      <c r="B3006" s="44"/>
      <c r="D3006" s="8"/>
      <c r="E3006" s="8"/>
      <c r="F3006" s="8"/>
    </row>
    <row r="3007" spans="2:6">
      <c r="B3007" s="44"/>
      <c r="D3007" s="8"/>
      <c r="E3007" s="8"/>
      <c r="F3007" s="8"/>
    </row>
    <row r="3008" spans="2:6">
      <c r="B3008" s="44"/>
      <c r="D3008" s="8"/>
      <c r="E3008" s="8"/>
      <c r="F3008" s="8"/>
    </row>
    <row r="3009" spans="2:6">
      <c r="B3009" s="44"/>
      <c r="D3009" s="8"/>
      <c r="E3009" s="8"/>
      <c r="F3009" s="8"/>
    </row>
    <row r="3010" spans="2:6">
      <c r="B3010" s="44"/>
      <c r="D3010" s="8"/>
      <c r="E3010" s="8"/>
      <c r="F3010" s="8"/>
    </row>
    <row r="3011" spans="2:6">
      <c r="B3011" s="44"/>
      <c r="D3011" s="8"/>
      <c r="E3011" s="8"/>
      <c r="F3011" s="8"/>
    </row>
    <row r="3012" spans="2:6">
      <c r="B3012" s="44"/>
      <c r="D3012" s="8"/>
      <c r="E3012" s="8"/>
      <c r="F3012" s="8"/>
    </row>
    <row r="3013" spans="2:6">
      <c r="B3013" s="44"/>
      <c r="D3013" s="8"/>
      <c r="E3013" s="8"/>
      <c r="F3013" s="8"/>
    </row>
    <row r="3014" spans="2:6">
      <c r="B3014" s="44"/>
      <c r="D3014" s="8"/>
      <c r="E3014" s="8"/>
      <c r="F3014" s="8"/>
    </row>
    <row r="3015" spans="2:6">
      <c r="B3015" s="44"/>
      <c r="D3015" s="8"/>
      <c r="E3015" s="8"/>
      <c r="F3015" s="8"/>
    </row>
    <row r="3016" spans="2:6">
      <c r="B3016" s="44"/>
      <c r="D3016" s="8"/>
      <c r="E3016" s="8"/>
      <c r="F3016" s="8"/>
    </row>
    <row r="3017" spans="2:6">
      <c r="B3017" s="44"/>
      <c r="D3017" s="8"/>
      <c r="E3017" s="8"/>
      <c r="F3017" s="8"/>
    </row>
    <row r="3018" spans="2:6">
      <c r="B3018" s="44"/>
      <c r="D3018" s="8"/>
      <c r="E3018" s="8"/>
      <c r="F3018" s="8"/>
    </row>
    <row r="3019" spans="2:6">
      <c r="B3019" s="44"/>
      <c r="D3019" s="8"/>
      <c r="E3019" s="8"/>
      <c r="F3019" s="8"/>
    </row>
    <row r="3020" spans="2:6">
      <c r="B3020" s="44"/>
      <c r="D3020" s="8"/>
      <c r="E3020" s="8"/>
      <c r="F3020" s="8"/>
    </row>
    <row r="3021" spans="2:6">
      <c r="B3021" s="44"/>
      <c r="D3021" s="8"/>
      <c r="E3021" s="8"/>
      <c r="F3021" s="8"/>
    </row>
    <row r="3022" spans="2:6">
      <c r="B3022" s="44"/>
      <c r="D3022" s="8"/>
      <c r="E3022" s="8"/>
      <c r="F3022" s="8"/>
    </row>
    <row r="3023" spans="2:6">
      <c r="B3023" s="44"/>
      <c r="D3023" s="8"/>
      <c r="E3023" s="8"/>
      <c r="F3023" s="8"/>
    </row>
    <row r="3024" spans="2:6">
      <c r="B3024" s="44"/>
      <c r="D3024" s="8"/>
      <c r="E3024" s="8"/>
      <c r="F3024" s="8"/>
    </row>
    <row r="3025" spans="2:6">
      <c r="B3025" s="44"/>
      <c r="D3025" s="8"/>
      <c r="E3025" s="8"/>
      <c r="F3025" s="8"/>
    </row>
    <row r="3026" spans="2:6">
      <c r="B3026" s="44"/>
      <c r="D3026" s="8"/>
      <c r="E3026" s="8"/>
      <c r="F3026" s="8"/>
    </row>
    <row r="3027" spans="2:6">
      <c r="B3027" s="44"/>
      <c r="D3027" s="8"/>
      <c r="E3027" s="8"/>
      <c r="F3027" s="8"/>
    </row>
    <row r="3028" spans="2:6">
      <c r="B3028" s="44"/>
      <c r="D3028" s="8"/>
      <c r="E3028" s="8"/>
      <c r="F3028" s="8"/>
    </row>
    <row r="3029" spans="2:6">
      <c r="B3029" s="44"/>
      <c r="D3029" s="8"/>
      <c r="E3029" s="8"/>
      <c r="F3029" s="8"/>
    </row>
    <row r="3030" spans="2:6">
      <c r="B3030" s="44"/>
      <c r="D3030" s="8"/>
      <c r="E3030" s="8"/>
      <c r="F3030" s="8"/>
    </row>
    <row r="3031" spans="2:6">
      <c r="B3031" s="44"/>
      <c r="D3031" s="8"/>
      <c r="E3031" s="8"/>
      <c r="F3031" s="8"/>
    </row>
    <row r="3032" spans="2:6">
      <c r="B3032" s="44"/>
      <c r="D3032" s="8"/>
      <c r="E3032" s="8"/>
      <c r="F3032" s="8"/>
    </row>
    <row r="3033" spans="2:6">
      <c r="B3033" s="44"/>
      <c r="D3033" s="8"/>
      <c r="E3033" s="8"/>
      <c r="F3033" s="8"/>
    </row>
    <row r="3034" spans="2:6">
      <c r="B3034" s="44"/>
      <c r="D3034" s="8"/>
      <c r="E3034" s="8"/>
      <c r="F3034" s="8"/>
    </row>
    <row r="3035" spans="2:6">
      <c r="B3035" s="44"/>
      <c r="D3035" s="8"/>
      <c r="E3035" s="8"/>
      <c r="F3035" s="8"/>
    </row>
    <row r="3036" spans="2:6">
      <c r="B3036" s="44"/>
      <c r="D3036" s="8"/>
      <c r="E3036" s="8"/>
      <c r="F3036" s="8"/>
    </row>
    <row r="3037" spans="2:6">
      <c r="B3037" s="44"/>
      <c r="D3037" s="8"/>
      <c r="E3037" s="8"/>
      <c r="F3037" s="8"/>
    </row>
    <row r="3038" spans="2:6">
      <c r="B3038" s="44"/>
      <c r="D3038" s="8"/>
      <c r="E3038" s="8"/>
      <c r="F3038" s="8"/>
    </row>
    <row r="3039" spans="2:6">
      <c r="B3039" s="44"/>
      <c r="D3039" s="8"/>
      <c r="E3039" s="8"/>
      <c r="F3039" s="8"/>
    </row>
    <row r="3040" spans="2:6">
      <c r="B3040" s="44"/>
      <c r="D3040" s="8"/>
      <c r="E3040" s="8"/>
      <c r="F3040" s="8"/>
    </row>
    <row r="3041" spans="2:6">
      <c r="B3041" s="44"/>
      <c r="D3041" s="8"/>
      <c r="E3041" s="8"/>
      <c r="F3041" s="8"/>
    </row>
    <row r="3042" spans="2:6">
      <c r="B3042" s="44"/>
      <c r="D3042" s="8"/>
      <c r="E3042" s="8"/>
      <c r="F3042" s="8"/>
    </row>
    <row r="3043" spans="2:6">
      <c r="B3043" s="44"/>
      <c r="D3043" s="8"/>
      <c r="E3043" s="8"/>
      <c r="F3043" s="8"/>
    </row>
    <row r="3044" spans="2:6">
      <c r="B3044" s="44"/>
      <c r="D3044" s="8"/>
      <c r="E3044" s="8"/>
      <c r="F3044" s="8"/>
    </row>
    <row r="3045" spans="2:6">
      <c r="B3045" s="44"/>
      <c r="D3045" s="8"/>
      <c r="E3045" s="8"/>
      <c r="F3045" s="8"/>
    </row>
    <row r="3046" spans="2:6">
      <c r="B3046" s="44"/>
      <c r="D3046" s="8"/>
      <c r="E3046" s="8"/>
      <c r="F3046" s="8"/>
    </row>
    <row r="3047" spans="2:6">
      <c r="B3047" s="44"/>
      <c r="D3047" s="8"/>
      <c r="E3047" s="8"/>
      <c r="F3047" s="8"/>
    </row>
    <row r="3048" spans="2:6">
      <c r="B3048" s="44"/>
      <c r="D3048" s="8"/>
      <c r="E3048" s="8"/>
      <c r="F3048" s="8"/>
    </row>
    <row r="3049" spans="2:6">
      <c r="B3049" s="44"/>
      <c r="D3049" s="8"/>
      <c r="E3049" s="8"/>
      <c r="F3049" s="8"/>
    </row>
    <row r="3050" spans="2:6">
      <c r="B3050" s="44"/>
      <c r="D3050" s="8"/>
      <c r="E3050" s="8"/>
      <c r="F3050" s="8"/>
    </row>
    <row r="3051" spans="2:6">
      <c r="B3051" s="44"/>
      <c r="D3051" s="8"/>
      <c r="E3051" s="8"/>
      <c r="F3051" s="8"/>
    </row>
    <row r="3052" spans="2:6">
      <c r="B3052" s="44"/>
      <c r="D3052" s="8"/>
      <c r="E3052" s="8"/>
      <c r="F3052" s="8"/>
    </row>
    <row r="3053" spans="2:6">
      <c r="B3053" s="44"/>
      <c r="D3053" s="8"/>
      <c r="E3053" s="8"/>
      <c r="F3053" s="8"/>
    </row>
    <row r="3054" spans="2:6">
      <c r="B3054" s="44"/>
      <c r="D3054" s="8"/>
      <c r="E3054" s="8"/>
      <c r="F3054" s="8"/>
    </row>
    <row r="3055" spans="2:6">
      <c r="B3055" s="44"/>
      <c r="D3055" s="8"/>
      <c r="E3055" s="8"/>
      <c r="F3055" s="8"/>
    </row>
    <row r="3056" spans="2:6">
      <c r="B3056" s="44"/>
      <c r="D3056" s="8"/>
      <c r="E3056" s="8"/>
      <c r="F3056" s="8"/>
    </row>
    <row r="3057" spans="2:6">
      <c r="B3057" s="44"/>
      <c r="D3057" s="8"/>
      <c r="E3057" s="8"/>
      <c r="F3057" s="8"/>
    </row>
    <row r="3058" spans="2:6">
      <c r="B3058" s="44"/>
      <c r="D3058" s="8"/>
      <c r="E3058" s="8"/>
      <c r="F3058" s="8"/>
    </row>
    <row r="3059" spans="2:6">
      <c r="B3059" s="44"/>
      <c r="D3059" s="8"/>
      <c r="E3059" s="8"/>
      <c r="F3059" s="8"/>
    </row>
    <row r="3060" spans="2:6">
      <c r="B3060" s="44"/>
      <c r="D3060" s="8"/>
      <c r="E3060" s="8"/>
      <c r="F3060" s="8"/>
    </row>
    <row r="3061" spans="2:6">
      <c r="B3061" s="44"/>
      <c r="D3061" s="8"/>
      <c r="E3061" s="8"/>
      <c r="F3061" s="8"/>
    </row>
    <row r="3062" spans="2:6">
      <c r="B3062" s="44"/>
      <c r="D3062" s="8"/>
      <c r="E3062" s="8"/>
      <c r="F3062" s="8"/>
    </row>
    <row r="3063" spans="2:6">
      <c r="B3063" s="44"/>
      <c r="D3063" s="8"/>
      <c r="E3063" s="8"/>
      <c r="F3063" s="8"/>
    </row>
    <row r="3064" spans="2:6">
      <c r="B3064" s="44"/>
      <c r="D3064" s="8"/>
      <c r="E3064" s="8"/>
      <c r="F3064" s="8"/>
    </row>
    <row r="3065" spans="2:6">
      <c r="B3065" s="44"/>
      <c r="D3065" s="8"/>
      <c r="E3065" s="8"/>
      <c r="F3065" s="8"/>
    </row>
    <row r="3066" spans="2:6">
      <c r="B3066" s="44"/>
      <c r="D3066" s="8"/>
      <c r="E3066" s="8"/>
      <c r="F3066" s="8"/>
    </row>
    <row r="3067" spans="2:6">
      <c r="B3067" s="44"/>
      <c r="D3067" s="8"/>
      <c r="E3067" s="8"/>
      <c r="F3067" s="8"/>
    </row>
    <row r="3068" spans="2:6">
      <c r="B3068" s="44"/>
      <c r="D3068" s="8"/>
      <c r="E3068" s="8"/>
      <c r="F3068" s="8"/>
    </row>
    <row r="3069" spans="2:6">
      <c r="B3069" s="44"/>
      <c r="D3069" s="8"/>
      <c r="E3069" s="8"/>
      <c r="F3069" s="8"/>
    </row>
    <row r="3070" spans="2:6">
      <c r="B3070" s="44"/>
      <c r="D3070" s="8"/>
      <c r="E3070" s="8"/>
      <c r="F3070" s="8"/>
    </row>
    <row r="3071" spans="2:6">
      <c r="B3071" s="44"/>
      <c r="D3071" s="8"/>
      <c r="E3071" s="8"/>
      <c r="F3071" s="8"/>
    </row>
    <row r="3072" spans="2:6">
      <c r="B3072" s="44"/>
      <c r="D3072" s="8"/>
      <c r="E3072" s="8"/>
      <c r="F3072" s="8"/>
    </row>
    <row r="3073" spans="2:6">
      <c r="B3073" s="44"/>
      <c r="D3073" s="8"/>
      <c r="E3073" s="8"/>
      <c r="F3073" s="8"/>
    </row>
    <row r="3074" spans="2:6">
      <c r="B3074" s="44"/>
      <c r="D3074" s="8"/>
      <c r="E3074" s="8"/>
      <c r="F3074" s="8"/>
    </row>
    <row r="3075" spans="2:6">
      <c r="B3075" s="44"/>
      <c r="D3075" s="8"/>
      <c r="E3075" s="8"/>
      <c r="F3075" s="8"/>
    </row>
    <row r="3076" spans="2:6">
      <c r="B3076" s="44"/>
      <c r="D3076" s="8"/>
      <c r="E3076" s="8"/>
      <c r="F3076" s="8"/>
    </row>
    <row r="3077" spans="2:6">
      <c r="B3077" s="44"/>
      <c r="D3077" s="8"/>
      <c r="E3077" s="8"/>
      <c r="F3077" s="8"/>
    </row>
    <row r="3078" spans="2:6">
      <c r="B3078" s="44"/>
      <c r="D3078" s="8"/>
      <c r="E3078" s="8"/>
      <c r="F3078" s="8"/>
    </row>
    <row r="3079" spans="2:6">
      <c r="B3079" s="44"/>
      <c r="D3079" s="8"/>
      <c r="E3079" s="8"/>
      <c r="F3079" s="8"/>
    </row>
    <row r="3080" spans="2:6">
      <c r="B3080" s="44"/>
      <c r="D3080" s="8"/>
      <c r="E3080" s="8"/>
      <c r="F3080" s="8"/>
    </row>
    <row r="3081" spans="2:6">
      <c r="B3081" s="44"/>
      <c r="D3081" s="8"/>
      <c r="E3081" s="8"/>
      <c r="F3081" s="8"/>
    </row>
    <row r="3082" spans="2:6">
      <c r="B3082" s="44"/>
      <c r="D3082" s="8"/>
      <c r="E3082" s="8"/>
      <c r="F3082" s="8"/>
    </row>
    <row r="3083" spans="2:6">
      <c r="B3083" s="44"/>
      <c r="D3083" s="8"/>
      <c r="E3083" s="8"/>
      <c r="F3083" s="8"/>
    </row>
    <row r="3084" spans="2:6">
      <c r="B3084" s="44"/>
      <c r="D3084" s="8"/>
      <c r="E3084" s="8"/>
      <c r="F3084" s="8"/>
    </row>
    <row r="3085" spans="2:6">
      <c r="B3085" s="44"/>
      <c r="D3085" s="8"/>
      <c r="E3085" s="8"/>
      <c r="F3085" s="8"/>
    </row>
    <row r="3086" spans="2:6">
      <c r="B3086" s="44"/>
      <c r="D3086" s="8"/>
      <c r="E3086" s="8"/>
      <c r="F3086" s="8"/>
    </row>
    <row r="3087" spans="2:6">
      <c r="B3087" s="44"/>
      <c r="D3087" s="8"/>
      <c r="E3087" s="8"/>
      <c r="F3087" s="8"/>
    </row>
    <row r="3088" spans="2:6">
      <c r="B3088" s="44"/>
      <c r="D3088" s="8"/>
      <c r="E3088" s="8"/>
      <c r="F3088" s="8"/>
    </row>
    <row r="3089" spans="2:6">
      <c r="B3089" s="44"/>
      <c r="D3089" s="8"/>
      <c r="E3089" s="8"/>
      <c r="F3089" s="8"/>
    </row>
    <row r="3090" spans="2:6">
      <c r="B3090" s="44"/>
      <c r="D3090" s="8"/>
      <c r="E3090" s="8"/>
      <c r="F3090" s="8"/>
    </row>
    <row r="3091" spans="2:6">
      <c r="B3091" s="44"/>
      <c r="D3091" s="8"/>
      <c r="E3091" s="8"/>
      <c r="F3091" s="8"/>
    </row>
    <row r="3092" spans="2:6">
      <c r="B3092" s="44"/>
      <c r="D3092" s="8"/>
      <c r="E3092" s="8"/>
      <c r="F3092" s="8"/>
    </row>
    <row r="3093" spans="2:6">
      <c r="B3093" s="44"/>
      <c r="D3093" s="8"/>
      <c r="E3093" s="8"/>
      <c r="F3093" s="8"/>
    </row>
    <row r="3094" spans="2:6">
      <c r="B3094" s="44"/>
      <c r="D3094" s="8"/>
      <c r="E3094" s="8"/>
      <c r="F3094" s="8"/>
    </row>
    <row r="3095" spans="2:6">
      <c r="B3095" s="44"/>
      <c r="D3095" s="8"/>
      <c r="E3095" s="8"/>
      <c r="F3095" s="8"/>
    </row>
    <row r="3096" spans="2:6">
      <c r="B3096" s="44"/>
      <c r="D3096" s="8"/>
      <c r="E3096" s="8"/>
      <c r="F3096" s="8"/>
    </row>
    <row r="3097" spans="2:6">
      <c r="B3097" s="44"/>
      <c r="D3097" s="8"/>
      <c r="E3097" s="8"/>
      <c r="F3097" s="8"/>
    </row>
    <row r="3098" spans="2:6">
      <c r="B3098" s="44"/>
      <c r="D3098" s="8"/>
      <c r="E3098" s="8"/>
      <c r="F3098" s="8"/>
    </row>
    <row r="3099" spans="2:6">
      <c r="B3099" s="44"/>
      <c r="D3099" s="8"/>
      <c r="E3099" s="8"/>
      <c r="F3099" s="8"/>
    </row>
    <row r="3100" spans="2:6">
      <c r="B3100" s="44"/>
      <c r="D3100" s="8"/>
      <c r="E3100" s="8"/>
      <c r="F3100" s="8"/>
    </row>
    <row r="3101" spans="2:6">
      <c r="B3101" s="44"/>
      <c r="D3101" s="8"/>
      <c r="E3101" s="8"/>
      <c r="F3101" s="8"/>
    </row>
    <row r="3102" spans="2:6">
      <c r="B3102" s="44"/>
      <c r="D3102" s="8"/>
      <c r="E3102" s="8"/>
      <c r="F3102" s="8"/>
    </row>
    <row r="3103" spans="2:6">
      <c r="B3103" s="44"/>
      <c r="D3103" s="8"/>
      <c r="E3103" s="8"/>
      <c r="F3103" s="8"/>
    </row>
    <row r="3104" spans="2:6">
      <c r="B3104" s="44"/>
      <c r="D3104" s="8"/>
      <c r="E3104" s="8"/>
      <c r="F3104" s="8"/>
    </row>
    <row r="3105" spans="2:6">
      <c r="B3105" s="44"/>
      <c r="D3105" s="8"/>
      <c r="E3105" s="8"/>
      <c r="F3105" s="8"/>
    </row>
    <row r="3106" spans="2:6">
      <c r="B3106" s="44"/>
      <c r="D3106" s="8"/>
      <c r="E3106" s="8"/>
      <c r="F3106" s="8"/>
    </row>
    <row r="3107" spans="2:6">
      <c r="B3107" s="44"/>
      <c r="D3107" s="8"/>
      <c r="E3107" s="8"/>
      <c r="F3107" s="8"/>
    </row>
    <row r="3108" spans="2:6">
      <c r="B3108" s="44"/>
      <c r="D3108" s="8"/>
      <c r="E3108" s="8"/>
      <c r="F3108" s="8"/>
    </row>
    <row r="3109" spans="2:6">
      <c r="B3109" s="44"/>
      <c r="D3109" s="8"/>
      <c r="E3109" s="8"/>
      <c r="F3109" s="8"/>
    </row>
    <row r="3110" spans="2:6">
      <c r="B3110" s="44"/>
      <c r="D3110" s="8"/>
      <c r="E3110" s="8"/>
      <c r="F3110" s="8"/>
    </row>
    <row r="3111" spans="2:6">
      <c r="B3111" s="44"/>
      <c r="D3111" s="8"/>
      <c r="E3111" s="8"/>
      <c r="F3111" s="8"/>
    </row>
    <row r="3112" spans="2:6">
      <c r="B3112" s="44"/>
      <c r="D3112" s="8"/>
      <c r="E3112" s="8"/>
      <c r="F3112" s="8"/>
    </row>
    <row r="3113" spans="2:6">
      <c r="B3113" s="44"/>
      <c r="D3113" s="8"/>
      <c r="E3113" s="8"/>
      <c r="F3113" s="8"/>
    </row>
    <row r="3114" spans="2:6">
      <c r="B3114" s="44"/>
      <c r="D3114" s="8"/>
      <c r="E3114" s="8"/>
      <c r="F3114" s="8"/>
    </row>
    <row r="3115" spans="2:6">
      <c r="B3115" s="44"/>
      <c r="D3115" s="8"/>
      <c r="E3115" s="8"/>
      <c r="F3115" s="8"/>
    </row>
    <row r="3116" spans="2:6">
      <c r="B3116" s="44"/>
      <c r="D3116" s="8"/>
      <c r="E3116" s="8"/>
      <c r="F3116" s="8"/>
    </row>
    <row r="3117" spans="2:6">
      <c r="B3117" s="44"/>
      <c r="D3117" s="8"/>
      <c r="E3117" s="8"/>
      <c r="F3117" s="8"/>
    </row>
    <row r="3118" spans="2:6">
      <c r="B3118" s="44"/>
      <c r="D3118" s="8"/>
      <c r="E3118" s="8"/>
      <c r="F3118" s="8"/>
    </row>
    <row r="3119" spans="2:6">
      <c r="B3119" s="44"/>
      <c r="D3119" s="8"/>
      <c r="E3119" s="8"/>
      <c r="F3119" s="8"/>
    </row>
    <row r="3120" spans="2:6">
      <c r="B3120" s="44"/>
      <c r="D3120" s="8"/>
      <c r="E3120" s="8"/>
      <c r="F3120" s="8"/>
    </row>
    <row r="3121" spans="2:6">
      <c r="B3121" s="44"/>
      <c r="D3121" s="8"/>
      <c r="E3121" s="8"/>
      <c r="F3121" s="8"/>
    </row>
    <row r="3122" spans="2:6">
      <c r="B3122" s="44"/>
      <c r="D3122" s="8"/>
      <c r="E3122" s="8"/>
      <c r="F3122" s="8"/>
    </row>
    <row r="3123" spans="2:6">
      <c r="B3123" s="44"/>
      <c r="D3123" s="8"/>
      <c r="E3123" s="8"/>
      <c r="F3123" s="8"/>
    </row>
    <row r="3124" spans="2:6">
      <c r="B3124" s="44"/>
      <c r="D3124" s="8"/>
      <c r="E3124" s="8"/>
      <c r="F3124" s="8"/>
    </row>
    <row r="3125" spans="2:6">
      <c r="B3125" s="44"/>
      <c r="D3125" s="8"/>
      <c r="E3125" s="8"/>
      <c r="F3125" s="8"/>
    </row>
    <row r="3126" spans="2:6">
      <c r="B3126" s="44"/>
      <c r="D3126" s="8"/>
      <c r="E3126" s="8"/>
      <c r="F3126" s="8"/>
    </row>
    <row r="3127" spans="2:6">
      <c r="B3127" s="44"/>
      <c r="D3127" s="8"/>
      <c r="E3127" s="8"/>
      <c r="F3127" s="8"/>
    </row>
    <row r="3128" spans="2:6">
      <c r="B3128" s="44"/>
      <c r="D3128" s="8"/>
      <c r="E3128" s="8"/>
      <c r="F3128" s="8"/>
    </row>
    <row r="3129" spans="2:6">
      <c r="B3129" s="44"/>
      <c r="D3129" s="8"/>
      <c r="E3129" s="8"/>
      <c r="F3129" s="8"/>
    </row>
    <row r="3130" spans="2:6">
      <c r="B3130" s="44"/>
      <c r="D3130" s="8"/>
      <c r="E3130" s="8"/>
      <c r="F3130" s="8"/>
    </row>
    <row r="3131" spans="2:6">
      <c r="B3131" s="44"/>
      <c r="D3131" s="8"/>
      <c r="E3131" s="8"/>
      <c r="F3131" s="8"/>
    </row>
    <row r="3132" spans="2:6">
      <c r="B3132" s="44"/>
      <c r="D3132" s="8"/>
      <c r="E3132" s="8"/>
      <c r="F3132" s="8"/>
    </row>
    <row r="3133" spans="2:6">
      <c r="B3133" s="44"/>
      <c r="D3133" s="8"/>
      <c r="E3133" s="8"/>
      <c r="F3133" s="8"/>
    </row>
    <row r="3134" spans="2:6">
      <c r="B3134" s="44"/>
      <c r="D3134" s="8"/>
      <c r="E3134" s="8"/>
      <c r="F3134" s="8"/>
    </row>
    <row r="3135" spans="2:6">
      <c r="B3135" s="44"/>
      <c r="D3135" s="8"/>
      <c r="E3135" s="8"/>
      <c r="F3135" s="8"/>
    </row>
    <row r="3136" spans="2:6">
      <c r="B3136" s="44"/>
      <c r="D3136" s="8"/>
      <c r="E3136" s="8"/>
      <c r="F3136" s="8"/>
    </row>
    <row r="3137" spans="2:6">
      <c r="B3137" s="44"/>
      <c r="D3137" s="8"/>
      <c r="E3137" s="8"/>
      <c r="F3137" s="8"/>
    </row>
    <row r="3138" spans="2:6">
      <c r="B3138" s="44"/>
      <c r="D3138" s="8"/>
      <c r="E3138" s="8"/>
      <c r="F3138" s="8"/>
    </row>
    <row r="3139" spans="2:6">
      <c r="B3139" s="44"/>
      <c r="D3139" s="8"/>
      <c r="E3139" s="8"/>
      <c r="F3139" s="8"/>
    </row>
    <row r="3140" spans="2:6">
      <c r="B3140" s="44"/>
      <c r="D3140" s="8"/>
      <c r="E3140" s="8"/>
      <c r="F3140" s="8"/>
    </row>
    <row r="3141" spans="2:6">
      <c r="B3141" s="44"/>
      <c r="D3141" s="8"/>
      <c r="E3141" s="8"/>
      <c r="F3141" s="8"/>
    </row>
    <row r="3142" spans="2:6">
      <c r="B3142" s="44"/>
      <c r="D3142" s="8"/>
      <c r="E3142" s="8"/>
      <c r="F3142" s="8"/>
    </row>
    <row r="3143" spans="2:6">
      <c r="B3143" s="44"/>
      <c r="D3143" s="8"/>
      <c r="E3143" s="8"/>
      <c r="F3143" s="8"/>
    </row>
    <row r="3144" spans="2:6">
      <c r="B3144" s="44"/>
      <c r="D3144" s="8"/>
      <c r="E3144" s="8"/>
      <c r="F3144" s="8"/>
    </row>
    <row r="3145" spans="2:6">
      <c r="B3145" s="44"/>
      <c r="D3145" s="8"/>
      <c r="E3145" s="8"/>
      <c r="F3145" s="8"/>
    </row>
    <row r="3146" spans="2:6">
      <c r="B3146" s="44"/>
      <c r="D3146" s="8"/>
      <c r="E3146" s="8"/>
      <c r="F3146" s="8"/>
    </row>
    <row r="3147" spans="2:6">
      <c r="B3147" s="44"/>
      <c r="D3147" s="8"/>
      <c r="E3147" s="8"/>
      <c r="F3147" s="8"/>
    </row>
    <row r="3148" spans="2:6">
      <c r="B3148" s="44"/>
      <c r="D3148" s="8"/>
      <c r="E3148" s="8"/>
      <c r="F3148" s="8"/>
    </row>
    <row r="3149" spans="2:6">
      <c r="B3149" s="44"/>
      <c r="D3149" s="8"/>
      <c r="E3149" s="8"/>
      <c r="F3149" s="8"/>
    </row>
    <row r="3150" spans="2:6">
      <c r="B3150" s="44"/>
      <c r="D3150" s="8"/>
      <c r="E3150" s="8"/>
      <c r="F3150" s="8"/>
    </row>
    <row r="3151" spans="2:6">
      <c r="B3151" s="44"/>
      <c r="D3151" s="8"/>
      <c r="E3151" s="8"/>
      <c r="F3151" s="8"/>
    </row>
    <row r="3152" spans="2:6">
      <c r="B3152" s="44"/>
      <c r="D3152" s="8"/>
      <c r="E3152" s="8"/>
      <c r="F3152" s="8"/>
    </row>
    <row r="3153" spans="2:6">
      <c r="B3153" s="44"/>
      <c r="D3153" s="8"/>
      <c r="E3153" s="8"/>
      <c r="F3153" s="8"/>
    </row>
    <row r="3154" spans="2:6">
      <c r="B3154" s="44"/>
      <c r="D3154" s="8"/>
      <c r="E3154" s="8"/>
      <c r="F3154" s="8"/>
    </row>
    <row r="3155" spans="2:6">
      <c r="B3155" s="44"/>
      <c r="D3155" s="8"/>
      <c r="E3155" s="8"/>
      <c r="F3155" s="8"/>
    </row>
    <row r="3156" spans="2:6">
      <c r="B3156" s="44"/>
      <c r="D3156" s="8"/>
      <c r="E3156" s="8"/>
      <c r="F3156" s="8"/>
    </row>
    <row r="3157" spans="2:6">
      <c r="B3157" s="44"/>
      <c r="D3157" s="8"/>
      <c r="E3157" s="8"/>
      <c r="F3157" s="8"/>
    </row>
    <row r="3158" spans="2:6">
      <c r="B3158" s="44"/>
      <c r="D3158" s="8"/>
      <c r="E3158" s="8"/>
      <c r="F3158" s="8"/>
    </row>
    <row r="3159" spans="2:6">
      <c r="B3159" s="44"/>
      <c r="D3159" s="8"/>
      <c r="E3159" s="8"/>
      <c r="F3159" s="8"/>
    </row>
    <row r="3160" spans="2:6">
      <c r="B3160" s="44"/>
      <c r="D3160" s="8"/>
      <c r="E3160" s="8"/>
      <c r="F3160" s="8"/>
    </row>
    <row r="3161" spans="2:6">
      <c r="B3161" s="44"/>
      <c r="D3161" s="8"/>
      <c r="E3161" s="8"/>
      <c r="F3161" s="8"/>
    </row>
    <row r="3162" spans="2:6">
      <c r="B3162" s="44"/>
      <c r="D3162" s="8"/>
      <c r="E3162" s="8"/>
      <c r="F3162" s="8"/>
    </row>
    <row r="3163" spans="2:6">
      <c r="B3163" s="44"/>
      <c r="D3163" s="8"/>
      <c r="E3163" s="8"/>
      <c r="F3163" s="8"/>
    </row>
    <row r="3164" spans="2:6">
      <c r="B3164" s="44"/>
      <c r="D3164" s="8"/>
      <c r="E3164" s="8"/>
      <c r="F3164" s="8"/>
    </row>
    <row r="3165" spans="2:6">
      <c r="B3165" s="44"/>
      <c r="D3165" s="8"/>
      <c r="E3165" s="8"/>
      <c r="F3165" s="8"/>
    </row>
    <row r="3166" spans="2:6">
      <c r="B3166" s="44"/>
      <c r="D3166" s="8"/>
      <c r="E3166" s="8"/>
      <c r="F3166" s="8"/>
    </row>
    <row r="3167" spans="2:6">
      <c r="B3167" s="44"/>
      <c r="D3167" s="8"/>
      <c r="E3167" s="8"/>
      <c r="F3167" s="8"/>
    </row>
    <row r="3168" spans="2:6">
      <c r="B3168" s="44"/>
      <c r="D3168" s="8"/>
      <c r="E3168" s="8"/>
      <c r="F3168" s="8"/>
    </row>
    <row r="3169" spans="2:6">
      <c r="B3169" s="44"/>
      <c r="D3169" s="8"/>
      <c r="E3169" s="8"/>
      <c r="F3169" s="8"/>
    </row>
    <row r="3170" spans="2:6">
      <c r="B3170" s="44"/>
      <c r="D3170" s="8"/>
      <c r="E3170" s="8"/>
      <c r="F3170" s="8"/>
    </row>
    <row r="3171" spans="2:6">
      <c r="B3171" s="44"/>
      <c r="D3171" s="8"/>
      <c r="E3171" s="8"/>
      <c r="F3171" s="8"/>
    </row>
    <row r="3172" spans="2:6">
      <c r="B3172" s="44"/>
      <c r="D3172" s="8"/>
      <c r="E3172" s="8"/>
      <c r="F3172" s="8"/>
    </row>
    <row r="3173" spans="2:6">
      <c r="B3173" s="44"/>
      <c r="D3173" s="8"/>
      <c r="E3173" s="8"/>
      <c r="F3173" s="8"/>
    </row>
    <row r="3174" spans="2:6">
      <c r="B3174" s="44"/>
      <c r="D3174" s="8"/>
      <c r="E3174" s="8"/>
      <c r="F3174" s="8"/>
    </row>
    <row r="3175" spans="2:6">
      <c r="B3175" s="44"/>
      <c r="D3175" s="8"/>
      <c r="E3175" s="8"/>
      <c r="F3175" s="8"/>
    </row>
    <row r="3176" spans="2:6">
      <c r="B3176" s="44"/>
      <c r="D3176" s="8"/>
      <c r="E3176" s="8"/>
      <c r="F3176" s="8"/>
    </row>
    <row r="3177" spans="2:6">
      <c r="B3177" s="44"/>
      <c r="D3177" s="8"/>
      <c r="E3177" s="8"/>
      <c r="F3177" s="8"/>
    </row>
    <row r="3178" spans="2:6">
      <c r="B3178" s="44"/>
      <c r="D3178" s="8"/>
      <c r="E3178" s="8"/>
      <c r="F3178" s="8"/>
    </row>
    <row r="3179" spans="2:6">
      <c r="B3179" s="44"/>
      <c r="D3179" s="8"/>
      <c r="E3179" s="8"/>
      <c r="F3179" s="8"/>
    </row>
    <row r="3180" spans="2:6">
      <c r="B3180" s="44"/>
      <c r="D3180" s="8"/>
      <c r="E3180" s="8"/>
      <c r="F3180" s="8"/>
    </row>
    <row r="3181" spans="2:6">
      <c r="B3181" s="44"/>
      <c r="D3181" s="8"/>
      <c r="E3181" s="8"/>
      <c r="F3181" s="8"/>
    </row>
    <row r="3182" spans="2:6">
      <c r="B3182" s="44"/>
      <c r="D3182" s="8"/>
      <c r="E3182" s="8"/>
      <c r="F3182" s="8"/>
    </row>
    <row r="3183" spans="2:6">
      <c r="B3183" s="44"/>
      <c r="D3183" s="8"/>
      <c r="E3183" s="8"/>
      <c r="F3183" s="8"/>
    </row>
    <row r="3184" spans="2:6">
      <c r="B3184" s="44"/>
      <c r="D3184" s="8"/>
      <c r="E3184" s="8"/>
      <c r="F3184" s="8"/>
    </row>
    <row r="3185" spans="2:6">
      <c r="B3185" s="44"/>
      <c r="D3185" s="8"/>
      <c r="E3185" s="8"/>
      <c r="F3185" s="8"/>
    </row>
    <row r="3186" spans="2:6">
      <c r="B3186" s="44"/>
      <c r="D3186" s="8"/>
      <c r="E3186" s="8"/>
      <c r="F3186" s="8"/>
    </row>
    <row r="3187" spans="2:6">
      <c r="B3187" s="44"/>
      <c r="D3187" s="8"/>
      <c r="E3187" s="8"/>
      <c r="F3187" s="8"/>
    </row>
    <row r="3188" spans="2:6">
      <c r="B3188" s="44"/>
      <c r="D3188" s="8"/>
      <c r="E3188" s="8"/>
      <c r="F3188" s="8"/>
    </row>
    <row r="3189" spans="2:6">
      <c r="B3189" s="44"/>
      <c r="D3189" s="8"/>
      <c r="E3189" s="8"/>
      <c r="F3189" s="8"/>
    </row>
    <row r="3190" spans="2:6">
      <c r="B3190" s="44"/>
      <c r="D3190" s="8"/>
      <c r="E3190" s="8"/>
      <c r="F3190" s="8"/>
    </row>
    <row r="3191" spans="2:6">
      <c r="B3191" s="44"/>
      <c r="D3191" s="8"/>
      <c r="E3191" s="8"/>
      <c r="F3191" s="8"/>
    </row>
    <row r="3192" spans="2:6">
      <c r="B3192" s="44"/>
      <c r="D3192" s="8"/>
      <c r="E3192" s="8"/>
      <c r="F3192" s="8"/>
    </row>
    <row r="3193" spans="2:6">
      <c r="B3193" s="44"/>
      <c r="D3193" s="8"/>
      <c r="E3193" s="8"/>
      <c r="F3193" s="8"/>
    </row>
    <row r="3194" spans="2:6">
      <c r="B3194" s="44"/>
      <c r="D3194" s="8"/>
      <c r="E3194" s="8"/>
      <c r="F3194" s="8"/>
    </row>
    <row r="3195" spans="2:6">
      <c r="B3195" s="44"/>
      <c r="D3195" s="8"/>
      <c r="E3195" s="8"/>
      <c r="F3195" s="8"/>
    </row>
    <row r="3196" spans="2:6">
      <c r="B3196" s="44"/>
      <c r="D3196" s="8"/>
      <c r="E3196" s="8"/>
      <c r="F3196" s="8"/>
    </row>
    <row r="3197" spans="2:6">
      <c r="B3197" s="44"/>
      <c r="D3197" s="8"/>
      <c r="E3197" s="8"/>
      <c r="F3197" s="8"/>
    </row>
    <row r="3198" spans="2:6">
      <c r="B3198" s="44"/>
      <c r="D3198" s="8"/>
      <c r="E3198" s="8"/>
      <c r="F3198" s="8"/>
    </row>
    <row r="3199" spans="2:6">
      <c r="B3199" s="44"/>
      <c r="D3199" s="8"/>
      <c r="E3199" s="8"/>
      <c r="F3199" s="8"/>
    </row>
    <row r="3200" spans="2:6">
      <c r="B3200" s="44"/>
      <c r="D3200" s="8"/>
      <c r="E3200" s="8"/>
      <c r="F3200" s="8"/>
    </row>
    <row r="3201" spans="2:6">
      <c r="B3201" s="44"/>
      <c r="D3201" s="8"/>
      <c r="E3201" s="8"/>
      <c r="F3201" s="8"/>
    </row>
    <row r="3202" spans="2:6">
      <c r="B3202" s="44"/>
      <c r="D3202" s="8"/>
      <c r="E3202" s="8"/>
      <c r="F3202" s="8"/>
    </row>
    <row r="3203" spans="2:6">
      <c r="B3203" s="44"/>
      <c r="D3203" s="8"/>
      <c r="E3203" s="8"/>
      <c r="F3203" s="8"/>
    </row>
    <row r="3204" spans="2:6">
      <c r="B3204" s="44"/>
      <c r="D3204" s="8"/>
      <c r="E3204" s="8"/>
      <c r="F3204" s="8"/>
    </row>
    <row r="3205" spans="2:6">
      <c r="B3205" s="44"/>
      <c r="D3205" s="8"/>
      <c r="E3205" s="8"/>
      <c r="F3205" s="8"/>
    </row>
    <row r="3206" spans="2:6">
      <c r="B3206" s="44"/>
      <c r="D3206" s="8"/>
      <c r="E3206" s="8"/>
      <c r="F3206" s="8"/>
    </row>
    <row r="3207" spans="2:6">
      <c r="B3207" s="44"/>
      <c r="D3207" s="8"/>
      <c r="E3207" s="8"/>
      <c r="F3207" s="8"/>
    </row>
    <row r="3208" spans="2:6">
      <c r="B3208" s="44"/>
      <c r="D3208" s="8"/>
      <c r="E3208" s="8"/>
      <c r="F3208" s="8"/>
    </row>
    <row r="3209" spans="2:6">
      <c r="B3209" s="44"/>
      <c r="D3209" s="8"/>
      <c r="E3209" s="8"/>
      <c r="F3209" s="8"/>
    </row>
    <row r="3210" spans="2:6">
      <c r="B3210" s="44"/>
      <c r="D3210" s="8"/>
      <c r="E3210" s="8"/>
      <c r="F3210" s="8"/>
    </row>
    <row r="3211" spans="2:6">
      <c r="B3211" s="44"/>
      <c r="D3211" s="8"/>
      <c r="E3211" s="8"/>
      <c r="F3211" s="8"/>
    </row>
    <row r="3212" spans="2:6">
      <c r="B3212" s="44"/>
      <c r="D3212" s="8"/>
      <c r="E3212" s="8"/>
      <c r="F3212" s="8"/>
    </row>
    <row r="3213" spans="2:6">
      <c r="B3213" s="44"/>
      <c r="D3213" s="8"/>
      <c r="E3213" s="8"/>
      <c r="F3213" s="8"/>
    </row>
    <row r="3214" spans="2:6">
      <c r="B3214" s="44"/>
      <c r="D3214" s="8"/>
      <c r="E3214" s="8"/>
      <c r="F3214" s="8"/>
    </row>
    <row r="3215" spans="2:6">
      <c r="B3215" s="44"/>
      <c r="D3215" s="8"/>
      <c r="E3215" s="8"/>
      <c r="F3215" s="8"/>
    </row>
    <row r="3216" spans="2:6">
      <c r="B3216" s="44"/>
      <c r="D3216" s="8"/>
      <c r="E3216" s="8"/>
      <c r="F3216" s="8"/>
    </row>
    <row r="3217" spans="2:6">
      <c r="B3217" s="44"/>
      <c r="D3217" s="8"/>
      <c r="E3217" s="8"/>
      <c r="F3217" s="8"/>
    </row>
    <row r="3218" spans="2:6">
      <c r="B3218" s="44"/>
      <c r="D3218" s="8"/>
      <c r="E3218" s="8"/>
      <c r="F3218" s="8"/>
    </row>
    <row r="3219" spans="2:6">
      <c r="B3219" s="44"/>
      <c r="D3219" s="8"/>
      <c r="E3219" s="8"/>
      <c r="F3219" s="8"/>
    </row>
    <row r="3220" spans="2:6">
      <c r="B3220" s="44"/>
      <c r="D3220" s="8"/>
      <c r="E3220" s="8"/>
      <c r="F3220" s="8"/>
    </row>
    <row r="3221" spans="2:6">
      <c r="B3221" s="44"/>
      <c r="D3221" s="8"/>
      <c r="E3221" s="8"/>
      <c r="F3221" s="8"/>
    </row>
    <row r="3222" spans="2:6">
      <c r="B3222" s="44"/>
      <c r="D3222" s="8"/>
      <c r="E3222" s="8"/>
      <c r="F3222" s="8"/>
    </row>
    <row r="3223" spans="2:6">
      <c r="B3223" s="44"/>
      <c r="D3223" s="8"/>
      <c r="E3223" s="8"/>
      <c r="F3223" s="8"/>
    </row>
    <row r="3224" spans="2:6">
      <c r="B3224" s="44"/>
      <c r="D3224" s="8"/>
      <c r="E3224" s="8"/>
      <c r="F3224" s="8"/>
    </row>
    <row r="3225" spans="2:6">
      <c r="B3225" s="44"/>
      <c r="D3225" s="8"/>
      <c r="E3225" s="8"/>
      <c r="F3225" s="8"/>
    </row>
    <row r="3226" spans="2:6">
      <c r="B3226" s="44"/>
      <c r="D3226" s="8"/>
      <c r="E3226" s="8"/>
      <c r="F3226" s="8"/>
    </row>
    <row r="3227" spans="2:6">
      <c r="B3227" s="44"/>
      <c r="D3227" s="8"/>
      <c r="E3227" s="8"/>
      <c r="F3227" s="8"/>
    </row>
    <row r="3228" spans="2:6">
      <c r="B3228" s="44"/>
      <c r="D3228" s="8"/>
      <c r="E3228" s="8"/>
      <c r="F3228" s="8"/>
    </row>
    <row r="3229" spans="2:6">
      <c r="B3229" s="44"/>
      <c r="D3229" s="8"/>
      <c r="E3229" s="8"/>
      <c r="F3229" s="8"/>
    </row>
    <row r="3230" spans="2:6">
      <c r="B3230" s="44"/>
      <c r="D3230" s="8"/>
      <c r="E3230" s="8"/>
      <c r="F3230" s="8"/>
    </row>
    <row r="3231" spans="2:6">
      <c r="B3231" s="44"/>
      <c r="D3231" s="8"/>
      <c r="E3231" s="8"/>
      <c r="F3231" s="8"/>
    </row>
    <row r="3232" spans="2:6">
      <c r="B3232" s="44"/>
      <c r="D3232" s="8"/>
      <c r="E3232" s="8"/>
      <c r="F3232" s="8"/>
    </row>
    <row r="3233" spans="2:6">
      <c r="B3233" s="44"/>
      <c r="D3233" s="8"/>
      <c r="E3233" s="8"/>
      <c r="F3233" s="8"/>
    </row>
    <row r="3234" spans="2:6">
      <c r="B3234" s="44"/>
      <c r="D3234" s="8"/>
      <c r="E3234" s="8"/>
      <c r="F3234" s="8"/>
    </row>
    <row r="3235" spans="2:6">
      <c r="B3235" s="44"/>
      <c r="D3235" s="8"/>
      <c r="E3235" s="8"/>
      <c r="F3235" s="8"/>
    </row>
    <row r="3236" spans="2:6">
      <c r="B3236" s="44"/>
      <c r="D3236" s="8"/>
      <c r="E3236" s="8"/>
      <c r="F3236" s="8"/>
    </row>
    <row r="3237" spans="2:6">
      <c r="B3237" s="44"/>
      <c r="D3237" s="8"/>
      <c r="E3237" s="8"/>
      <c r="F3237" s="8"/>
    </row>
    <row r="3238" spans="2:6">
      <c r="B3238" s="44"/>
      <c r="D3238" s="8"/>
      <c r="E3238" s="8"/>
      <c r="F3238" s="8"/>
    </row>
    <row r="3239" spans="2:6">
      <c r="B3239" s="44"/>
      <c r="D3239" s="8"/>
      <c r="E3239" s="8"/>
      <c r="F3239" s="8"/>
    </row>
    <row r="3240" spans="2:6">
      <c r="B3240" s="44"/>
      <c r="D3240" s="8"/>
      <c r="E3240" s="8"/>
      <c r="F3240" s="8"/>
    </row>
    <row r="3241" spans="2:6">
      <c r="B3241" s="44"/>
      <c r="D3241" s="8"/>
      <c r="E3241" s="8"/>
      <c r="F3241" s="8"/>
    </row>
    <row r="3242" spans="2:6">
      <c r="B3242" s="44"/>
      <c r="D3242" s="8"/>
      <c r="E3242" s="8"/>
      <c r="F3242" s="8"/>
    </row>
    <row r="3243" spans="2:6">
      <c r="B3243" s="44"/>
      <c r="D3243" s="8"/>
      <c r="E3243" s="8"/>
      <c r="F3243" s="8"/>
    </row>
    <row r="3244" spans="2:6">
      <c r="B3244" s="44"/>
      <c r="D3244" s="8"/>
      <c r="E3244" s="8"/>
      <c r="F3244" s="8"/>
    </row>
    <row r="3245" spans="2:6">
      <c r="B3245" s="44"/>
      <c r="D3245" s="8"/>
      <c r="E3245" s="8"/>
      <c r="F3245" s="8"/>
    </row>
    <row r="3246" spans="2:6">
      <c r="B3246" s="44"/>
      <c r="D3246" s="8"/>
      <c r="E3246" s="8"/>
      <c r="F3246" s="8"/>
    </row>
    <row r="3247" spans="2:6">
      <c r="B3247" s="44"/>
      <c r="D3247" s="8"/>
      <c r="E3247" s="8"/>
      <c r="F3247" s="8"/>
    </row>
    <row r="3248" spans="2:6">
      <c r="B3248" s="44"/>
      <c r="D3248" s="8"/>
      <c r="E3248" s="8"/>
      <c r="F3248" s="8"/>
    </row>
    <row r="3249" spans="2:6">
      <c r="B3249" s="44"/>
      <c r="D3249" s="8"/>
      <c r="E3249" s="8"/>
      <c r="F3249" s="8"/>
    </row>
    <row r="3250" spans="2:6">
      <c r="B3250" s="44"/>
      <c r="D3250" s="8"/>
      <c r="E3250" s="8"/>
      <c r="F3250" s="8"/>
    </row>
    <row r="3251" spans="2:6">
      <c r="B3251" s="44"/>
      <c r="D3251" s="8"/>
      <c r="E3251" s="8"/>
      <c r="F3251" s="8"/>
    </row>
    <row r="3252" spans="2:6">
      <c r="B3252" s="44"/>
      <c r="D3252" s="8"/>
      <c r="E3252" s="8"/>
      <c r="F3252" s="8"/>
    </row>
    <row r="3253" spans="2:6">
      <c r="B3253" s="44"/>
      <c r="D3253" s="8"/>
      <c r="E3253" s="8"/>
      <c r="F3253" s="8"/>
    </row>
    <row r="3254" spans="2:6">
      <c r="B3254" s="44"/>
      <c r="D3254" s="8"/>
      <c r="E3254" s="8"/>
      <c r="F3254" s="8"/>
    </row>
    <row r="3255" spans="2:6">
      <c r="B3255" s="44"/>
      <c r="D3255" s="8"/>
      <c r="E3255" s="8"/>
      <c r="F3255" s="8"/>
    </row>
    <row r="3256" spans="2:6">
      <c r="B3256" s="44"/>
      <c r="D3256" s="8"/>
      <c r="E3256" s="8"/>
      <c r="F3256" s="8"/>
    </row>
    <row r="3257" spans="2:6">
      <c r="B3257" s="44"/>
      <c r="D3257" s="8"/>
      <c r="E3257" s="8"/>
      <c r="F3257" s="8"/>
    </row>
    <row r="3258" spans="2:6">
      <c r="B3258" s="44"/>
      <c r="D3258" s="8"/>
      <c r="E3258" s="8"/>
      <c r="F3258" s="8"/>
    </row>
    <row r="3259" spans="2:6">
      <c r="B3259" s="44"/>
      <c r="D3259" s="8"/>
      <c r="E3259" s="8"/>
      <c r="F3259" s="8"/>
    </row>
    <row r="3260" spans="2:6">
      <c r="B3260" s="44"/>
      <c r="D3260" s="8"/>
      <c r="E3260" s="8"/>
      <c r="F3260" s="8"/>
    </row>
    <row r="3261" spans="2:6">
      <c r="B3261" s="44"/>
      <c r="D3261" s="8"/>
      <c r="E3261" s="8"/>
      <c r="F3261" s="8"/>
    </row>
    <row r="3262" spans="2:6">
      <c r="B3262" s="44"/>
      <c r="D3262" s="8"/>
      <c r="E3262" s="8"/>
      <c r="F3262" s="8"/>
    </row>
    <row r="3263" spans="2:6">
      <c r="B3263" s="44"/>
      <c r="D3263" s="8"/>
      <c r="E3263" s="8"/>
      <c r="F3263" s="8"/>
    </row>
    <row r="3264" spans="2:6">
      <c r="B3264" s="44"/>
      <c r="D3264" s="8"/>
      <c r="E3264" s="8"/>
      <c r="F3264" s="8"/>
    </row>
    <row r="3265" spans="2:6">
      <c r="B3265" s="44"/>
      <c r="D3265" s="8"/>
      <c r="E3265" s="8"/>
      <c r="F3265" s="8"/>
    </row>
    <row r="3266" spans="2:6">
      <c r="B3266" s="44"/>
      <c r="D3266" s="8"/>
      <c r="E3266" s="8"/>
      <c r="F3266" s="8"/>
    </row>
    <row r="3267" spans="2:6">
      <c r="B3267" s="44"/>
      <c r="D3267" s="8"/>
      <c r="E3267" s="8"/>
      <c r="F3267" s="8"/>
    </row>
    <row r="3268" spans="2:6">
      <c r="B3268" s="44"/>
      <c r="D3268" s="8"/>
      <c r="E3268" s="8"/>
      <c r="F3268" s="8"/>
    </row>
    <row r="3269" spans="2:6">
      <c r="B3269" s="44"/>
      <c r="D3269" s="8"/>
      <c r="E3269" s="8"/>
      <c r="F3269" s="8"/>
    </row>
    <row r="3270" spans="2:6">
      <c r="B3270" s="44"/>
      <c r="D3270" s="8"/>
      <c r="E3270" s="8"/>
      <c r="F3270" s="8"/>
    </row>
    <row r="3271" spans="2:6">
      <c r="B3271" s="44"/>
      <c r="D3271" s="8"/>
      <c r="E3271" s="8"/>
      <c r="F3271" s="8"/>
    </row>
    <row r="3272" spans="2:6">
      <c r="B3272" s="44"/>
      <c r="D3272" s="8"/>
      <c r="E3272" s="8"/>
      <c r="F3272" s="8"/>
    </row>
    <row r="3273" spans="2:6">
      <c r="B3273" s="44"/>
      <c r="D3273" s="8"/>
      <c r="E3273" s="8"/>
      <c r="F3273" s="8"/>
    </row>
    <row r="3274" spans="2:6">
      <c r="B3274" s="44"/>
      <c r="D3274" s="8"/>
      <c r="E3274" s="8"/>
      <c r="F3274" s="8"/>
    </row>
    <row r="3275" spans="2:6">
      <c r="B3275" s="44"/>
      <c r="D3275" s="8"/>
      <c r="E3275" s="8"/>
      <c r="F3275" s="8"/>
    </row>
    <row r="3276" spans="2:6">
      <c r="B3276" s="44"/>
      <c r="D3276" s="8"/>
      <c r="E3276" s="8"/>
      <c r="F3276" s="8"/>
    </row>
    <row r="3277" spans="2:6">
      <c r="B3277" s="44"/>
      <c r="D3277" s="8"/>
      <c r="E3277" s="8"/>
      <c r="F3277" s="8"/>
    </row>
    <row r="3278" spans="2:6">
      <c r="B3278" s="44"/>
      <c r="D3278" s="8"/>
      <c r="E3278" s="8"/>
      <c r="F3278" s="8"/>
    </row>
    <row r="3279" spans="2:6">
      <c r="B3279" s="44"/>
      <c r="D3279" s="8"/>
      <c r="E3279" s="8"/>
      <c r="F3279" s="8"/>
    </row>
    <row r="3280" spans="2:6">
      <c r="B3280" s="44"/>
      <c r="D3280" s="8"/>
      <c r="E3280" s="8"/>
      <c r="F3280" s="8"/>
    </row>
    <row r="3281" spans="2:6">
      <c r="B3281" s="44"/>
      <c r="D3281" s="8"/>
      <c r="E3281" s="8"/>
      <c r="F3281" s="8"/>
    </row>
    <row r="3282" spans="2:6">
      <c r="B3282" s="44"/>
      <c r="D3282" s="8"/>
      <c r="E3282" s="8"/>
      <c r="F3282" s="8"/>
    </row>
    <row r="3283" spans="2:6">
      <c r="B3283" s="44"/>
      <c r="D3283" s="8"/>
      <c r="E3283" s="8"/>
      <c r="F3283" s="8"/>
    </row>
    <row r="3284" spans="2:6">
      <c r="B3284" s="44"/>
      <c r="D3284" s="8"/>
      <c r="E3284" s="8"/>
      <c r="F3284" s="8"/>
    </row>
    <row r="3285" spans="2:6">
      <c r="B3285" s="44"/>
      <c r="D3285" s="8"/>
      <c r="E3285" s="8"/>
      <c r="F3285" s="8"/>
    </row>
    <row r="3286" spans="2:6">
      <c r="B3286" s="44"/>
      <c r="D3286" s="8"/>
      <c r="E3286" s="8"/>
      <c r="F3286" s="8"/>
    </row>
    <row r="3287" spans="2:6">
      <c r="B3287" s="44"/>
      <c r="D3287" s="8"/>
      <c r="E3287" s="8"/>
      <c r="F3287" s="8"/>
    </row>
    <row r="3288" spans="2:6">
      <c r="B3288" s="44"/>
      <c r="D3288" s="8"/>
      <c r="E3288" s="8"/>
      <c r="F3288" s="8"/>
    </row>
    <row r="3289" spans="2:6">
      <c r="B3289" s="44"/>
      <c r="D3289" s="8"/>
      <c r="E3289" s="8"/>
      <c r="F3289" s="8"/>
    </row>
    <row r="3290" spans="2:6">
      <c r="B3290" s="44"/>
      <c r="D3290" s="8"/>
      <c r="E3290" s="8"/>
      <c r="F3290" s="8"/>
    </row>
    <row r="3291" spans="2:6">
      <c r="B3291" s="44"/>
      <c r="D3291" s="8"/>
      <c r="E3291" s="8"/>
      <c r="F3291" s="8"/>
    </row>
    <row r="3292" spans="2:6">
      <c r="B3292" s="44"/>
      <c r="D3292" s="8"/>
      <c r="E3292" s="8"/>
      <c r="F3292" s="8"/>
    </row>
    <row r="3293" spans="2:6">
      <c r="B3293" s="44"/>
      <c r="D3293" s="8"/>
      <c r="E3293" s="8"/>
      <c r="F3293" s="8"/>
    </row>
    <row r="3294" spans="2:6">
      <c r="B3294" s="44"/>
      <c r="D3294" s="8"/>
      <c r="E3294" s="8"/>
      <c r="F3294" s="8"/>
    </row>
    <row r="3295" spans="2:6">
      <c r="B3295" s="44"/>
      <c r="D3295" s="8"/>
      <c r="E3295" s="8"/>
      <c r="F3295" s="8"/>
    </row>
    <row r="3296" spans="2:6">
      <c r="B3296" s="44"/>
      <c r="D3296" s="8"/>
      <c r="E3296" s="8"/>
      <c r="F3296" s="8"/>
    </row>
    <row r="3297" spans="2:6">
      <c r="B3297" s="44"/>
      <c r="D3297" s="8"/>
      <c r="E3297" s="8"/>
      <c r="F3297" s="8"/>
    </row>
    <row r="3298" spans="2:6">
      <c r="B3298" s="44"/>
      <c r="D3298" s="8"/>
      <c r="E3298" s="8"/>
      <c r="F3298" s="8"/>
    </row>
    <row r="3299" spans="2:6">
      <c r="B3299" s="44"/>
      <c r="D3299" s="8"/>
      <c r="E3299" s="8"/>
      <c r="F3299" s="8"/>
    </row>
    <row r="3300" spans="2:6">
      <c r="B3300" s="44"/>
      <c r="D3300" s="8"/>
      <c r="E3300" s="8"/>
      <c r="F3300" s="8"/>
    </row>
    <row r="3301" spans="2:6">
      <c r="B3301" s="44"/>
      <c r="D3301" s="8"/>
      <c r="E3301" s="8"/>
      <c r="F3301" s="8"/>
    </row>
    <row r="3302" spans="2:6">
      <c r="B3302" s="44"/>
      <c r="D3302" s="8"/>
      <c r="E3302" s="8"/>
      <c r="F3302" s="8"/>
    </row>
    <row r="3303" spans="2:6">
      <c r="B3303" s="44"/>
      <c r="D3303" s="8"/>
      <c r="E3303" s="8"/>
      <c r="F3303" s="8"/>
    </row>
    <row r="3304" spans="2:6">
      <c r="B3304" s="44"/>
      <c r="D3304" s="8"/>
      <c r="E3304" s="8"/>
      <c r="F3304" s="8"/>
    </row>
    <row r="3305" spans="2:6">
      <c r="B3305" s="44"/>
      <c r="D3305" s="8"/>
      <c r="E3305" s="8"/>
      <c r="F3305" s="8"/>
    </row>
    <row r="3306" spans="2:6">
      <c r="B3306" s="44"/>
      <c r="D3306" s="8"/>
      <c r="E3306" s="8"/>
      <c r="F3306" s="8"/>
    </row>
    <row r="3307" spans="2:6">
      <c r="B3307" s="44"/>
      <c r="D3307" s="8"/>
      <c r="E3307" s="8"/>
      <c r="F3307" s="8"/>
    </row>
    <row r="3308" spans="2:6">
      <c r="B3308" s="44"/>
      <c r="D3308" s="8"/>
      <c r="E3308" s="8"/>
      <c r="F3308" s="8"/>
    </row>
    <row r="3309" spans="2:6">
      <c r="B3309" s="44"/>
      <c r="D3309" s="8"/>
      <c r="E3309" s="8"/>
      <c r="F3309" s="8"/>
    </row>
    <row r="3310" spans="2:6">
      <c r="B3310" s="44"/>
      <c r="D3310" s="8"/>
      <c r="E3310" s="8"/>
      <c r="F3310" s="8"/>
    </row>
    <row r="3311" spans="2:6">
      <c r="B3311" s="44"/>
      <c r="D3311" s="8"/>
      <c r="E3311" s="8"/>
      <c r="F3311" s="8"/>
    </row>
    <row r="3312" spans="2:6">
      <c r="B3312" s="44"/>
      <c r="D3312" s="8"/>
      <c r="E3312" s="8"/>
      <c r="F3312" s="8"/>
    </row>
    <row r="3313" spans="2:6">
      <c r="B3313" s="44"/>
      <c r="D3313" s="8"/>
      <c r="E3313" s="8"/>
      <c r="F3313" s="8"/>
    </row>
    <row r="3314" spans="2:6">
      <c r="B3314" s="44"/>
      <c r="D3314" s="8"/>
      <c r="E3314" s="8"/>
      <c r="F3314" s="8"/>
    </row>
    <row r="3315" spans="2:6">
      <c r="B3315" s="44"/>
      <c r="D3315" s="8"/>
      <c r="E3315" s="8"/>
      <c r="F3315" s="8"/>
    </row>
    <row r="3316" spans="2:6">
      <c r="B3316" s="44"/>
      <c r="D3316" s="8"/>
      <c r="E3316" s="8"/>
      <c r="F3316" s="8"/>
    </row>
    <row r="3317" spans="2:6">
      <c r="B3317" s="44"/>
      <c r="D3317" s="8"/>
      <c r="E3317" s="8"/>
      <c r="F3317" s="8"/>
    </row>
    <row r="3318" spans="2:6">
      <c r="B3318" s="44"/>
      <c r="D3318" s="8"/>
      <c r="E3318" s="8"/>
      <c r="F3318" s="8"/>
    </row>
    <row r="3319" spans="2:6">
      <c r="B3319" s="44"/>
      <c r="D3319" s="8"/>
      <c r="E3319" s="8"/>
      <c r="F3319" s="8"/>
    </row>
    <row r="3320" spans="2:6">
      <c r="B3320" s="44"/>
      <c r="D3320" s="8"/>
      <c r="E3320" s="8"/>
      <c r="F3320" s="8"/>
    </row>
    <row r="3321" spans="2:6">
      <c r="B3321" s="44"/>
      <c r="D3321" s="8"/>
      <c r="E3321" s="8"/>
      <c r="F3321" s="8"/>
    </row>
    <row r="3322" spans="2:6">
      <c r="B3322" s="44"/>
      <c r="D3322" s="8"/>
      <c r="E3322" s="8"/>
      <c r="F3322" s="8"/>
    </row>
    <row r="3323" spans="2:6">
      <c r="B3323" s="44"/>
      <c r="D3323" s="8"/>
      <c r="E3323" s="8"/>
      <c r="F3323" s="8"/>
    </row>
    <row r="3324" spans="2:6">
      <c r="B3324" s="44"/>
      <c r="D3324" s="8"/>
      <c r="E3324" s="8"/>
      <c r="F3324" s="8"/>
    </row>
    <row r="3325" spans="2:6">
      <c r="B3325" s="44"/>
      <c r="D3325" s="8"/>
      <c r="E3325" s="8"/>
      <c r="F3325" s="8"/>
    </row>
    <row r="3326" spans="2:6">
      <c r="B3326" s="44"/>
      <c r="D3326" s="8"/>
      <c r="E3326" s="8"/>
      <c r="F3326" s="8"/>
    </row>
    <row r="3327" spans="2:6">
      <c r="B3327" s="44"/>
      <c r="D3327" s="8"/>
      <c r="E3327" s="8"/>
      <c r="F3327" s="8"/>
    </row>
    <row r="3328" spans="2:6">
      <c r="B3328" s="44"/>
      <c r="D3328" s="8"/>
      <c r="E3328" s="8"/>
      <c r="F3328" s="8"/>
    </row>
    <row r="3329" spans="2:6">
      <c r="B3329" s="44"/>
      <c r="D3329" s="8"/>
      <c r="E3329" s="8"/>
      <c r="F3329" s="8"/>
    </row>
    <row r="3330" spans="2:6">
      <c r="B3330" s="44"/>
      <c r="D3330" s="8"/>
      <c r="E3330" s="8"/>
      <c r="F3330" s="8"/>
    </row>
    <row r="3331" spans="2:6">
      <c r="B3331" s="44"/>
      <c r="D3331" s="8"/>
      <c r="E3331" s="8"/>
      <c r="F3331" s="8"/>
    </row>
    <row r="3332" spans="2:6">
      <c r="B3332" s="44"/>
      <c r="D3332" s="8"/>
      <c r="E3332" s="8"/>
      <c r="F3332" s="8"/>
    </row>
    <row r="3333" spans="2:6">
      <c r="B3333" s="44"/>
      <c r="D3333" s="8"/>
      <c r="E3333" s="8"/>
      <c r="F3333" s="8"/>
    </row>
    <row r="3334" spans="2:6">
      <c r="B3334" s="44"/>
      <c r="D3334" s="8"/>
      <c r="E3334" s="8"/>
      <c r="F3334" s="8"/>
    </row>
    <row r="3335" spans="2:6">
      <c r="B3335" s="44"/>
      <c r="D3335" s="8"/>
      <c r="E3335" s="8"/>
      <c r="F3335" s="8"/>
    </row>
    <row r="3336" spans="2:6">
      <c r="B3336" s="44"/>
      <c r="D3336" s="8"/>
      <c r="E3336" s="8"/>
      <c r="F3336" s="8"/>
    </row>
    <row r="3337" spans="2:6">
      <c r="B3337" s="44"/>
      <c r="D3337" s="8"/>
      <c r="E3337" s="8"/>
      <c r="F3337" s="8"/>
    </row>
    <row r="3338" spans="2:6">
      <c r="B3338" s="44"/>
      <c r="D3338" s="8"/>
      <c r="E3338" s="8"/>
      <c r="F3338" s="8"/>
    </row>
    <row r="3339" spans="2:6">
      <c r="B3339" s="44"/>
      <c r="D3339" s="8"/>
      <c r="E3339" s="8"/>
      <c r="F3339" s="8"/>
    </row>
    <row r="3340" spans="2:6">
      <c r="B3340" s="44"/>
      <c r="D3340" s="8"/>
      <c r="E3340" s="8"/>
      <c r="F3340" s="8"/>
    </row>
    <row r="3341" spans="2:6">
      <c r="B3341" s="44"/>
      <c r="D3341" s="8"/>
      <c r="E3341" s="8"/>
      <c r="F3341" s="8"/>
    </row>
    <row r="3342" spans="2:6">
      <c r="B3342" s="44"/>
      <c r="D3342" s="8"/>
      <c r="E3342" s="8"/>
      <c r="F3342" s="8"/>
    </row>
    <row r="3343" spans="2:6">
      <c r="B3343" s="44"/>
      <c r="D3343" s="8"/>
      <c r="E3343" s="8"/>
      <c r="F3343" s="8"/>
    </row>
    <row r="3344" spans="2:6">
      <c r="B3344" s="44"/>
      <c r="D3344" s="8"/>
      <c r="E3344" s="8"/>
      <c r="F3344" s="8"/>
    </row>
    <row r="3345" spans="2:6">
      <c r="B3345" s="44"/>
      <c r="D3345" s="8"/>
      <c r="E3345" s="8"/>
      <c r="F3345" s="8"/>
    </row>
    <row r="3346" spans="2:6">
      <c r="B3346" s="44"/>
      <c r="D3346" s="8"/>
      <c r="E3346" s="8"/>
      <c r="F3346" s="8"/>
    </row>
    <row r="3347" spans="2:6">
      <c r="B3347" s="44"/>
      <c r="D3347" s="8"/>
      <c r="E3347" s="8"/>
      <c r="F3347" s="8"/>
    </row>
    <row r="3348" spans="2:6">
      <c r="B3348" s="44"/>
      <c r="D3348" s="8"/>
      <c r="E3348" s="8"/>
      <c r="F3348" s="8"/>
    </row>
    <row r="3349" spans="2:6">
      <c r="B3349" s="44"/>
      <c r="D3349" s="8"/>
      <c r="E3349" s="8"/>
      <c r="F3349" s="8"/>
    </row>
    <row r="3350" spans="2:6">
      <c r="B3350" s="44"/>
      <c r="D3350" s="8"/>
      <c r="E3350" s="8"/>
      <c r="F3350" s="8"/>
    </row>
    <row r="3351" spans="2:6">
      <c r="B3351" s="44"/>
      <c r="D3351" s="8"/>
      <c r="E3351" s="8"/>
      <c r="F3351" s="8"/>
    </row>
    <row r="3352" spans="2:6">
      <c r="B3352" s="44"/>
      <c r="D3352" s="8"/>
      <c r="E3352" s="8"/>
      <c r="F3352" s="8"/>
    </row>
    <row r="3353" spans="2:6">
      <c r="B3353" s="44"/>
      <c r="D3353" s="8"/>
      <c r="E3353" s="8"/>
      <c r="F3353" s="8"/>
    </row>
    <row r="3354" spans="2:6">
      <c r="B3354" s="44"/>
      <c r="D3354" s="8"/>
      <c r="E3354" s="8"/>
      <c r="F3354" s="8"/>
    </row>
    <row r="3355" spans="2:6">
      <c r="B3355" s="44"/>
      <c r="D3355" s="8"/>
      <c r="E3355" s="8"/>
      <c r="F3355" s="8"/>
    </row>
    <row r="3356" spans="2:6">
      <c r="B3356" s="44"/>
      <c r="D3356" s="8"/>
      <c r="E3356" s="8"/>
      <c r="F3356" s="8"/>
    </row>
    <row r="3357" spans="2:6">
      <c r="B3357" s="44"/>
      <c r="D3357" s="8"/>
      <c r="E3357" s="8"/>
      <c r="F3357" s="8"/>
    </row>
    <row r="3358" spans="2:6">
      <c r="B3358" s="44"/>
      <c r="D3358" s="8"/>
      <c r="E3358" s="8"/>
      <c r="F3358" s="8"/>
    </row>
    <row r="3359" spans="2:6">
      <c r="B3359" s="44"/>
      <c r="D3359" s="8"/>
      <c r="E3359" s="8"/>
      <c r="F3359" s="8"/>
    </row>
    <row r="3360" spans="2:6">
      <c r="B3360" s="44"/>
      <c r="D3360" s="8"/>
      <c r="E3360" s="8"/>
      <c r="F3360" s="8"/>
    </row>
    <row r="3361" spans="2:6">
      <c r="B3361" s="44"/>
      <c r="D3361" s="8"/>
      <c r="E3361" s="8"/>
      <c r="F3361" s="8"/>
    </row>
    <row r="3362" spans="2:6">
      <c r="B3362" s="44"/>
      <c r="D3362" s="8"/>
      <c r="E3362" s="8"/>
      <c r="F3362" s="8"/>
    </row>
    <row r="3363" spans="2:6">
      <c r="B3363" s="44"/>
      <c r="D3363" s="8"/>
      <c r="E3363" s="8"/>
      <c r="F3363" s="8"/>
    </row>
    <row r="3364" spans="2:6">
      <c r="B3364" s="44"/>
      <c r="D3364" s="8"/>
      <c r="E3364" s="8"/>
      <c r="F3364" s="8"/>
    </row>
    <row r="3365" spans="2:6">
      <c r="B3365" s="44"/>
      <c r="D3365" s="8"/>
      <c r="E3365" s="8"/>
      <c r="F3365" s="8"/>
    </row>
    <row r="3366" spans="2:6">
      <c r="B3366" s="44"/>
      <c r="D3366" s="8"/>
      <c r="E3366" s="8"/>
      <c r="F3366" s="8"/>
    </row>
    <row r="3367" spans="2:6">
      <c r="B3367" s="44"/>
      <c r="D3367" s="8"/>
      <c r="E3367" s="8"/>
      <c r="F3367" s="8"/>
    </row>
    <row r="3368" spans="2:6">
      <c r="B3368" s="44"/>
      <c r="D3368" s="8"/>
      <c r="E3368" s="8"/>
      <c r="F3368" s="8"/>
    </row>
    <row r="3369" spans="2:6">
      <c r="B3369" s="44"/>
      <c r="D3369" s="8"/>
      <c r="E3369" s="8"/>
      <c r="F3369" s="8"/>
    </row>
    <row r="3370" spans="2:6">
      <c r="B3370" s="44"/>
      <c r="D3370" s="8"/>
      <c r="E3370" s="8"/>
      <c r="F3370" s="8"/>
    </row>
    <row r="3371" spans="2:6">
      <c r="B3371" s="44"/>
      <c r="D3371" s="8"/>
      <c r="E3371" s="8"/>
      <c r="F3371" s="8"/>
    </row>
    <row r="3372" spans="2:6">
      <c r="B3372" s="44"/>
      <c r="D3372" s="8"/>
      <c r="E3372" s="8"/>
      <c r="F3372" s="8"/>
    </row>
    <row r="3373" spans="2:6">
      <c r="B3373" s="44"/>
      <c r="D3373" s="8"/>
      <c r="E3373" s="8"/>
      <c r="F3373" s="8"/>
    </row>
    <row r="3374" spans="2:6">
      <c r="B3374" s="44"/>
      <c r="D3374" s="8"/>
      <c r="E3374" s="8"/>
      <c r="F3374" s="8"/>
    </row>
    <row r="3375" spans="2:6">
      <c r="B3375" s="44"/>
      <c r="D3375" s="8"/>
      <c r="E3375" s="8"/>
      <c r="F3375" s="8"/>
    </row>
    <row r="3376" spans="2:6">
      <c r="B3376" s="44"/>
      <c r="D3376" s="8"/>
      <c r="E3376" s="8"/>
      <c r="F3376" s="8"/>
    </row>
    <row r="3377" spans="2:6">
      <c r="B3377" s="44"/>
      <c r="D3377" s="8"/>
      <c r="E3377" s="8"/>
      <c r="F3377" s="8"/>
    </row>
    <row r="3378" spans="2:6">
      <c r="B3378" s="44"/>
      <c r="D3378" s="8"/>
      <c r="E3378" s="8"/>
      <c r="F3378" s="8"/>
    </row>
    <row r="3379" spans="2:6">
      <c r="B3379" s="44"/>
      <c r="D3379" s="8"/>
      <c r="E3379" s="8"/>
      <c r="F3379" s="8"/>
    </row>
    <row r="3380" spans="2:6">
      <c r="B3380" s="44"/>
      <c r="D3380" s="8"/>
      <c r="E3380" s="8"/>
      <c r="F3380" s="8"/>
    </row>
    <row r="3381" spans="2:6">
      <c r="B3381" s="44"/>
      <c r="D3381" s="8"/>
      <c r="E3381" s="8"/>
      <c r="F3381" s="8"/>
    </row>
    <row r="3382" spans="2:6">
      <c r="B3382" s="44"/>
      <c r="D3382" s="8"/>
      <c r="E3382" s="8"/>
      <c r="F3382" s="8"/>
    </row>
    <row r="3383" spans="2:6">
      <c r="B3383" s="44"/>
      <c r="D3383" s="8"/>
      <c r="E3383" s="8"/>
      <c r="F3383" s="8"/>
    </row>
    <row r="3384" spans="2:6">
      <c r="B3384" s="44"/>
      <c r="D3384" s="8"/>
      <c r="E3384" s="8"/>
      <c r="F3384" s="8"/>
    </row>
    <row r="3385" spans="2:6">
      <c r="B3385" s="44"/>
      <c r="D3385" s="8"/>
      <c r="E3385" s="8"/>
      <c r="F3385" s="8"/>
    </row>
    <row r="3386" spans="2:6">
      <c r="B3386" s="44"/>
      <c r="D3386" s="8"/>
      <c r="E3386" s="8"/>
      <c r="F3386" s="8"/>
    </row>
    <row r="3387" spans="2:6">
      <c r="B3387" s="44"/>
      <c r="D3387" s="8"/>
      <c r="E3387" s="8"/>
      <c r="F3387" s="8"/>
    </row>
    <row r="3388" spans="2:6">
      <c r="B3388" s="44"/>
      <c r="D3388" s="8"/>
      <c r="E3388" s="8"/>
      <c r="F3388" s="8"/>
    </row>
    <row r="3389" spans="2:6">
      <c r="B3389" s="44"/>
      <c r="D3389" s="8"/>
      <c r="E3389" s="8"/>
      <c r="F3389" s="8"/>
    </row>
    <row r="3390" spans="2:6">
      <c r="B3390" s="44"/>
      <c r="D3390" s="8"/>
      <c r="E3390" s="8"/>
      <c r="F3390" s="8"/>
    </row>
    <row r="3391" spans="2:6">
      <c r="B3391" s="44"/>
      <c r="D3391" s="8"/>
      <c r="E3391" s="8"/>
      <c r="F3391" s="8"/>
    </row>
    <row r="3392" spans="2:6">
      <c r="B3392" s="44"/>
      <c r="D3392" s="8"/>
      <c r="E3392" s="8"/>
      <c r="F3392" s="8"/>
    </row>
    <row r="3393" spans="2:6">
      <c r="B3393" s="44"/>
      <c r="D3393" s="8"/>
      <c r="E3393" s="8"/>
      <c r="F3393" s="8"/>
    </row>
    <row r="3394" spans="2:6">
      <c r="B3394" s="44"/>
      <c r="D3394" s="8"/>
      <c r="E3394" s="8"/>
      <c r="F3394" s="8"/>
    </row>
    <row r="3395" spans="2:6">
      <c r="B3395" s="44"/>
      <c r="D3395" s="8"/>
      <c r="E3395" s="8"/>
      <c r="F3395" s="8"/>
    </row>
    <row r="3396" spans="2:6">
      <c r="B3396" s="44"/>
      <c r="D3396" s="8"/>
      <c r="E3396" s="8"/>
      <c r="F3396" s="8"/>
    </row>
    <row r="3397" spans="2:6">
      <c r="B3397" s="44"/>
      <c r="D3397" s="8"/>
      <c r="E3397" s="8"/>
      <c r="F3397" s="8"/>
    </row>
    <row r="3398" spans="2:6">
      <c r="B3398" s="44"/>
      <c r="D3398" s="8"/>
      <c r="E3398" s="8"/>
      <c r="F3398" s="8"/>
    </row>
    <row r="3399" spans="2:6">
      <c r="B3399" s="44"/>
      <c r="D3399" s="8"/>
      <c r="E3399" s="8"/>
      <c r="F3399" s="8"/>
    </row>
    <row r="3400" spans="2:6">
      <c r="B3400" s="44"/>
      <c r="D3400" s="8"/>
      <c r="E3400" s="8"/>
      <c r="F3400" s="8"/>
    </row>
    <row r="3401" spans="2:6">
      <c r="B3401" s="44"/>
      <c r="D3401" s="8"/>
      <c r="E3401" s="8"/>
      <c r="F3401" s="8"/>
    </row>
    <row r="3402" spans="2:6">
      <c r="B3402" s="44"/>
      <c r="D3402" s="8"/>
      <c r="E3402" s="8"/>
      <c r="F3402" s="8"/>
    </row>
    <row r="3403" spans="2:6">
      <c r="B3403" s="44"/>
      <c r="D3403" s="8"/>
      <c r="E3403" s="8"/>
      <c r="F3403" s="8"/>
    </row>
    <row r="3404" spans="2:6">
      <c r="B3404" s="44"/>
      <c r="D3404" s="8"/>
      <c r="E3404" s="8"/>
      <c r="F3404" s="8"/>
    </row>
    <row r="3405" spans="2:6">
      <c r="B3405" s="44"/>
      <c r="D3405" s="8"/>
      <c r="E3405" s="8"/>
      <c r="F3405" s="8"/>
    </row>
    <row r="3406" spans="2:6">
      <c r="B3406" s="44"/>
      <c r="D3406" s="8"/>
      <c r="E3406" s="8"/>
      <c r="F3406" s="8"/>
    </row>
    <row r="3407" spans="2:6">
      <c r="B3407" s="44"/>
      <c r="D3407" s="8"/>
      <c r="E3407" s="8"/>
      <c r="F3407" s="8"/>
    </row>
    <row r="3408" spans="2:6">
      <c r="B3408" s="44"/>
      <c r="D3408" s="8"/>
      <c r="E3408" s="8"/>
      <c r="F3408" s="8"/>
    </row>
    <row r="3409" spans="2:6">
      <c r="B3409" s="44"/>
      <c r="D3409" s="8"/>
      <c r="E3409" s="8"/>
      <c r="F3409" s="8"/>
    </row>
    <row r="3410" spans="2:6">
      <c r="B3410" s="44"/>
      <c r="D3410" s="8"/>
      <c r="E3410" s="8"/>
      <c r="F3410" s="8"/>
    </row>
    <row r="3411" spans="2:6">
      <c r="B3411" s="44"/>
      <c r="D3411" s="8"/>
      <c r="E3411" s="8"/>
      <c r="F3411" s="8"/>
    </row>
    <row r="3412" spans="2:6">
      <c r="B3412" s="44"/>
      <c r="D3412" s="8"/>
      <c r="E3412" s="8"/>
      <c r="F3412" s="8"/>
    </row>
    <row r="3413" spans="2:6">
      <c r="B3413" s="44"/>
      <c r="D3413" s="8"/>
      <c r="E3413" s="8"/>
      <c r="F3413" s="8"/>
    </row>
    <row r="3414" spans="2:6">
      <c r="B3414" s="44"/>
      <c r="D3414" s="8"/>
      <c r="E3414" s="8"/>
      <c r="F3414" s="8"/>
    </row>
    <row r="3415" spans="2:6">
      <c r="B3415" s="44"/>
      <c r="D3415" s="8"/>
      <c r="E3415" s="8"/>
      <c r="F3415" s="8"/>
    </row>
    <row r="3416" spans="2:6">
      <c r="B3416" s="44"/>
      <c r="D3416" s="8"/>
      <c r="E3416" s="8"/>
      <c r="F3416" s="8"/>
    </row>
    <row r="3417" spans="2:6">
      <c r="B3417" s="44"/>
      <c r="D3417" s="8"/>
      <c r="E3417" s="8"/>
      <c r="F3417" s="8"/>
    </row>
    <row r="3418" spans="2:6">
      <c r="B3418" s="44"/>
      <c r="D3418" s="8"/>
      <c r="E3418" s="8"/>
      <c r="F3418" s="8"/>
    </row>
    <row r="3419" spans="2:6">
      <c r="B3419" s="44"/>
      <c r="D3419" s="8"/>
      <c r="E3419" s="8"/>
      <c r="F3419" s="8"/>
    </row>
    <row r="3420" spans="2:6">
      <c r="B3420" s="44"/>
      <c r="D3420" s="8"/>
      <c r="E3420" s="8"/>
      <c r="F3420" s="8"/>
    </row>
    <row r="3421" spans="2:6">
      <c r="B3421" s="44"/>
      <c r="D3421" s="8"/>
      <c r="E3421" s="8"/>
      <c r="F3421" s="8"/>
    </row>
    <row r="3422" spans="2:6">
      <c r="B3422" s="44"/>
      <c r="D3422" s="8"/>
      <c r="E3422" s="8"/>
      <c r="F3422" s="8"/>
    </row>
    <row r="3423" spans="2:6">
      <c r="B3423" s="44"/>
      <c r="D3423" s="8"/>
      <c r="E3423" s="8"/>
      <c r="F3423" s="8"/>
    </row>
    <row r="3424" spans="2:6">
      <c r="B3424" s="44"/>
      <c r="D3424" s="8"/>
      <c r="E3424" s="8"/>
      <c r="F3424" s="8"/>
    </row>
    <row r="3425" spans="2:6">
      <c r="B3425" s="44"/>
      <c r="D3425" s="8"/>
      <c r="E3425" s="8"/>
      <c r="F3425" s="8"/>
    </row>
    <row r="3426" spans="2:6">
      <c r="B3426" s="44"/>
      <c r="D3426" s="8"/>
      <c r="E3426" s="8"/>
      <c r="F3426" s="8"/>
    </row>
    <row r="3427" spans="2:6">
      <c r="B3427" s="44"/>
      <c r="D3427" s="8"/>
      <c r="E3427" s="8"/>
      <c r="F3427" s="8"/>
    </row>
    <row r="3428" spans="2:6">
      <c r="B3428" s="44"/>
      <c r="D3428" s="8"/>
      <c r="E3428" s="8"/>
      <c r="F3428" s="8"/>
    </row>
    <row r="3429" spans="2:6">
      <c r="B3429" s="44"/>
      <c r="D3429" s="8"/>
      <c r="E3429" s="8"/>
      <c r="F3429" s="8"/>
    </row>
    <row r="3430" spans="2:6">
      <c r="B3430" s="44"/>
      <c r="D3430" s="8"/>
      <c r="E3430" s="8"/>
      <c r="F3430" s="8"/>
    </row>
    <row r="3431" spans="2:6">
      <c r="B3431" s="44"/>
      <c r="D3431" s="8"/>
      <c r="E3431" s="8"/>
      <c r="F3431" s="8"/>
    </row>
    <row r="3432" spans="2:6">
      <c r="B3432" s="44"/>
      <c r="D3432" s="8"/>
      <c r="E3432" s="8"/>
      <c r="F3432" s="8"/>
    </row>
    <row r="3433" spans="2:6">
      <c r="B3433" s="44"/>
      <c r="D3433" s="8"/>
      <c r="E3433" s="8"/>
      <c r="F3433" s="8"/>
    </row>
    <row r="3434" spans="2:6">
      <c r="B3434" s="44"/>
      <c r="D3434" s="8"/>
      <c r="E3434" s="8"/>
      <c r="F3434" s="8"/>
    </row>
    <row r="3435" spans="2:6">
      <c r="B3435" s="44"/>
      <c r="D3435" s="8"/>
      <c r="E3435" s="8"/>
      <c r="F3435" s="8"/>
    </row>
    <row r="3436" spans="2:6">
      <c r="B3436" s="44"/>
      <c r="D3436" s="8"/>
      <c r="E3436" s="8"/>
      <c r="F3436" s="8"/>
    </row>
    <row r="3437" spans="2:6">
      <c r="B3437" s="44"/>
      <c r="D3437" s="8"/>
      <c r="E3437" s="8"/>
      <c r="F3437" s="8"/>
    </row>
    <row r="3438" spans="2:6">
      <c r="B3438" s="44"/>
      <c r="D3438" s="8"/>
      <c r="E3438" s="8"/>
      <c r="F3438" s="8"/>
    </row>
    <row r="3439" spans="2:6">
      <c r="B3439" s="44"/>
      <c r="D3439" s="8"/>
      <c r="E3439" s="8"/>
      <c r="F3439" s="8"/>
    </row>
    <row r="3440" spans="2:6">
      <c r="B3440" s="44"/>
      <c r="D3440" s="8"/>
      <c r="E3440" s="8"/>
      <c r="F3440" s="8"/>
    </row>
    <row r="3441" spans="2:6">
      <c r="B3441" s="44"/>
      <c r="D3441" s="8"/>
      <c r="E3441" s="8"/>
      <c r="F3441" s="8"/>
    </row>
    <row r="3442" spans="2:6">
      <c r="B3442" s="44"/>
      <c r="D3442" s="8"/>
      <c r="E3442" s="8"/>
      <c r="F3442" s="8"/>
    </row>
    <row r="3443" spans="2:6">
      <c r="B3443" s="44"/>
      <c r="D3443" s="8"/>
      <c r="E3443" s="8"/>
      <c r="F3443" s="8"/>
    </row>
    <row r="3444" spans="2:6">
      <c r="B3444" s="44"/>
      <c r="D3444" s="8"/>
      <c r="E3444" s="8"/>
      <c r="F3444" s="8"/>
    </row>
    <row r="3445" spans="2:6">
      <c r="B3445" s="44"/>
      <c r="D3445" s="8"/>
      <c r="E3445" s="8"/>
      <c r="F3445" s="8"/>
    </row>
    <row r="3446" spans="2:6">
      <c r="B3446" s="44"/>
      <c r="D3446" s="8"/>
      <c r="E3446" s="8"/>
      <c r="F3446" s="8"/>
    </row>
    <row r="3447" spans="2:6">
      <c r="B3447" s="44"/>
      <c r="D3447" s="8"/>
      <c r="E3447" s="8"/>
      <c r="F3447" s="8"/>
    </row>
    <row r="3448" spans="2:6">
      <c r="B3448" s="44"/>
      <c r="D3448" s="8"/>
      <c r="E3448" s="8"/>
      <c r="F3448" s="8"/>
    </row>
    <row r="3449" spans="2:6">
      <c r="B3449" s="44"/>
      <c r="D3449" s="8"/>
      <c r="E3449" s="8"/>
      <c r="F3449" s="8"/>
    </row>
    <row r="3450" spans="2:6">
      <c r="B3450" s="44"/>
      <c r="D3450" s="8"/>
      <c r="E3450" s="8"/>
      <c r="F3450" s="8"/>
    </row>
    <row r="3451" spans="2:6">
      <c r="B3451" s="44"/>
      <c r="D3451" s="8"/>
      <c r="E3451" s="8"/>
      <c r="F3451" s="8"/>
    </row>
    <row r="3452" spans="2:6">
      <c r="B3452" s="44"/>
      <c r="D3452" s="8"/>
      <c r="E3452" s="8"/>
      <c r="F3452" s="8"/>
    </row>
    <row r="3453" spans="2:6">
      <c r="B3453" s="44"/>
      <c r="D3453" s="8"/>
      <c r="E3453" s="8"/>
      <c r="F3453" s="8"/>
    </row>
    <row r="3454" spans="2:6">
      <c r="B3454" s="44"/>
      <c r="D3454" s="8"/>
      <c r="E3454" s="8"/>
      <c r="F3454" s="8"/>
    </row>
    <row r="3455" spans="2:6">
      <c r="B3455" s="44"/>
      <c r="D3455" s="8"/>
      <c r="E3455" s="8"/>
      <c r="F3455" s="8"/>
    </row>
    <row r="3456" spans="2:6">
      <c r="B3456" s="44"/>
      <c r="D3456" s="8"/>
      <c r="E3456" s="8"/>
      <c r="F3456" s="8"/>
    </row>
    <row r="3457" spans="2:6">
      <c r="B3457" s="44"/>
      <c r="D3457" s="8"/>
      <c r="E3457" s="8"/>
      <c r="F3457" s="8"/>
    </row>
    <row r="3458" spans="2:6">
      <c r="B3458" s="44"/>
      <c r="D3458" s="8"/>
      <c r="E3458" s="8"/>
      <c r="F3458" s="8"/>
    </row>
    <row r="3459" spans="2:6">
      <c r="B3459" s="44"/>
      <c r="D3459" s="8"/>
      <c r="E3459" s="8"/>
      <c r="F3459" s="8"/>
    </row>
    <row r="3460" spans="2:6">
      <c r="B3460" s="44"/>
      <c r="D3460" s="8"/>
      <c r="E3460" s="8"/>
      <c r="F3460" s="8"/>
    </row>
    <row r="3461" spans="2:6">
      <c r="B3461" s="44"/>
      <c r="D3461" s="8"/>
      <c r="E3461" s="8"/>
      <c r="F3461" s="8"/>
    </row>
    <row r="3462" spans="2:6">
      <c r="B3462" s="44"/>
      <c r="D3462" s="8"/>
      <c r="E3462" s="8"/>
      <c r="F3462" s="8"/>
    </row>
    <row r="3463" spans="2:6">
      <c r="B3463" s="44"/>
      <c r="D3463" s="8"/>
      <c r="E3463" s="8"/>
      <c r="F3463" s="8"/>
    </row>
    <row r="3464" spans="2:6">
      <c r="B3464" s="44"/>
      <c r="D3464" s="8"/>
      <c r="E3464" s="8"/>
      <c r="F3464" s="8"/>
    </row>
    <row r="3465" spans="2:6">
      <c r="B3465" s="44"/>
      <c r="D3465" s="8"/>
      <c r="E3465" s="8"/>
      <c r="F3465" s="8"/>
    </row>
    <row r="3466" spans="2:6">
      <c r="B3466" s="44"/>
      <c r="D3466" s="8"/>
      <c r="E3466" s="8"/>
      <c r="F3466" s="8"/>
    </row>
    <row r="3467" spans="2:6">
      <c r="B3467" s="44"/>
      <c r="D3467" s="8"/>
      <c r="E3467" s="8"/>
      <c r="F3467" s="8"/>
    </row>
    <row r="3468" spans="2:6">
      <c r="B3468" s="44"/>
      <c r="D3468" s="8"/>
      <c r="E3468" s="8"/>
      <c r="F3468" s="8"/>
    </row>
    <row r="3469" spans="2:6">
      <c r="B3469" s="44"/>
      <c r="D3469" s="8"/>
      <c r="E3469" s="8"/>
      <c r="F3469" s="8"/>
    </row>
    <row r="3470" spans="2:6">
      <c r="B3470" s="44"/>
      <c r="D3470" s="8"/>
      <c r="E3470" s="8"/>
      <c r="F3470" s="8"/>
    </row>
    <row r="3471" spans="2:6">
      <c r="B3471" s="44"/>
      <c r="D3471" s="8"/>
      <c r="E3471" s="8"/>
      <c r="F3471" s="8"/>
    </row>
    <row r="3472" spans="2:6">
      <c r="B3472" s="44"/>
      <c r="D3472" s="8"/>
      <c r="E3472" s="8"/>
      <c r="F3472" s="8"/>
    </row>
    <row r="3473" spans="2:6">
      <c r="B3473" s="44"/>
      <c r="D3473" s="8"/>
      <c r="E3473" s="8"/>
      <c r="F3473" s="8"/>
    </row>
    <row r="3474" spans="2:6">
      <c r="B3474" s="44"/>
      <c r="D3474" s="8"/>
      <c r="E3474" s="8"/>
      <c r="F3474" s="8"/>
    </row>
    <row r="3475" spans="2:6">
      <c r="B3475" s="44"/>
      <c r="D3475" s="8"/>
      <c r="E3475" s="8"/>
      <c r="F3475" s="8"/>
    </row>
    <row r="3476" spans="2:6">
      <c r="B3476" s="44"/>
      <c r="D3476" s="8"/>
      <c r="E3476" s="8"/>
      <c r="F3476" s="8"/>
    </row>
    <row r="3477" spans="2:6">
      <c r="B3477" s="44"/>
      <c r="D3477" s="8"/>
      <c r="E3477" s="8"/>
      <c r="F3477" s="8"/>
    </row>
    <row r="3478" spans="2:6">
      <c r="B3478" s="44"/>
      <c r="D3478" s="8"/>
      <c r="E3478" s="8"/>
      <c r="F3478" s="8"/>
    </row>
    <row r="3479" spans="2:6">
      <c r="B3479" s="44"/>
      <c r="D3479" s="8"/>
      <c r="E3479" s="8"/>
      <c r="F3479" s="8"/>
    </row>
    <row r="3480" spans="2:6">
      <c r="B3480" s="44"/>
      <c r="D3480" s="8"/>
      <c r="E3480" s="8"/>
      <c r="F3480" s="8"/>
    </row>
    <row r="3481" spans="2:6">
      <c r="B3481" s="44"/>
      <c r="D3481" s="8"/>
      <c r="E3481" s="8"/>
      <c r="F3481" s="8"/>
    </row>
    <row r="3482" spans="2:6">
      <c r="B3482" s="44"/>
      <c r="D3482" s="8"/>
      <c r="E3482" s="8"/>
      <c r="F3482" s="8"/>
    </row>
    <row r="3483" spans="2:6">
      <c r="B3483" s="44"/>
      <c r="D3483" s="8"/>
      <c r="E3483" s="8"/>
      <c r="F3483" s="8"/>
    </row>
    <row r="3484" spans="2:6">
      <c r="B3484" s="44"/>
      <c r="D3484" s="8"/>
      <c r="E3484" s="8"/>
      <c r="F3484" s="8"/>
    </row>
    <row r="3485" spans="2:6">
      <c r="B3485" s="44"/>
      <c r="D3485" s="8"/>
      <c r="E3485" s="8"/>
      <c r="F3485" s="8"/>
    </row>
    <row r="3486" spans="2:6">
      <c r="B3486" s="44"/>
      <c r="D3486" s="8"/>
      <c r="E3486" s="8"/>
      <c r="F3486" s="8"/>
    </row>
    <row r="3487" spans="2:6">
      <c r="B3487" s="44"/>
      <c r="D3487" s="8"/>
      <c r="E3487" s="8"/>
      <c r="F3487" s="8"/>
    </row>
    <row r="3488" spans="2:6">
      <c r="B3488" s="44"/>
      <c r="D3488" s="8"/>
      <c r="E3488" s="8"/>
      <c r="F3488" s="8"/>
    </row>
    <row r="3489" spans="2:6">
      <c r="B3489" s="44"/>
      <c r="D3489" s="8"/>
      <c r="E3489" s="8"/>
      <c r="F3489" s="8"/>
    </row>
    <row r="3490" spans="2:6">
      <c r="B3490" s="44"/>
      <c r="D3490" s="8"/>
      <c r="E3490" s="8"/>
      <c r="F3490" s="8"/>
    </row>
    <row r="3491" spans="2:6">
      <c r="B3491" s="44"/>
      <c r="D3491" s="8"/>
      <c r="E3491" s="8"/>
      <c r="F3491" s="8"/>
    </row>
    <row r="3492" spans="2:6">
      <c r="B3492" s="44"/>
      <c r="D3492" s="8"/>
      <c r="E3492" s="8"/>
      <c r="F3492" s="8"/>
    </row>
    <row r="3493" spans="2:6">
      <c r="B3493" s="44"/>
      <c r="D3493" s="8"/>
      <c r="E3493" s="8"/>
      <c r="F3493" s="8"/>
    </row>
    <row r="3494" spans="2:6">
      <c r="B3494" s="44"/>
      <c r="D3494" s="8"/>
      <c r="E3494" s="8"/>
      <c r="F3494" s="8"/>
    </row>
    <row r="3495" spans="2:6">
      <c r="B3495" s="44"/>
      <c r="D3495" s="8"/>
      <c r="E3495" s="8"/>
      <c r="F3495" s="8"/>
    </row>
    <row r="3496" spans="2:6">
      <c r="B3496" s="44"/>
      <c r="D3496" s="8"/>
      <c r="E3496" s="8"/>
      <c r="F3496" s="8"/>
    </row>
    <row r="3497" spans="2:6">
      <c r="B3497" s="44"/>
      <c r="D3497" s="8"/>
      <c r="E3497" s="8"/>
      <c r="F3497" s="8"/>
    </row>
    <row r="3498" spans="2:6">
      <c r="B3498" s="44"/>
      <c r="D3498" s="8"/>
      <c r="E3498" s="8"/>
      <c r="F3498" s="8"/>
    </row>
    <row r="3499" spans="2:6">
      <c r="B3499" s="44"/>
      <c r="D3499" s="8"/>
      <c r="E3499" s="8"/>
      <c r="F3499" s="8"/>
    </row>
    <row r="3500" spans="2:6">
      <c r="B3500" s="44"/>
      <c r="D3500" s="8"/>
      <c r="E3500" s="8"/>
      <c r="F3500" s="8"/>
    </row>
    <row r="3501" spans="2:6">
      <c r="B3501" s="44"/>
      <c r="D3501" s="8"/>
      <c r="E3501" s="8"/>
      <c r="F3501" s="8"/>
    </row>
    <row r="3502" spans="2:6">
      <c r="B3502" s="44"/>
      <c r="D3502" s="8"/>
      <c r="E3502" s="8"/>
      <c r="F3502" s="8"/>
    </row>
    <row r="3503" spans="2:6">
      <c r="B3503" s="44"/>
      <c r="D3503" s="8"/>
      <c r="E3503" s="8"/>
      <c r="F3503" s="8"/>
    </row>
    <row r="3504" spans="2:6">
      <c r="B3504" s="44"/>
      <c r="D3504" s="8"/>
      <c r="E3504" s="8"/>
      <c r="F3504" s="8"/>
    </row>
    <row r="3505" spans="2:6">
      <c r="B3505" s="44"/>
      <c r="D3505" s="8"/>
      <c r="E3505" s="8"/>
      <c r="F3505" s="8"/>
    </row>
    <row r="3506" spans="2:6">
      <c r="B3506" s="44"/>
      <c r="D3506" s="8"/>
      <c r="E3506" s="8"/>
      <c r="F3506" s="8"/>
    </row>
    <row r="3507" spans="2:6">
      <c r="B3507" s="44"/>
      <c r="D3507" s="8"/>
      <c r="E3507" s="8"/>
      <c r="F3507" s="8"/>
    </row>
    <row r="3508" spans="2:6">
      <c r="B3508" s="44"/>
      <c r="D3508" s="8"/>
      <c r="E3508" s="8"/>
      <c r="F3508" s="8"/>
    </row>
    <row r="3509" spans="2:6">
      <c r="B3509" s="44"/>
      <c r="D3509" s="8"/>
      <c r="E3509" s="8"/>
      <c r="F3509" s="8"/>
    </row>
    <row r="3510" spans="2:6">
      <c r="B3510" s="44"/>
      <c r="D3510" s="8"/>
      <c r="E3510" s="8"/>
      <c r="F3510" s="8"/>
    </row>
    <row r="3511" spans="2:6">
      <c r="B3511" s="44"/>
      <c r="D3511" s="8"/>
      <c r="E3511" s="8"/>
      <c r="F3511" s="8"/>
    </row>
    <row r="3512" spans="2:6">
      <c r="B3512" s="44"/>
      <c r="D3512" s="8"/>
      <c r="E3512" s="8"/>
      <c r="F3512" s="8"/>
    </row>
    <row r="3513" spans="2:6">
      <c r="B3513" s="44"/>
      <c r="D3513" s="8"/>
      <c r="E3513" s="8"/>
      <c r="F3513" s="8"/>
    </row>
    <row r="3514" spans="2:6">
      <c r="B3514" s="44"/>
      <c r="D3514" s="8"/>
      <c r="E3514" s="8"/>
      <c r="F3514" s="8"/>
    </row>
    <row r="3515" spans="2:6">
      <c r="B3515" s="44"/>
      <c r="D3515" s="8"/>
      <c r="E3515" s="8"/>
      <c r="F3515" s="8"/>
    </row>
    <row r="3516" spans="2:6">
      <c r="B3516" s="44"/>
      <c r="D3516" s="8"/>
      <c r="E3516" s="8"/>
      <c r="F3516" s="8"/>
    </row>
    <row r="3517" spans="2:6">
      <c r="B3517" s="44"/>
      <c r="D3517" s="8"/>
      <c r="E3517" s="8"/>
      <c r="F3517" s="8"/>
    </row>
    <row r="3518" spans="2:6">
      <c r="B3518" s="44"/>
      <c r="D3518" s="8"/>
      <c r="E3518" s="8"/>
      <c r="F3518" s="8"/>
    </row>
    <row r="3519" spans="2:6">
      <c r="B3519" s="44"/>
      <c r="D3519" s="8"/>
      <c r="E3519" s="8"/>
      <c r="F3519" s="8"/>
    </row>
    <row r="3520" spans="2:6">
      <c r="B3520" s="44"/>
      <c r="D3520" s="8"/>
      <c r="E3520" s="8"/>
      <c r="F3520" s="8"/>
    </row>
    <row r="3521" spans="2:6">
      <c r="B3521" s="44"/>
      <c r="D3521" s="8"/>
      <c r="E3521" s="8"/>
      <c r="F3521" s="8"/>
    </row>
    <row r="3522" spans="2:6">
      <c r="B3522" s="44"/>
      <c r="D3522" s="8"/>
      <c r="E3522" s="8"/>
      <c r="F3522" s="8"/>
    </row>
    <row r="3523" spans="2:6">
      <c r="B3523" s="44"/>
      <c r="D3523" s="8"/>
      <c r="E3523" s="8"/>
      <c r="F3523" s="8"/>
    </row>
    <row r="3524" spans="2:6">
      <c r="B3524" s="44"/>
      <c r="D3524" s="8"/>
      <c r="E3524" s="8"/>
      <c r="F3524" s="8"/>
    </row>
    <row r="3525" spans="2:6">
      <c r="B3525" s="44"/>
      <c r="D3525" s="8"/>
      <c r="E3525" s="8"/>
      <c r="F3525" s="8"/>
    </row>
    <row r="3526" spans="2:6">
      <c r="B3526" s="44"/>
      <c r="D3526" s="8"/>
      <c r="E3526" s="8"/>
      <c r="F3526" s="8"/>
    </row>
    <row r="3527" spans="2:6">
      <c r="B3527" s="44"/>
      <c r="D3527" s="8"/>
      <c r="E3527" s="8"/>
      <c r="F3527" s="8"/>
    </row>
    <row r="3528" spans="2:6">
      <c r="B3528" s="44"/>
      <c r="D3528" s="8"/>
      <c r="E3528" s="8"/>
      <c r="F3528" s="8"/>
    </row>
    <row r="3529" spans="2:6">
      <c r="B3529" s="44"/>
      <c r="D3529" s="8"/>
      <c r="E3529" s="8"/>
      <c r="F3529" s="8"/>
    </row>
    <row r="3530" spans="2:6">
      <c r="B3530" s="44"/>
      <c r="D3530" s="8"/>
      <c r="E3530" s="8"/>
      <c r="F3530" s="8"/>
    </row>
    <row r="3531" spans="2:6">
      <c r="B3531" s="44"/>
      <c r="D3531" s="8"/>
      <c r="E3531" s="8"/>
      <c r="F3531" s="8"/>
    </row>
    <row r="3532" spans="2:6">
      <c r="B3532" s="44"/>
      <c r="D3532" s="8"/>
      <c r="E3532" s="8"/>
      <c r="F3532" s="8"/>
    </row>
    <row r="3533" spans="2:6">
      <c r="B3533" s="44"/>
      <c r="D3533" s="8"/>
      <c r="E3533" s="8"/>
      <c r="F3533" s="8"/>
    </row>
    <row r="3534" spans="2:6">
      <c r="B3534" s="44"/>
      <c r="D3534" s="8"/>
      <c r="E3534" s="8"/>
      <c r="F3534" s="8"/>
    </row>
    <row r="3535" spans="2:6">
      <c r="B3535" s="44"/>
      <c r="D3535" s="8"/>
      <c r="E3535" s="8"/>
      <c r="F3535" s="8"/>
    </row>
    <row r="3536" spans="2:6">
      <c r="B3536" s="44"/>
      <c r="D3536" s="8"/>
      <c r="E3536" s="8"/>
      <c r="F3536" s="8"/>
    </row>
    <row r="3537" spans="2:6">
      <c r="B3537" s="44"/>
      <c r="D3537" s="8"/>
      <c r="E3537" s="8"/>
      <c r="F3537" s="8"/>
    </row>
    <row r="3538" spans="2:6">
      <c r="B3538" s="44"/>
      <c r="D3538" s="8"/>
      <c r="E3538" s="8"/>
      <c r="F3538" s="8"/>
    </row>
    <row r="3539" spans="2:6">
      <c r="B3539" s="44"/>
      <c r="D3539" s="8"/>
      <c r="E3539" s="8"/>
      <c r="F3539" s="8"/>
    </row>
    <row r="3540" spans="2:6">
      <c r="B3540" s="44"/>
      <c r="D3540" s="8"/>
      <c r="E3540" s="8"/>
      <c r="F3540" s="8"/>
    </row>
    <row r="3541" spans="2:6">
      <c r="B3541" s="44"/>
      <c r="D3541" s="8"/>
      <c r="E3541" s="8"/>
      <c r="F3541" s="8"/>
    </row>
    <row r="3542" spans="2:6">
      <c r="B3542" s="44"/>
      <c r="D3542" s="8"/>
      <c r="E3542" s="8"/>
      <c r="F3542" s="8"/>
    </row>
    <row r="3543" spans="2:6">
      <c r="B3543" s="44"/>
      <c r="D3543" s="8"/>
      <c r="E3543" s="8"/>
      <c r="F3543" s="8"/>
    </row>
    <row r="3544" spans="2:6">
      <c r="B3544" s="44"/>
      <c r="D3544" s="8"/>
      <c r="E3544" s="8"/>
      <c r="F3544" s="8"/>
    </row>
    <row r="3545" spans="2:6">
      <c r="B3545" s="44"/>
      <c r="D3545" s="8"/>
      <c r="E3545" s="8"/>
      <c r="F3545" s="8"/>
    </row>
    <row r="3546" spans="2:6">
      <c r="B3546" s="44"/>
      <c r="D3546" s="8"/>
      <c r="E3546" s="8"/>
      <c r="F3546" s="8"/>
    </row>
    <row r="3547" spans="2:6">
      <c r="B3547" s="44"/>
      <c r="D3547" s="8"/>
      <c r="E3547" s="8"/>
      <c r="F3547" s="8"/>
    </row>
    <row r="3548" spans="2:6">
      <c r="B3548" s="44"/>
      <c r="D3548" s="8"/>
      <c r="E3548" s="8"/>
      <c r="F3548" s="8"/>
    </row>
    <row r="3549" spans="2:6">
      <c r="B3549" s="44"/>
      <c r="D3549" s="8"/>
      <c r="E3549" s="8"/>
      <c r="F3549" s="8"/>
    </row>
    <row r="3550" spans="2:6">
      <c r="B3550" s="44"/>
      <c r="D3550" s="8"/>
      <c r="E3550" s="8"/>
      <c r="F3550" s="8"/>
    </row>
    <row r="3551" spans="2:6">
      <c r="B3551" s="44"/>
      <c r="D3551" s="8"/>
      <c r="E3551" s="8"/>
      <c r="F3551" s="8"/>
    </row>
    <row r="3552" spans="2:6">
      <c r="B3552" s="44"/>
      <c r="D3552" s="8"/>
      <c r="E3552" s="8"/>
      <c r="F3552" s="8"/>
    </row>
    <row r="3553" spans="2:6">
      <c r="B3553" s="44"/>
      <c r="D3553" s="8"/>
      <c r="E3553" s="8"/>
      <c r="F3553" s="8"/>
    </row>
    <row r="3554" spans="2:6">
      <c r="B3554" s="44"/>
      <c r="D3554" s="8"/>
      <c r="E3554" s="8"/>
      <c r="F3554" s="8"/>
    </row>
    <row r="3555" spans="2:6">
      <c r="B3555" s="44"/>
      <c r="D3555" s="8"/>
      <c r="E3555" s="8"/>
      <c r="F3555" s="8"/>
    </row>
    <row r="3556" spans="2:6">
      <c r="B3556" s="44"/>
      <c r="D3556" s="8"/>
      <c r="E3556" s="8"/>
      <c r="F3556" s="8"/>
    </row>
    <row r="3557" spans="2:6">
      <c r="B3557" s="44"/>
      <c r="D3557" s="8"/>
      <c r="E3557" s="8"/>
      <c r="F3557" s="8"/>
    </row>
    <row r="3558" spans="2:6">
      <c r="B3558" s="44"/>
      <c r="D3558" s="8"/>
      <c r="E3558" s="8"/>
      <c r="F3558" s="8"/>
    </row>
    <row r="3559" spans="2:6">
      <c r="B3559" s="44"/>
      <c r="D3559" s="8"/>
      <c r="E3559" s="8"/>
      <c r="F3559" s="8"/>
    </row>
    <row r="3560" spans="2:6">
      <c r="B3560" s="44"/>
      <c r="D3560" s="8"/>
      <c r="E3560" s="8"/>
      <c r="F3560" s="8"/>
    </row>
    <row r="3561" spans="2:6">
      <c r="B3561" s="44"/>
      <c r="D3561" s="8"/>
      <c r="E3561" s="8"/>
      <c r="F3561" s="8"/>
    </row>
    <row r="3562" spans="2:6">
      <c r="B3562" s="44"/>
      <c r="D3562" s="8"/>
      <c r="E3562" s="8"/>
      <c r="F3562" s="8"/>
    </row>
    <row r="3563" spans="2:6">
      <c r="B3563" s="44"/>
      <c r="D3563" s="8"/>
      <c r="E3563" s="8"/>
      <c r="F3563" s="8"/>
    </row>
    <row r="3564" spans="2:6">
      <c r="B3564" s="44"/>
      <c r="D3564" s="8"/>
      <c r="E3564" s="8"/>
      <c r="F3564" s="8"/>
    </row>
    <row r="3565" spans="2:6">
      <c r="B3565" s="44"/>
      <c r="D3565" s="8"/>
      <c r="E3565" s="8"/>
      <c r="F3565" s="8"/>
    </row>
    <row r="3566" spans="2:6">
      <c r="B3566" s="44"/>
      <c r="D3566" s="8"/>
      <c r="E3566" s="8"/>
      <c r="F3566" s="8"/>
    </row>
    <row r="3567" spans="2:6">
      <c r="B3567" s="44"/>
      <c r="D3567" s="8"/>
      <c r="E3567" s="8"/>
      <c r="F3567" s="8"/>
    </row>
    <row r="3568" spans="2:6">
      <c r="B3568" s="44"/>
      <c r="D3568" s="8"/>
      <c r="E3568" s="8"/>
      <c r="F3568" s="8"/>
    </row>
    <row r="3569" spans="2:6">
      <c r="B3569" s="44"/>
      <c r="D3569" s="8"/>
      <c r="E3569" s="8"/>
      <c r="F3569" s="8"/>
    </row>
    <row r="3570" spans="2:6">
      <c r="B3570" s="44"/>
      <c r="D3570" s="8"/>
      <c r="E3570" s="8"/>
      <c r="F3570" s="8"/>
    </row>
    <row r="3571" spans="2:6">
      <c r="B3571" s="44"/>
      <c r="D3571" s="8"/>
      <c r="E3571" s="8"/>
      <c r="F3571" s="8"/>
    </row>
    <row r="3572" spans="2:6">
      <c r="B3572" s="44"/>
      <c r="D3572" s="8"/>
      <c r="E3572" s="8"/>
      <c r="F3572" s="8"/>
    </row>
    <row r="3573" spans="2:6">
      <c r="B3573" s="44"/>
      <c r="D3573" s="8"/>
      <c r="E3573" s="8"/>
      <c r="F3573" s="8"/>
    </row>
    <row r="3574" spans="2:6">
      <c r="B3574" s="44"/>
      <c r="D3574" s="8"/>
      <c r="E3574" s="8"/>
      <c r="F3574" s="8"/>
    </row>
    <row r="3575" spans="2:6">
      <c r="B3575" s="44"/>
      <c r="D3575" s="8"/>
      <c r="E3575" s="8"/>
      <c r="F3575" s="8"/>
    </row>
    <row r="3576" spans="2:6">
      <c r="B3576" s="44"/>
      <c r="D3576" s="8"/>
      <c r="E3576" s="8"/>
      <c r="F3576" s="8"/>
    </row>
    <row r="3577" spans="2:6">
      <c r="B3577" s="44"/>
      <c r="D3577" s="8"/>
      <c r="E3577" s="8"/>
      <c r="F3577" s="8"/>
    </row>
    <row r="3578" spans="2:6">
      <c r="B3578" s="44"/>
      <c r="D3578" s="8"/>
      <c r="E3578" s="8"/>
      <c r="F3578" s="8"/>
    </row>
    <row r="3579" spans="2:6">
      <c r="B3579" s="44"/>
      <c r="D3579" s="8"/>
      <c r="E3579" s="8"/>
      <c r="F3579" s="8"/>
    </row>
    <row r="3580" spans="2:6">
      <c r="B3580" s="44"/>
      <c r="D3580" s="8"/>
      <c r="E3580" s="8"/>
      <c r="F3580" s="8"/>
    </row>
    <row r="3581" spans="2:6">
      <c r="B3581" s="44"/>
      <c r="D3581" s="8"/>
      <c r="E3581" s="8"/>
      <c r="F3581" s="8"/>
    </row>
    <row r="3582" spans="2:6">
      <c r="B3582" s="44"/>
      <c r="D3582" s="8"/>
      <c r="E3582" s="8"/>
      <c r="F3582" s="8"/>
    </row>
    <row r="3583" spans="2:6">
      <c r="B3583" s="44"/>
      <c r="D3583" s="8"/>
      <c r="E3583" s="8"/>
      <c r="F3583" s="8"/>
    </row>
    <row r="3584" spans="2:6">
      <c r="B3584" s="44"/>
      <c r="D3584" s="8"/>
      <c r="E3584" s="8"/>
      <c r="F3584" s="8"/>
    </row>
    <row r="3585" spans="2:6">
      <c r="B3585" s="44"/>
      <c r="D3585" s="8"/>
      <c r="E3585" s="8"/>
      <c r="F3585" s="8"/>
    </row>
    <row r="3586" spans="2:6">
      <c r="B3586" s="44"/>
      <c r="D3586" s="8"/>
      <c r="E3586" s="8"/>
      <c r="F3586" s="8"/>
    </row>
    <row r="3587" spans="2:6">
      <c r="B3587" s="44"/>
      <c r="D3587" s="8"/>
      <c r="E3587" s="8"/>
      <c r="F3587" s="8"/>
    </row>
    <row r="3588" spans="2:6">
      <c r="B3588" s="44"/>
      <c r="D3588" s="8"/>
      <c r="E3588" s="8"/>
      <c r="F3588" s="8"/>
    </row>
    <row r="3589" spans="2:6">
      <c r="B3589" s="44"/>
      <c r="D3589" s="8"/>
      <c r="E3589" s="8"/>
      <c r="F3589" s="8"/>
    </row>
    <row r="3590" spans="2:6">
      <c r="B3590" s="44"/>
      <c r="D3590" s="8"/>
      <c r="E3590" s="8"/>
      <c r="F3590" s="8"/>
    </row>
    <row r="3591" spans="2:6">
      <c r="B3591" s="44"/>
      <c r="D3591" s="8"/>
      <c r="E3591" s="8"/>
      <c r="F3591" s="8"/>
    </row>
    <row r="3592" spans="2:6">
      <c r="B3592" s="44"/>
      <c r="D3592" s="8"/>
      <c r="E3592" s="8"/>
      <c r="F3592" s="8"/>
    </row>
    <row r="3593" spans="2:6">
      <c r="B3593" s="44"/>
      <c r="D3593" s="8"/>
      <c r="E3593" s="8"/>
      <c r="F3593" s="8"/>
    </row>
    <row r="3594" spans="2:6">
      <c r="B3594" s="44"/>
      <c r="D3594" s="8"/>
      <c r="E3594" s="8"/>
      <c r="F3594" s="8"/>
    </row>
    <row r="3595" spans="2:6">
      <c r="B3595" s="44"/>
      <c r="D3595" s="8"/>
      <c r="E3595" s="8"/>
      <c r="F3595" s="8"/>
    </row>
    <row r="3596" spans="2:6">
      <c r="B3596" s="44"/>
      <c r="D3596" s="8"/>
      <c r="E3596" s="8"/>
      <c r="F3596" s="8"/>
    </row>
    <row r="3597" spans="2:6">
      <c r="B3597" s="44"/>
      <c r="D3597" s="8"/>
      <c r="E3597" s="8"/>
      <c r="F3597" s="8"/>
    </row>
    <row r="3598" spans="2:6">
      <c r="B3598" s="44"/>
      <c r="D3598" s="8"/>
      <c r="E3598" s="8"/>
      <c r="F3598" s="8"/>
    </row>
    <row r="3599" spans="2:6">
      <c r="B3599" s="44"/>
      <c r="D3599" s="8"/>
      <c r="E3599" s="8"/>
      <c r="F3599" s="8"/>
    </row>
    <row r="3600" spans="2:6">
      <c r="B3600" s="44"/>
      <c r="D3600" s="8"/>
      <c r="E3600" s="8"/>
      <c r="F3600" s="8"/>
    </row>
    <row r="3601" spans="2:6">
      <c r="B3601" s="44"/>
      <c r="D3601" s="8"/>
      <c r="E3601" s="8"/>
      <c r="F3601" s="8"/>
    </row>
    <row r="3602" spans="2:6">
      <c r="B3602" s="44"/>
      <c r="D3602" s="8"/>
      <c r="E3602" s="8"/>
      <c r="F3602" s="8"/>
    </row>
    <row r="3603" spans="2:6">
      <c r="B3603" s="44"/>
      <c r="D3603" s="8"/>
      <c r="E3603" s="8"/>
      <c r="F3603" s="8"/>
    </row>
    <row r="3604" spans="2:6">
      <c r="B3604" s="44"/>
      <c r="D3604" s="8"/>
      <c r="E3604" s="8"/>
      <c r="F3604" s="8"/>
    </row>
    <row r="3605" spans="2:6">
      <c r="B3605" s="44"/>
      <c r="D3605" s="8"/>
      <c r="E3605" s="8"/>
      <c r="F3605" s="8"/>
    </row>
    <row r="3606" spans="2:6">
      <c r="B3606" s="44"/>
      <c r="D3606" s="8"/>
      <c r="E3606" s="8"/>
      <c r="F3606" s="8"/>
    </row>
    <row r="3607" spans="2:6">
      <c r="B3607" s="44"/>
      <c r="D3607" s="8"/>
      <c r="E3607" s="8"/>
      <c r="F3607" s="8"/>
    </row>
    <row r="3608" spans="2:6">
      <c r="B3608" s="44"/>
      <c r="D3608" s="8"/>
      <c r="E3608" s="8"/>
      <c r="F3608" s="8"/>
    </row>
    <row r="3609" spans="2:6">
      <c r="B3609" s="44"/>
      <c r="D3609" s="8"/>
      <c r="E3609" s="8"/>
      <c r="F3609" s="8"/>
    </row>
    <row r="3610" spans="2:6">
      <c r="B3610" s="44"/>
      <c r="D3610" s="8"/>
      <c r="E3610" s="8"/>
      <c r="F3610" s="8"/>
    </row>
    <row r="3611" spans="2:6">
      <c r="B3611" s="44"/>
      <c r="D3611" s="8"/>
      <c r="E3611" s="8"/>
      <c r="F3611" s="8"/>
    </row>
    <row r="3612" spans="2:6">
      <c r="B3612" s="44"/>
      <c r="D3612" s="8"/>
      <c r="E3612" s="8"/>
      <c r="F3612" s="8"/>
    </row>
    <row r="3613" spans="2:6">
      <c r="B3613" s="44"/>
      <c r="D3613" s="8"/>
      <c r="E3613" s="8"/>
      <c r="F3613" s="8"/>
    </row>
    <row r="3614" spans="2:6">
      <c r="B3614" s="44"/>
      <c r="D3614" s="8"/>
      <c r="E3614" s="8"/>
      <c r="F3614" s="8"/>
    </row>
    <row r="3615" spans="2:6">
      <c r="B3615" s="44"/>
      <c r="D3615" s="8"/>
      <c r="E3615" s="8"/>
      <c r="F3615" s="8"/>
    </row>
    <row r="3616" spans="2:6">
      <c r="B3616" s="44"/>
      <c r="D3616" s="8"/>
      <c r="E3616" s="8"/>
      <c r="F3616" s="8"/>
    </row>
    <row r="3617" spans="2:6">
      <c r="B3617" s="44"/>
      <c r="D3617" s="8"/>
      <c r="E3617" s="8"/>
      <c r="F3617" s="8"/>
    </row>
    <row r="3618" spans="2:6">
      <c r="B3618" s="44"/>
      <c r="D3618" s="8"/>
      <c r="E3618" s="8"/>
      <c r="F3618" s="8"/>
    </row>
    <row r="3619" spans="2:6">
      <c r="B3619" s="44"/>
      <c r="D3619" s="8"/>
      <c r="E3619" s="8"/>
      <c r="F3619" s="8"/>
    </row>
    <row r="3620" spans="2:6">
      <c r="B3620" s="44"/>
      <c r="D3620" s="8"/>
      <c r="E3620" s="8"/>
      <c r="F3620" s="8"/>
    </row>
    <row r="3621" spans="2:6">
      <c r="B3621" s="44"/>
      <c r="D3621" s="8"/>
      <c r="E3621" s="8"/>
      <c r="F3621" s="8"/>
    </row>
    <row r="3622" spans="2:6">
      <c r="B3622" s="44"/>
      <c r="D3622" s="8"/>
      <c r="E3622" s="8"/>
      <c r="F3622" s="8"/>
    </row>
    <row r="3623" spans="2:6">
      <c r="B3623" s="44"/>
      <c r="D3623" s="8"/>
      <c r="E3623" s="8"/>
      <c r="F3623" s="8"/>
    </row>
    <row r="3624" spans="2:6">
      <c r="B3624" s="44"/>
      <c r="D3624" s="8"/>
      <c r="E3624" s="8"/>
      <c r="F3624" s="8"/>
    </row>
    <row r="3625" spans="2:6">
      <c r="B3625" s="44"/>
      <c r="D3625" s="8"/>
      <c r="E3625" s="8"/>
      <c r="F3625" s="8"/>
    </row>
    <row r="3626" spans="2:6">
      <c r="B3626" s="44"/>
      <c r="D3626" s="8"/>
      <c r="E3626" s="8"/>
      <c r="F3626" s="8"/>
    </row>
    <row r="3627" spans="2:6">
      <c r="B3627" s="44"/>
      <c r="D3627" s="8"/>
      <c r="E3627" s="8"/>
      <c r="F3627" s="8"/>
    </row>
    <row r="3628" spans="2:6">
      <c r="B3628" s="44"/>
      <c r="D3628" s="8"/>
      <c r="E3628" s="8"/>
      <c r="F3628" s="8"/>
    </row>
    <row r="3629" spans="2:6">
      <c r="B3629" s="44"/>
      <c r="D3629" s="8"/>
      <c r="E3629" s="8"/>
      <c r="F3629" s="8"/>
    </row>
    <row r="3630" spans="2:6">
      <c r="B3630" s="44"/>
      <c r="D3630" s="8"/>
      <c r="E3630" s="8"/>
      <c r="F3630" s="8"/>
    </row>
    <row r="3631" spans="2:6">
      <c r="B3631" s="44"/>
      <c r="D3631" s="8"/>
      <c r="E3631" s="8"/>
      <c r="F3631" s="8"/>
    </row>
    <row r="3632" spans="2:6">
      <c r="B3632" s="44"/>
      <c r="D3632" s="8"/>
      <c r="E3632" s="8"/>
      <c r="F3632" s="8"/>
    </row>
    <row r="3633" spans="2:6">
      <c r="B3633" s="44"/>
      <c r="D3633" s="8"/>
      <c r="E3633" s="8"/>
      <c r="F3633" s="8"/>
    </row>
    <row r="3634" spans="2:6">
      <c r="B3634" s="44"/>
      <c r="D3634" s="8"/>
      <c r="E3634" s="8"/>
      <c r="F3634" s="8"/>
    </row>
    <row r="3635" spans="2:6">
      <c r="B3635" s="44"/>
      <c r="D3635" s="8"/>
      <c r="E3635" s="8"/>
      <c r="F3635" s="8"/>
    </row>
    <row r="3636" spans="2:6">
      <c r="B3636" s="44"/>
      <c r="D3636" s="8"/>
      <c r="E3636" s="8"/>
      <c r="F3636" s="8"/>
    </row>
    <row r="3637" spans="2:6">
      <c r="B3637" s="44"/>
      <c r="D3637" s="8"/>
      <c r="E3637" s="8"/>
      <c r="F3637" s="8"/>
    </row>
    <row r="3638" spans="2:6">
      <c r="B3638" s="44"/>
      <c r="D3638" s="8"/>
      <c r="E3638" s="8"/>
      <c r="F3638" s="8"/>
    </row>
    <row r="3639" spans="2:6">
      <c r="B3639" s="44"/>
      <c r="D3639" s="8"/>
      <c r="E3639" s="8"/>
      <c r="F3639" s="8"/>
    </row>
    <row r="3640" spans="2:6">
      <c r="B3640" s="44"/>
      <c r="D3640" s="8"/>
      <c r="E3640" s="8"/>
      <c r="F3640" s="8"/>
    </row>
    <row r="3641" spans="2:6">
      <c r="B3641" s="44"/>
      <c r="D3641" s="8"/>
      <c r="E3641" s="8"/>
      <c r="F3641" s="8"/>
    </row>
    <row r="3642" spans="2:6">
      <c r="B3642" s="44"/>
      <c r="D3642" s="8"/>
      <c r="E3642" s="8"/>
      <c r="F3642" s="8"/>
    </row>
    <row r="3643" spans="2:6">
      <c r="B3643" s="44"/>
      <c r="D3643" s="8"/>
      <c r="E3643" s="8"/>
      <c r="F3643" s="8"/>
    </row>
    <row r="3644" spans="2:6">
      <c r="B3644" s="44"/>
      <c r="D3644" s="8"/>
      <c r="E3644" s="8"/>
      <c r="F3644" s="8"/>
    </row>
    <row r="3645" spans="2:6">
      <c r="B3645" s="44"/>
      <c r="D3645" s="8"/>
      <c r="E3645" s="8"/>
      <c r="F3645" s="8"/>
    </row>
    <row r="3646" spans="2:6">
      <c r="B3646" s="44"/>
      <c r="D3646" s="8"/>
      <c r="E3646" s="8"/>
      <c r="F3646" s="8"/>
    </row>
    <row r="3647" spans="2:6">
      <c r="B3647" s="44"/>
      <c r="D3647" s="8"/>
      <c r="E3647" s="8"/>
      <c r="F3647" s="8"/>
    </row>
    <row r="3648" spans="2:6">
      <c r="B3648" s="44"/>
      <c r="D3648" s="8"/>
      <c r="E3648" s="8"/>
      <c r="F3648" s="8"/>
    </row>
    <row r="3649" spans="2:6">
      <c r="B3649" s="44"/>
      <c r="D3649" s="8"/>
      <c r="E3649" s="8"/>
      <c r="F3649" s="8"/>
    </row>
    <row r="3650" spans="2:6">
      <c r="B3650" s="44"/>
      <c r="D3650" s="8"/>
      <c r="E3650" s="8"/>
      <c r="F3650" s="8"/>
    </row>
    <row r="3651" spans="2:6">
      <c r="B3651" s="44"/>
      <c r="D3651" s="8"/>
      <c r="E3651" s="8"/>
      <c r="F3651" s="8"/>
    </row>
    <row r="3652" spans="2:6">
      <c r="B3652" s="44"/>
      <c r="D3652" s="8"/>
      <c r="E3652" s="8"/>
      <c r="F3652" s="8"/>
    </row>
    <row r="3653" spans="2:6">
      <c r="B3653" s="44"/>
      <c r="D3653" s="8"/>
      <c r="E3653" s="8"/>
      <c r="F3653" s="8"/>
    </row>
    <row r="3654" spans="2:6">
      <c r="B3654" s="44"/>
      <c r="D3654" s="8"/>
      <c r="E3654" s="8"/>
      <c r="F3654" s="8"/>
    </row>
    <row r="3655" spans="2:6">
      <c r="B3655" s="44"/>
      <c r="D3655" s="8"/>
      <c r="E3655" s="8"/>
      <c r="F3655" s="8"/>
    </row>
    <row r="3656" spans="2:6">
      <c r="B3656" s="44"/>
      <c r="D3656" s="8"/>
      <c r="E3656" s="8"/>
      <c r="F3656" s="8"/>
    </row>
    <row r="3657" spans="2:6">
      <c r="B3657" s="44"/>
      <c r="D3657" s="8"/>
      <c r="E3657" s="8"/>
      <c r="F3657" s="8"/>
    </row>
    <row r="3658" spans="2:6">
      <c r="B3658" s="44"/>
      <c r="D3658" s="8"/>
      <c r="E3658" s="8"/>
      <c r="F3658" s="8"/>
    </row>
    <row r="3659" spans="2:6">
      <c r="B3659" s="44"/>
      <c r="D3659" s="8"/>
      <c r="E3659" s="8"/>
      <c r="F3659" s="8"/>
    </row>
    <row r="3660" spans="2:6">
      <c r="B3660" s="44"/>
      <c r="D3660" s="8"/>
      <c r="E3660" s="8"/>
      <c r="F3660" s="8"/>
    </row>
    <row r="3661" spans="2:6">
      <c r="B3661" s="44"/>
      <c r="D3661" s="8"/>
      <c r="E3661" s="8"/>
      <c r="F3661" s="8"/>
    </row>
    <row r="3662" spans="2:6">
      <c r="B3662" s="44"/>
      <c r="D3662" s="8"/>
      <c r="E3662" s="8"/>
      <c r="F3662" s="8"/>
    </row>
    <row r="3663" spans="2:6">
      <c r="B3663" s="44"/>
      <c r="D3663" s="8"/>
      <c r="E3663" s="8"/>
      <c r="F3663" s="8"/>
    </row>
    <row r="3664" spans="2:6">
      <c r="B3664" s="44"/>
      <c r="D3664" s="8"/>
      <c r="E3664" s="8"/>
      <c r="F3664" s="8"/>
    </row>
    <row r="3665" spans="2:6">
      <c r="B3665" s="44"/>
      <c r="D3665" s="8"/>
      <c r="E3665" s="8"/>
      <c r="F3665" s="8"/>
    </row>
    <row r="3666" spans="2:6">
      <c r="B3666" s="44"/>
      <c r="D3666" s="8"/>
      <c r="E3666" s="8"/>
      <c r="F3666" s="8"/>
    </row>
    <row r="3667" spans="2:6">
      <c r="B3667" s="44"/>
      <c r="D3667" s="8"/>
      <c r="E3667" s="8"/>
      <c r="F3667" s="8"/>
    </row>
    <row r="3668" spans="2:6">
      <c r="B3668" s="44"/>
      <c r="D3668" s="8"/>
      <c r="E3668" s="8"/>
      <c r="F3668" s="8"/>
    </row>
    <row r="3669" spans="2:6">
      <c r="B3669" s="44"/>
      <c r="D3669" s="8"/>
      <c r="E3669" s="8"/>
      <c r="F3669" s="8"/>
    </row>
    <row r="3670" spans="2:6">
      <c r="B3670" s="44"/>
      <c r="D3670" s="8"/>
      <c r="E3670" s="8"/>
      <c r="F3670" s="8"/>
    </row>
    <row r="3671" spans="2:6">
      <c r="B3671" s="44"/>
      <c r="D3671" s="8"/>
      <c r="E3671" s="8"/>
      <c r="F3671" s="8"/>
    </row>
    <row r="3672" spans="2:6">
      <c r="B3672" s="44"/>
      <c r="D3672" s="8"/>
      <c r="E3672" s="8"/>
      <c r="F3672" s="8"/>
    </row>
    <row r="3673" spans="2:6">
      <c r="B3673" s="44"/>
      <c r="D3673" s="8"/>
      <c r="E3673" s="8"/>
      <c r="F3673" s="8"/>
    </row>
    <row r="3674" spans="2:6">
      <c r="B3674" s="44"/>
      <c r="D3674" s="8"/>
      <c r="E3674" s="8"/>
      <c r="F3674" s="8"/>
    </row>
    <row r="3675" spans="2:6">
      <c r="B3675" s="44"/>
      <c r="D3675" s="8"/>
      <c r="E3675" s="8"/>
      <c r="F3675" s="8"/>
    </row>
    <row r="3676" spans="2:6">
      <c r="B3676" s="44"/>
      <c r="D3676" s="8"/>
      <c r="E3676" s="8"/>
      <c r="F3676" s="8"/>
    </row>
    <row r="3677" spans="2:6">
      <c r="B3677" s="44"/>
      <c r="D3677" s="8"/>
      <c r="E3677" s="8"/>
      <c r="F3677" s="8"/>
    </row>
    <row r="3678" spans="2:6">
      <c r="B3678" s="44"/>
      <c r="D3678" s="8"/>
      <c r="E3678" s="8"/>
      <c r="F3678" s="8"/>
    </row>
    <row r="3679" spans="2:6">
      <c r="B3679" s="44"/>
      <c r="D3679" s="8"/>
      <c r="E3679" s="8"/>
      <c r="F3679" s="8"/>
    </row>
    <row r="3680" spans="2:6">
      <c r="B3680" s="44"/>
      <c r="D3680" s="8"/>
      <c r="E3680" s="8"/>
      <c r="F3680" s="8"/>
    </row>
    <row r="3681" spans="2:6">
      <c r="B3681" s="44"/>
      <c r="D3681" s="8"/>
      <c r="E3681" s="8"/>
      <c r="F3681" s="8"/>
    </row>
    <row r="3682" spans="2:6">
      <c r="B3682" s="44"/>
      <c r="D3682" s="8"/>
      <c r="E3682" s="8"/>
      <c r="F3682" s="8"/>
    </row>
    <row r="3683" spans="2:6">
      <c r="B3683" s="44"/>
      <c r="D3683" s="8"/>
      <c r="E3683" s="8"/>
      <c r="F3683" s="8"/>
    </row>
    <row r="3684" spans="2:6">
      <c r="B3684" s="44"/>
      <c r="D3684" s="8"/>
      <c r="E3684" s="8"/>
      <c r="F3684" s="8"/>
    </row>
    <row r="3685" spans="2:6">
      <c r="B3685" s="44"/>
      <c r="D3685" s="8"/>
      <c r="E3685" s="8"/>
      <c r="F3685" s="8"/>
    </row>
    <row r="3686" spans="2:6">
      <c r="B3686" s="44"/>
      <c r="D3686" s="8"/>
      <c r="E3686" s="8"/>
      <c r="F3686" s="8"/>
    </row>
    <row r="3687" spans="2:6">
      <c r="B3687" s="44"/>
      <c r="D3687" s="8"/>
      <c r="E3687" s="8"/>
      <c r="F3687" s="8"/>
    </row>
    <row r="3688" spans="2:6">
      <c r="B3688" s="44"/>
      <c r="D3688" s="8"/>
      <c r="E3688" s="8"/>
      <c r="F3688" s="8"/>
    </row>
    <row r="3689" spans="2:6">
      <c r="B3689" s="44"/>
      <c r="D3689" s="8"/>
      <c r="E3689" s="8"/>
      <c r="F3689" s="8"/>
    </row>
    <row r="3690" spans="2:6">
      <c r="B3690" s="44"/>
      <c r="D3690" s="8"/>
      <c r="E3690" s="8"/>
      <c r="F3690" s="8"/>
    </row>
    <row r="3691" spans="2:6">
      <c r="B3691" s="44"/>
      <c r="D3691" s="8"/>
      <c r="E3691" s="8"/>
      <c r="F3691" s="8"/>
    </row>
    <row r="3692" spans="2:6">
      <c r="B3692" s="44"/>
      <c r="D3692" s="8"/>
      <c r="E3692" s="8"/>
      <c r="F3692" s="8"/>
    </row>
    <row r="3693" spans="2:6">
      <c r="B3693" s="44"/>
      <c r="D3693" s="8"/>
      <c r="E3693" s="8"/>
      <c r="F3693" s="8"/>
    </row>
    <row r="3694" spans="2:6">
      <c r="B3694" s="44"/>
      <c r="D3694" s="8"/>
      <c r="E3694" s="8"/>
      <c r="F3694" s="8"/>
    </row>
    <row r="3695" spans="2:6">
      <c r="B3695" s="44"/>
      <c r="D3695" s="8"/>
      <c r="E3695" s="8"/>
      <c r="F3695" s="8"/>
    </row>
    <row r="3696" spans="2:6">
      <c r="B3696" s="44"/>
      <c r="D3696" s="8"/>
      <c r="E3696" s="8"/>
      <c r="F3696" s="8"/>
    </row>
    <row r="3697" spans="2:6">
      <c r="B3697" s="44"/>
      <c r="D3697" s="8"/>
      <c r="E3697" s="8"/>
      <c r="F3697" s="8"/>
    </row>
    <row r="3698" spans="2:6">
      <c r="B3698" s="44"/>
      <c r="D3698" s="8"/>
      <c r="E3698" s="8"/>
      <c r="F3698" s="8"/>
    </row>
    <row r="3699" spans="2:6">
      <c r="B3699" s="44"/>
      <c r="D3699" s="8"/>
      <c r="E3699" s="8"/>
      <c r="F3699" s="8"/>
    </row>
    <row r="3700" spans="2:6">
      <c r="B3700" s="44"/>
      <c r="D3700" s="8"/>
      <c r="E3700" s="8"/>
      <c r="F3700" s="8"/>
    </row>
    <row r="3701" spans="2:6">
      <c r="B3701" s="44"/>
      <c r="D3701" s="8"/>
      <c r="E3701" s="8"/>
      <c r="F3701" s="8"/>
    </row>
    <row r="3702" spans="2:6">
      <c r="B3702" s="44"/>
      <c r="D3702" s="8"/>
      <c r="E3702" s="8"/>
      <c r="F3702" s="8"/>
    </row>
    <row r="3703" spans="2:6">
      <c r="B3703" s="44"/>
      <c r="D3703" s="8"/>
      <c r="E3703" s="8"/>
      <c r="F3703" s="8"/>
    </row>
    <row r="3704" spans="2:6">
      <c r="B3704" s="44"/>
      <c r="D3704" s="8"/>
      <c r="E3704" s="8"/>
      <c r="F3704" s="8"/>
    </row>
    <row r="3705" spans="2:6">
      <c r="B3705" s="44"/>
      <c r="D3705" s="8"/>
      <c r="E3705" s="8"/>
      <c r="F3705" s="8"/>
    </row>
    <row r="3706" spans="2:6">
      <c r="B3706" s="44"/>
      <c r="D3706" s="8"/>
      <c r="E3706" s="8"/>
      <c r="F3706" s="8"/>
    </row>
    <row r="3707" spans="2:6">
      <c r="B3707" s="44"/>
      <c r="D3707" s="8"/>
      <c r="E3707" s="8"/>
      <c r="F3707" s="8"/>
    </row>
    <row r="3708" spans="2:6">
      <c r="B3708" s="44"/>
      <c r="D3708" s="8"/>
      <c r="E3708" s="8"/>
      <c r="F3708" s="8"/>
    </row>
    <row r="3709" spans="2:6">
      <c r="B3709" s="44"/>
      <c r="D3709" s="8"/>
      <c r="E3709" s="8"/>
      <c r="F3709" s="8"/>
    </row>
    <row r="3710" spans="2:6">
      <c r="B3710" s="44"/>
      <c r="D3710" s="8"/>
      <c r="E3710" s="8"/>
      <c r="F3710" s="8"/>
    </row>
    <row r="3711" spans="2:6">
      <c r="B3711" s="44"/>
      <c r="D3711" s="8"/>
      <c r="E3711" s="8"/>
      <c r="F3711" s="8"/>
    </row>
    <row r="3712" spans="2:6">
      <c r="B3712" s="44"/>
      <c r="D3712" s="8"/>
      <c r="E3712" s="8"/>
      <c r="F3712" s="8"/>
    </row>
    <row r="3713" spans="2:6">
      <c r="B3713" s="44"/>
      <c r="D3713" s="8"/>
      <c r="E3713" s="8"/>
      <c r="F3713" s="8"/>
    </row>
    <row r="3714" spans="2:6">
      <c r="B3714" s="44"/>
      <c r="D3714" s="8"/>
      <c r="E3714" s="8"/>
      <c r="F3714" s="8"/>
    </row>
    <row r="3715" spans="2:6">
      <c r="B3715" s="44"/>
      <c r="D3715" s="8"/>
      <c r="E3715" s="8"/>
      <c r="F3715" s="8"/>
    </row>
    <row r="3716" spans="2:6">
      <c r="B3716" s="44"/>
      <c r="D3716" s="8"/>
      <c r="E3716" s="8"/>
      <c r="F3716" s="8"/>
    </row>
    <row r="3717" spans="2:6">
      <c r="B3717" s="44"/>
      <c r="D3717" s="8"/>
      <c r="E3717" s="8"/>
      <c r="F3717" s="8"/>
    </row>
    <row r="3718" spans="2:6">
      <c r="B3718" s="44"/>
      <c r="D3718" s="8"/>
      <c r="E3718" s="8"/>
      <c r="F3718" s="8"/>
    </row>
    <row r="3719" spans="2:6">
      <c r="B3719" s="44"/>
      <c r="D3719" s="8"/>
      <c r="E3719" s="8"/>
      <c r="F3719" s="8"/>
    </row>
    <row r="3720" spans="2:6">
      <c r="B3720" s="44"/>
      <c r="D3720" s="8"/>
      <c r="E3720" s="8"/>
      <c r="F3720" s="8"/>
    </row>
    <row r="3721" spans="2:6">
      <c r="B3721" s="44"/>
      <c r="D3721" s="8"/>
      <c r="E3721" s="8"/>
      <c r="F3721" s="8"/>
    </row>
    <row r="3722" spans="2:6">
      <c r="B3722" s="44"/>
      <c r="D3722" s="8"/>
      <c r="E3722" s="8"/>
      <c r="F3722" s="8"/>
    </row>
    <row r="3723" spans="2:6">
      <c r="B3723" s="44"/>
      <c r="D3723" s="8"/>
      <c r="E3723" s="8"/>
      <c r="F3723" s="8"/>
    </row>
    <row r="3724" spans="2:6">
      <c r="B3724" s="44"/>
      <c r="D3724" s="8"/>
      <c r="E3724" s="8"/>
      <c r="F3724" s="8"/>
    </row>
    <row r="3725" spans="2:6">
      <c r="B3725" s="44"/>
      <c r="D3725" s="8"/>
      <c r="E3725" s="8"/>
      <c r="F3725" s="8"/>
    </row>
    <row r="3726" spans="2:6">
      <c r="B3726" s="44"/>
      <c r="D3726" s="8"/>
      <c r="E3726" s="8"/>
      <c r="F3726" s="8"/>
    </row>
    <row r="3727" spans="2:6">
      <c r="B3727" s="44"/>
      <c r="D3727" s="8"/>
      <c r="E3727" s="8"/>
      <c r="F3727" s="8"/>
    </row>
    <row r="3728" spans="2:6">
      <c r="B3728" s="44"/>
      <c r="D3728" s="8"/>
      <c r="E3728" s="8"/>
      <c r="F3728" s="8"/>
    </row>
    <row r="3729" spans="2:6">
      <c r="B3729" s="44"/>
      <c r="D3729" s="8"/>
      <c r="E3729" s="8"/>
      <c r="F3729" s="8"/>
    </row>
    <row r="3730" spans="2:6">
      <c r="B3730" s="44"/>
      <c r="D3730" s="8"/>
      <c r="E3730" s="8"/>
      <c r="F3730" s="8"/>
    </row>
    <row r="3731" spans="2:6">
      <c r="B3731" s="44"/>
      <c r="D3731" s="8"/>
      <c r="E3731" s="8"/>
      <c r="F3731" s="8"/>
    </row>
    <row r="3732" spans="2:6">
      <c r="B3732" s="44"/>
      <c r="D3732" s="8"/>
      <c r="E3732" s="8"/>
      <c r="F3732" s="8"/>
    </row>
    <row r="3733" spans="2:6">
      <c r="B3733" s="44"/>
      <c r="D3733" s="8"/>
      <c r="E3733" s="8"/>
      <c r="F3733" s="8"/>
    </row>
    <row r="3734" spans="2:6">
      <c r="B3734" s="44"/>
      <c r="D3734" s="8"/>
      <c r="E3734" s="8"/>
      <c r="F3734" s="8"/>
    </row>
    <row r="3735" spans="2:6">
      <c r="B3735" s="44"/>
      <c r="D3735" s="8"/>
      <c r="E3735" s="8"/>
      <c r="F3735" s="8"/>
    </row>
    <row r="3736" spans="2:6">
      <c r="B3736" s="44"/>
      <c r="D3736" s="8"/>
      <c r="E3736" s="8"/>
      <c r="F3736" s="8"/>
    </row>
    <row r="3737" spans="2:6">
      <c r="B3737" s="44"/>
      <c r="D3737" s="8"/>
      <c r="E3737" s="8"/>
      <c r="F3737" s="8"/>
    </row>
    <row r="3738" spans="2:6">
      <c r="B3738" s="44"/>
      <c r="D3738" s="8"/>
      <c r="E3738" s="8"/>
      <c r="F3738" s="8"/>
    </row>
    <row r="3739" spans="2:6">
      <c r="B3739" s="44"/>
      <c r="D3739" s="8"/>
      <c r="E3739" s="8"/>
      <c r="F3739" s="8"/>
    </row>
    <row r="3740" spans="2:6">
      <c r="B3740" s="44"/>
      <c r="D3740" s="8"/>
      <c r="E3740" s="8"/>
      <c r="F3740" s="8"/>
    </row>
    <row r="3741" spans="2:6">
      <c r="B3741" s="44"/>
      <c r="D3741" s="8"/>
      <c r="E3741" s="8"/>
      <c r="F3741" s="8"/>
    </row>
    <row r="3742" spans="2:6">
      <c r="B3742" s="44"/>
      <c r="D3742" s="8"/>
      <c r="E3742" s="8"/>
      <c r="F3742" s="8"/>
    </row>
    <row r="3743" spans="2:6">
      <c r="B3743" s="44"/>
      <c r="D3743" s="8"/>
      <c r="E3743" s="8"/>
      <c r="F3743" s="8"/>
    </row>
    <row r="3744" spans="2:6">
      <c r="B3744" s="44"/>
      <c r="D3744" s="8"/>
      <c r="E3744" s="8"/>
      <c r="F3744" s="8"/>
    </row>
    <row r="3745" spans="2:6">
      <c r="B3745" s="44"/>
      <c r="D3745" s="8"/>
      <c r="E3745" s="8"/>
      <c r="F3745" s="8"/>
    </row>
    <row r="3746" spans="2:6">
      <c r="B3746" s="44"/>
      <c r="D3746" s="8"/>
      <c r="E3746" s="8"/>
      <c r="F3746" s="8"/>
    </row>
    <row r="3747" spans="2:6">
      <c r="B3747" s="44"/>
      <c r="D3747" s="8"/>
      <c r="E3747" s="8"/>
      <c r="F3747" s="8"/>
    </row>
    <row r="3748" spans="2:6">
      <c r="B3748" s="44"/>
      <c r="D3748" s="8"/>
      <c r="E3748" s="8"/>
      <c r="F3748" s="8"/>
    </row>
    <row r="3749" spans="2:6">
      <c r="B3749" s="44"/>
      <c r="D3749" s="8"/>
      <c r="E3749" s="8"/>
      <c r="F3749" s="8"/>
    </row>
    <row r="3750" spans="2:6">
      <c r="B3750" s="44"/>
      <c r="D3750" s="8"/>
      <c r="E3750" s="8"/>
      <c r="F3750" s="8"/>
    </row>
    <row r="3751" spans="2:6">
      <c r="B3751" s="44"/>
      <c r="D3751" s="8"/>
      <c r="E3751" s="8"/>
      <c r="F3751" s="8"/>
    </row>
    <row r="3752" spans="2:6">
      <c r="B3752" s="44"/>
      <c r="D3752" s="8"/>
      <c r="E3752" s="8"/>
      <c r="F3752" s="8"/>
    </row>
    <row r="3753" spans="2:6">
      <c r="B3753" s="44"/>
      <c r="D3753" s="8"/>
      <c r="E3753" s="8"/>
      <c r="F3753" s="8"/>
    </row>
    <row r="3754" spans="2:6">
      <c r="B3754" s="44"/>
      <c r="D3754" s="8"/>
      <c r="E3754" s="8"/>
      <c r="F3754" s="8"/>
    </row>
    <row r="3755" spans="2:6">
      <c r="B3755" s="44"/>
      <c r="D3755" s="8"/>
      <c r="E3755" s="8"/>
      <c r="F3755" s="8"/>
    </row>
    <row r="3756" spans="2:6">
      <c r="B3756" s="44"/>
      <c r="D3756" s="8"/>
      <c r="E3756" s="8"/>
      <c r="F3756" s="8"/>
    </row>
    <row r="3757" spans="2:6">
      <c r="B3757" s="44"/>
      <c r="D3757" s="8"/>
      <c r="E3757" s="8"/>
      <c r="F3757" s="8"/>
    </row>
    <row r="3758" spans="2:6">
      <c r="B3758" s="44"/>
      <c r="D3758" s="8"/>
      <c r="E3758" s="8"/>
      <c r="F3758" s="8"/>
    </row>
    <row r="3759" spans="2:6">
      <c r="B3759" s="44"/>
      <c r="D3759" s="8"/>
      <c r="E3759" s="8"/>
      <c r="F3759" s="8"/>
    </row>
    <row r="3760" spans="2:6">
      <c r="B3760" s="44"/>
      <c r="D3760" s="8"/>
      <c r="E3760" s="8"/>
      <c r="F3760" s="8"/>
    </row>
    <row r="3761" spans="2:6">
      <c r="B3761" s="44"/>
      <c r="D3761" s="8"/>
      <c r="E3761" s="8"/>
      <c r="F3761" s="8"/>
    </row>
    <row r="3762" spans="2:6">
      <c r="B3762" s="44"/>
      <c r="D3762" s="8"/>
      <c r="E3762" s="8"/>
      <c r="F3762" s="8"/>
    </row>
    <row r="3763" spans="2:6">
      <c r="B3763" s="44"/>
      <c r="D3763" s="8"/>
      <c r="E3763" s="8"/>
      <c r="F3763" s="8"/>
    </row>
    <row r="3764" spans="2:6">
      <c r="B3764" s="44"/>
      <c r="D3764" s="8"/>
      <c r="E3764" s="8"/>
      <c r="F3764" s="8"/>
    </row>
    <row r="3765" spans="2:6">
      <c r="B3765" s="44"/>
      <c r="D3765" s="8"/>
      <c r="E3765" s="8"/>
      <c r="F3765" s="8"/>
    </row>
    <row r="3766" spans="2:6">
      <c r="B3766" s="44"/>
      <c r="D3766" s="8"/>
      <c r="E3766" s="8"/>
      <c r="F3766" s="8"/>
    </row>
    <row r="3767" spans="2:6">
      <c r="B3767" s="44"/>
      <c r="D3767" s="8"/>
      <c r="E3767" s="8"/>
      <c r="F3767" s="8"/>
    </row>
    <row r="3768" spans="2:6">
      <c r="B3768" s="44"/>
      <c r="D3768" s="8"/>
      <c r="E3768" s="8"/>
      <c r="F3768" s="8"/>
    </row>
    <row r="3769" spans="2:6">
      <c r="B3769" s="44"/>
      <c r="D3769" s="8"/>
      <c r="E3769" s="8"/>
      <c r="F3769" s="8"/>
    </row>
    <row r="3770" spans="2:6">
      <c r="B3770" s="44"/>
      <c r="D3770" s="8"/>
      <c r="E3770" s="8"/>
      <c r="F3770" s="8"/>
    </row>
    <row r="3771" spans="2:6">
      <c r="B3771" s="44"/>
      <c r="D3771" s="8"/>
      <c r="E3771" s="8"/>
      <c r="F3771" s="8"/>
    </row>
    <row r="3772" spans="2:6">
      <c r="B3772" s="44"/>
      <c r="D3772" s="8"/>
      <c r="E3772" s="8"/>
      <c r="F3772" s="8"/>
    </row>
    <row r="3773" spans="2:6">
      <c r="B3773" s="44"/>
      <c r="D3773" s="8"/>
      <c r="E3773" s="8"/>
      <c r="F3773" s="8"/>
    </row>
    <row r="3774" spans="2:6">
      <c r="B3774" s="44"/>
      <c r="D3774" s="8"/>
      <c r="E3774" s="8"/>
      <c r="F3774" s="8"/>
    </row>
    <row r="3775" spans="2:6">
      <c r="B3775" s="44"/>
      <c r="D3775" s="8"/>
      <c r="E3775" s="8"/>
      <c r="F3775" s="8"/>
    </row>
    <row r="3776" spans="2:6">
      <c r="B3776" s="44"/>
      <c r="D3776" s="8"/>
      <c r="E3776" s="8"/>
      <c r="F3776" s="8"/>
    </row>
    <row r="3777" spans="2:6">
      <c r="B3777" s="44"/>
      <c r="D3777" s="8"/>
      <c r="E3777" s="8"/>
      <c r="F3777" s="8"/>
    </row>
    <row r="3778" spans="2:6">
      <c r="B3778" s="44"/>
      <c r="D3778" s="8"/>
      <c r="E3778" s="8"/>
      <c r="F3778" s="8"/>
    </row>
    <row r="3779" spans="2:6">
      <c r="B3779" s="44"/>
      <c r="D3779" s="8"/>
      <c r="E3779" s="8"/>
      <c r="F3779" s="8"/>
    </row>
    <row r="3780" spans="2:6">
      <c r="B3780" s="44"/>
      <c r="D3780" s="8"/>
      <c r="E3780" s="8"/>
      <c r="F3780" s="8"/>
    </row>
    <row r="3781" spans="2:6">
      <c r="B3781" s="44"/>
      <c r="D3781" s="8"/>
      <c r="E3781" s="8"/>
      <c r="F3781" s="8"/>
    </row>
    <row r="3782" spans="2:6">
      <c r="B3782" s="44"/>
      <c r="D3782" s="8"/>
      <c r="E3782" s="8"/>
      <c r="F3782" s="8"/>
    </row>
    <row r="3783" spans="2:6">
      <c r="B3783" s="44"/>
      <c r="D3783" s="8"/>
      <c r="E3783" s="8"/>
      <c r="F3783" s="8"/>
    </row>
    <row r="3784" spans="2:6">
      <c r="B3784" s="44"/>
      <c r="D3784" s="8"/>
      <c r="E3784" s="8"/>
      <c r="F3784" s="8"/>
    </row>
    <row r="3785" spans="2:6">
      <c r="B3785" s="44"/>
      <c r="D3785" s="8"/>
      <c r="E3785" s="8"/>
      <c r="F3785" s="8"/>
    </row>
    <row r="3786" spans="2:6">
      <c r="B3786" s="44"/>
      <c r="D3786" s="8"/>
      <c r="E3786" s="8"/>
      <c r="F3786" s="8"/>
    </row>
    <row r="3787" spans="2:6">
      <c r="B3787" s="44"/>
      <c r="D3787" s="8"/>
      <c r="E3787" s="8"/>
      <c r="F3787" s="8"/>
    </row>
    <row r="3788" spans="2:6">
      <c r="B3788" s="44"/>
      <c r="D3788" s="8"/>
      <c r="E3788" s="8"/>
      <c r="F3788" s="8"/>
    </row>
    <row r="3789" spans="2:6">
      <c r="B3789" s="44"/>
      <c r="D3789" s="8"/>
      <c r="E3789" s="8"/>
      <c r="F3789" s="8"/>
    </row>
    <row r="3790" spans="2:6">
      <c r="B3790" s="44"/>
      <c r="D3790" s="8"/>
      <c r="E3790" s="8"/>
      <c r="F3790" s="8"/>
    </row>
    <row r="3791" spans="2:6">
      <c r="B3791" s="44"/>
      <c r="D3791" s="8"/>
      <c r="E3791" s="8"/>
      <c r="F3791" s="8"/>
    </row>
    <row r="3792" spans="2:6">
      <c r="B3792" s="44"/>
      <c r="D3792" s="8"/>
      <c r="E3792" s="8"/>
      <c r="F3792" s="8"/>
    </row>
    <row r="3793" spans="2:6">
      <c r="B3793" s="44"/>
      <c r="D3793" s="8"/>
      <c r="E3793" s="8"/>
      <c r="F3793" s="8"/>
    </row>
    <row r="3794" spans="2:6">
      <c r="B3794" s="44"/>
      <c r="D3794" s="8"/>
      <c r="E3794" s="8"/>
      <c r="F3794" s="8"/>
    </row>
    <row r="3795" spans="2:6">
      <c r="B3795" s="44"/>
      <c r="D3795" s="8"/>
      <c r="E3795" s="8"/>
      <c r="F3795" s="8"/>
    </row>
    <row r="3796" spans="2:6">
      <c r="B3796" s="44"/>
      <c r="D3796" s="8"/>
      <c r="E3796" s="8"/>
      <c r="F3796" s="8"/>
    </row>
    <row r="3797" spans="2:6">
      <c r="B3797" s="44"/>
      <c r="D3797" s="8"/>
      <c r="E3797" s="8"/>
      <c r="F3797" s="8"/>
    </row>
    <row r="3798" spans="2:6">
      <c r="B3798" s="44"/>
      <c r="D3798" s="8"/>
      <c r="E3798" s="8"/>
      <c r="F3798" s="8"/>
    </row>
    <row r="3799" spans="2:6">
      <c r="B3799" s="44"/>
      <c r="D3799" s="8"/>
      <c r="E3799" s="8"/>
      <c r="F3799" s="8"/>
    </row>
    <row r="3800" spans="2:6">
      <c r="B3800" s="44"/>
      <c r="D3800" s="8"/>
      <c r="E3800" s="8"/>
      <c r="F3800" s="8"/>
    </row>
    <row r="3801" spans="2:6">
      <c r="B3801" s="44"/>
      <c r="D3801" s="8"/>
      <c r="E3801" s="8"/>
      <c r="F3801" s="8"/>
    </row>
    <row r="3802" spans="2:6">
      <c r="B3802" s="44"/>
      <c r="D3802" s="8"/>
      <c r="E3802" s="8"/>
      <c r="F3802" s="8"/>
    </row>
    <row r="3803" spans="2:6">
      <c r="B3803" s="44"/>
      <c r="D3803" s="8"/>
      <c r="E3803" s="8"/>
      <c r="F3803" s="8"/>
    </row>
    <row r="3804" spans="2:6">
      <c r="B3804" s="44"/>
      <c r="D3804" s="8"/>
      <c r="E3804" s="8"/>
      <c r="F3804" s="8"/>
    </row>
    <row r="3805" spans="2:6">
      <c r="B3805" s="44"/>
      <c r="D3805" s="8"/>
      <c r="E3805" s="8"/>
      <c r="F3805" s="8"/>
    </row>
    <row r="3806" spans="2:6">
      <c r="B3806" s="44"/>
      <c r="D3806" s="8"/>
      <c r="E3806" s="8"/>
      <c r="F3806" s="8"/>
    </row>
    <row r="3807" spans="2:6">
      <c r="B3807" s="44"/>
      <c r="D3807" s="8"/>
      <c r="E3807" s="8"/>
      <c r="F3807" s="8"/>
    </row>
    <row r="3808" spans="2:6">
      <c r="B3808" s="44"/>
      <c r="D3808" s="8"/>
      <c r="E3808" s="8"/>
      <c r="F3808" s="8"/>
    </row>
    <row r="3809" spans="2:6">
      <c r="B3809" s="44"/>
      <c r="D3809" s="8"/>
      <c r="E3809" s="8"/>
      <c r="F3809" s="8"/>
    </row>
    <row r="3810" spans="2:6">
      <c r="B3810" s="44"/>
      <c r="D3810" s="8"/>
      <c r="E3810" s="8"/>
      <c r="F3810" s="8"/>
    </row>
    <row r="3811" spans="2:6">
      <c r="B3811" s="44"/>
      <c r="D3811" s="8"/>
      <c r="E3811" s="8"/>
      <c r="F3811" s="8"/>
    </row>
    <row r="3812" spans="2:6">
      <c r="B3812" s="44"/>
      <c r="D3812" s="8"/>
      <c r="E3812" s="8"/>
      <c r="F3812" s="8"/>
    </row>
    <row r="3813" spans="2:6">
      <c r="B3813" s="44"/>
      <c r="D3813" s="8"/>
      <c r="E3813" s="8"/>
      <c r="F3813" s="8"/>
    </row>
    <row r="3814" spans="2:6">
      <c r="B3814" s="44"/>
      <c r="D3814" s="8"/>
      <c r="E3814" s="8"/>
      <c r="F3814" s="8"/>
    </row>
    <row r="3815" spans="2:6">
      <c r="B3815" s="44"/>
      <c r="D3815" s="8"/>
      <c r="E3815" s="8"/>
      <c r="F3815" s="8"/>
    </row>
    <row r="3816" spans="2:6">
      <c r="B3816" s="44"/>
      <c r="D3816" s="8"/>
      <c r="E3816" s="8"/>
      <c r="F3816" s="8"/>
    </row>
    <row r="3817" spans="2:6">
      <c r="B3817" s="44"/>
      <c r="D3817" s="8"/>
      <c r="E3817" s="8"/>
      <c r="F3817" s="8"/>
    </row>
    <row r="3818" spans="2:6">
      <c r="B3818" s="44"/>
      <c r="D3818" s="8"/>
      <c r="E3818" s="8"/>
      <c r="F3818" s="8"/>
    </row>
    <row r="3819" spans="2:6">
      <c r="B3819" s="44"/>
      <c r="D3819" s="8"/>
      <c r="E3819" s="8"/>
      <c r="F3819" s="8"/>
    </row>
    <row r="3820" spans="2:6">
      <c r="B3820" s="44"/>
      <c r="D3820" s="8"/>
      <c r="E3820" s="8"/>
      <c r="F3820" s="8"/>
    </row>
    <row r="3821" spans="2:6">
      <c r="B3821" s="44"/>
      <c r="D3821" s="8"/>
      <c r="E3821" s="8"/>
      <c r="F3821" s="8"/>
    </row>
    <row r="3822" spans="2:6">
      <c r="B3822" s="44"/>
      <c r="D3822" s="8"/>
      <c r="E3822" s="8"/>
      <c r="F3822" s="8"/>
    </row>
    <row r="3823" spans="2:6">
      <c r="B3823" s="44"/>
      <c r="D3823" s="8"/>
      <c r="E3823" s="8"/>
      <c r="F3823" s="8"/>
    </row>
    <row r="3824" spans="2:6">
      <c r="B3824" s="44"/>
      <c r="D3824" s="8"/>
      <c r="E3824" s="8"/>
      <c r="F3824" s="8"/>
    </row>
    <row r="3825" spans="2:6">
      <c r="B3825" s="44"/>
      <c r="D3825" s="8"/>
      <c r="E3825" s="8"/>
      <c r="F3825" s="8"/>
    </row>
    <row r="3826" spans="2:6">
      <c r="B3826" s="44"/>
      <c r="D3826" s="8"/>
      <c r="E3826" s="8"/>
      <c r="F3826" s="8"/>
    </row>
    <row r="3827" spans="2:6">
      <c r="B3827" s="44"/>
      <c r="D3827" s="8"/>
      <c r="E3827" s="8"/>
      <c r="F3827" s="8"/>
    </row>
    <row r="3828" spans="2:6">
      <c r="B3828" s="44"/>
      <c r="D3828" s="8"/>
      <c r="E3828" s="8"/>
      <c r="F3828" s="8"/>
    </row>
    <row r="3829" spans="2:6">
      <c r="B3829" s="44"/>
      <c r="D3829" s="8"/>
      <c r="E3829" s="8"/>
      <c r="F3829" s="8"/>
    </row>
    <row r="3830" spans="2:6">
      <c r="B3830" s="44"/>
      <c r="D3830" s="8"/>
      <c r="E3830" s="8"/>
      <c r="F3830" s="8"/>
    </row>
    <row r="3831" spans="2:6">
      <c r="B3831" s="44"/>
      <c r="D3831" s="8"/>
      <c r="E3831" s="8"/>
      <c r="F3831" s="8"/>
    </row>
    <row r="3832" spans="2:6">
      <c r="B3832" s="44"/>
      <c r="D3832" s="8"/>
      <c r="E3832" s="8"/>
      <c r="F3832" s="8"/>
    </row>
    <row r="3833" spans="2:6">
      <c r="B3833" s="44"/>
      <c r="D3833" s="8"/>
      <c r="E3833" s="8"/>
      <c r="F3833" s="8"/>
    </row>
    <row r="3834" spans="2:6">
      <c r="B3834" s="44"/>
      <c r="D3834" s="8"/>
      <c r="E3834" s="8"/>
      <c r="F3834" s="8"/>
    </row>
    <row r="3835" spans="2:6">
      <c r="B3835" s="44"/>
      <c r="D3835" s="8"/>
      <c r="E3835" s="8"/>
      <c r="F3835" s="8"/>
    </row>
    <row r="3836" spans="2:6">
      <c r="B3836" s="44"/>
      <c r="D3836" s="8"/>
      <c r="E3836" s="8"/>
      <c r="F3836" s="8"/>
    </row>
    <row r="3837" spans="2:6">
      <c r="B3837" s="44"/>
      <c r="D3837" s="8"/>
      <c r="E3837" s="8"/>
      <c r="F3837" s="8"/>
    </row>
    <row r="3838" spans="2:6">
      <c r="B3838" s="44"/>
      <c r="D3838" s="8"/>
      <c r="E3838" s="8"/>
      <c r="F3838" s="8"/>
    </row>
    <row r="3839" spans="2:6">
      <c r="B3839" s="44"/>
      <c r="D3839" s="8"/>
      <c r="E3839" s="8"/>
      <c r="F3839" s="8"/>
    </row>
    <row r="3840" spans="2:6">
      <c r="B3840" s="44"/>
      <c r="D3840" s="8"/>
      <c r="E3840" s="8"/>
      <c r="F3840" s="8"/>
    </row>
    <row r="3841" spans="2:6">
      <c r="B3841" s="44"/>
      <c r="D3841" s="8"/>
      <c r="E3841" s="8"/>
      <c r="F3841" s="8"/>
    </row>
    <row r="3842" spans="2:6">
      <c r="B3842" s="44"/>
      <c r="D3842" s="8"/>
      <c r="E3842" s="8"/>
      <c r="F3842" s="8"/>
    </row>
    <row r="3843" spans="2:6">
      <c r="B3843" s="44"/>
      <c r="D3843" s="8"/>
      <c r="E3843" s="8"/>
      <c r="F3843" s="8"/>
    </row>
    <row r="3844" spans="2:6">
      <c r="B3844" s="44"/>
      <c r="D3844" s="8"/>
      <c r="E3844" s="8"/>
      <c r="F3844" s="8"/>
    </row>
    <row r="3845" spans="2:6">
      <c r="B3845" s="44"/>
      <c r="D3845" s="8"/>
      <c r="E3845" s="8"/>
      <c r="F3845" s="8"/>
    </row>
    <row r="3846" spans="2:6">
      <c r="B3846" s="44"/>
      <c r="D3846" s="8"/>
      <c r="E3846" s="8"/>
      <c r="F3846" s="8"/>
    </row>
    <row r="3847" spans="2:6">
      <c r="B3847" s="44"/>
      <c r="D3847" s="8"/>
      <c r="E3847" s="8"/>
      <c r="F3847" s="8"/>
    </row>
    <row r="3848" spans="2:6">
      <c r="B3848" s="44"/>
      <c r="D3848" s="8"/>
      <c r="E3848" s="8"/>
      <c r="F3848" s="8"/>
    </row>
    <row r="3849" spans="2:6">
      <c r="B3849" s="44"/>
      <c r="D3849" s="8"/>
      <c r="E3849" s="8"/>
      <c r="F3849" s="8"/>
    </row>
    <row r="3850" spans="2:6">
      <c r="B3850" s="44"/>
      <c r="D3850" s="8"/>
      <c r="E3850" s="8"/>
      <c r="F3850" s="8"/>
    </row>
    <row r="3851" spans="2:6">
      <c r="B3851" s="44"/>
      <c r="D3851" s="8"/>
      <c r="E3851" s="8"/>
      <c r="F3851" s="8"/>
    </row>
    <row r="3852" spans="2:6">
      <c r="B3852" s="44"/>
      <c r="D3852" s="8"/>
      <c r="E3852" s="8"/>
      <c r="F3852" s="8"/>
    </row>
    <row r="3853" spans="2:6">
      <c r="B3853" s="44"/>
      <c r="D3853" s="8"/>
      <c r="E3853" s="8"/>
      <c r="F3853" s="8"/>
    </row>
    <row r="3854" spans="2:6">
      <c r="B3854" s="44"/>
      <c r="D3854" s="8"/>
      <c r="E3854" s="8"/>
      <c r="F3854" s="8"/>
    </row>
    <row r="3855" spans="2:6">
      <c r="B3855" s="44"/>
      <c r="D3855" s="8"/>
      <c r="E3855" s="8"/>
      <c r="F3855" s="8"/>
    </row>
    <row r="3856" spans="2:6">
      <c r="B3856" s="44"/>
      <c r="D3856" s="8"/>
      <c r="E3856" s="8"/>
      <c r="F3856" s="8"/>
    </row>
    <row r="3857" spans="2:6">
      <c r="B3857" s="44"/>
      <c r="D3857" s="8"/>
      <c r="E3857" s="8"/>
      <c r="F3857" s="8"/>
    </row>
    <row r="3858" spans="2:6">
      <c r="B3858" s="44"/>
      <c r="D3858" s="8"/>
      <c r="E3858" s="8"/>
      <c r="F3858" s="8"/>
    </row>
    <row r="3859" spans="2:6">
      <c r="B3859" s="44"/>
      <c r="D3859" s="8"/>
      <c r="E3859" s="8"/>
      <c r="F3859" s="8"/>
    </row>
    <row r="3860" spans="2:6">
      <c r="B3860" s="44"/>
      <c r="D3860" s="8"/>
      <c r="E3860" s="8"/>
      <c r="F3860" s="8"/>
    </row>
    <row r="3861" spans="2:6">
      <c r="B3861" s="44"/>
      <c r="D3861" s="8"/>
      <c r="E3861" s="8"/>
      <c r="F3861" s="8"/>
    </row>
    <row r="3862" spans="2:6">
      <c r="B3862" s="44"/>
      <c r="D3862" s="8"/>
      <c r="E3862" s="8"/>
      <c r="F3862" s="8"/>
    </row>
    <row r="3863" spans="2:6">
      <c r="B3863" s="44"/>
      <c r="D3863" s="8"/>
      <c r="E3863" s="8"/>
      <c r="F3863" s="8"/>
    </row>
    <row r="3864" spans="2:6">
      <c r="B3864" s="44"/>
      <c r="D3864" s="8"/>
      <c r="E3864" s="8"/>
      <c r="F3864" s="8"/>
    </row>
    <row r="3865" spans="2:6">
      <c r="B3865" s="44"/>
      <c r="D3865" s="8"/>
      <c r="E3865" s="8"/>
      <c r="F3865" s="8"/>
    </row>
    <row r="3866" spans="2:6">
      <c r="B3866" s="44"/>
      <c r="D3866" s="8"/>
      <c r="E3866" s="8"/>
      <c r="F3866" s="8"/>
    </row>
    <row r="3867" spans="2:6">
      <c r="B3867" s="44"/>
      <c r="D3867" s="8"/>
      <c r="E3867" s="8"/>
      <c r="F3867" s="8"/>
    </row>
    <row r="3868" spans="2:6">
      <c r="B3868" s="44"/>
      <c r="D3868" s="8"/>
      <c r="E3868" s="8"/>
      <c r="F3868" s="8"/>
    </row>
    <row r="3869" spans="2:6">
      <c r="B3869" s="44"/>
      <c r="D3869" s="8"/>
      <c r="E3869" s="8"/>
      <c r="F3869" s="8"/>
    </row>
    <row r="3870" spans="2:6">
      <c r="B3870" s="44"/>
      <c r="D3870" s="8"/>
      <c r="E3870" s="8"/>
      <c r="F3870" s="8"/>
    </row>
    <row r="3871" spans="2:6">
      <c r="B3871" s="44"/>
      <c r="D3871" s="8"/>
      <c r="E3871" s="8"/>
      <c r="F3871" s="8"/>
    </row>
    <row r="3872" spans="2:6">
      <c r="B3872" s="44"/>
      <c r="D3872" s="8"/>
      <c r="E3872" s="8"/>
      <c r="F3872" s="8"/>
    </row>
    <row r="3873" spans="2:6">
      <c r="B3873" s="44"/>
      <c r="D3873" s="8"/>
      <c r="E3873" s="8"/>
      <c r="F3873" s="8"/>
    </row>
    <row r="3874" spans="2:6">
      <c r="B3874" s="44"/>
      <c r="D3874" s="8"/>
      <c r="E3874" s="8"/>
      <c r="F3874" s="8"/>
    </row>
    <row r="3875" spans="2:6">
      <c r="B3875" s="44"/>
      <c r="D3875" s="8"/>
      <c r="E3875" s="8"/>
      <c r="F3875" s="8"/>
    </row>
    <row r="3876" spans="2:6">
      <c r="B3876" s="44"/>
      <c r="D3876" s="8"/>
      <c r="E3876" s="8"/>
      <c r="F3876" s="8"/>
    </row>
    <row r="3877" spans="2:6">
      <c r="B3877" s="44"/>
      <c r="D3877" s="8"/>
      <c r="E3877" s="8"/>
      <c r="F3877" s="8"/>
    </row>
    <row r="3878" spans="2:6">
      <c r="B3878" s="44"/>
      <c r="D3878" s="8"/>
      <c r="E3878" s="8"/>
      <c r="F3878" s="8"/>
    </row>
    <row r="3879" spans="2:6">
      <c r="B3879" s="44"/>
      <c r="D3879" s="8"/>
      <c r="E3879" s="8"/>
      <c r="F3879" s="8"/>
    </row>
    <row r="3880" spans="2:6">
      <c r="B3880" s="44"/>
      <c r="D3880" s="8"/>
      <c r="E3880" s="8"/>
      <c r="F3880" s="8"/>
    </row>
    <row r="3881" spans="2:6">
      <c r="B3881" s="44"/>
      <c r="D3881" s="8"/>
      <c r="E3881" s="8"/>
      <c r="F3881" s="8"/>
    </row>
    <row r="3882" spans="2:6">
      <c r="B3882" s="44"/>
      <c r="D3882" s="8"/>
      <c r="E3882" s="8"/>
      <c r="F3882" s="8"/>
    </row>
    <row r="3883" spans="2:6">
      <c r="B3883" s="44"/>
      <c r="D3883" s="8"/>
      <c r="E3883" s="8"/>
      <c r="F3883" s="8"/>
    </row>
    <row r="3884" spans="2:6">
      <c r="B3884" s="44"/>
      <c r="D3884" s="8"/>
      <c r="E3884" s="8"/>
      <c r="F3884" s="8"/>
    </row>
    <row r="3885" spans="2:6">
      <c r="B3885" s="44"/>
      <c r="D3885" s="8"/>
      <c r="E3885" s="8"/>
      <c r="F3885" s="8"/>
    </row>
    <row r="3886" spans="2:6">
      <c r="B3886" s="44"/>
      <c r="D3886" s="8"/>
      <c r="E3886" s="8"/>
      <c r="F3886" s="8"/>
    </row>
    <row r="3887" spans="2:6">
      <c r="B3887" s="44"/>
      <c r="D3887" s="8"/>
      <c r="E3887" s="8"/>
      <c r="F3887" s="8"/>
    </row>
    <row r="3888" spans="2:6">
      <c r="B3888" s="44"/>
      <c r="D3888" s="8"/>
      <c r="E3888" s="8"/>
      <c r="F3888" s="8"/>
    </row>
    <row r="3889" spans="2:6">
      <c r="B3889" s="44"/>
      <c r="D3889" s="8"/>
      <c r="E3889" s="8"/>
      <c r="F3889" s="8"/>
    </row>
    <row r="3890" spans="2:6">
      <c r="B3890" s="44"/>
      <c r="D3890" s="8"/>
      <c r="E3890" s="8"/>
      <c r="F3890" s="8"/>
    </row>
    <row r="3891" spans="2:6">
      <c r="B3891" s="44"/>
      <c r="D3891" s="8"/>
      <c r="E3891" s="8"/>
      <c r="F3891" s="8"/>
    </row>
    <row r="3892" spans="2:6">
      <c r="B3892" s="44"/>
      <c r="D3892" s="8"/>
      <c r="E3892" s="8"/>
      <c r="F3892" s="8"/>
    </row>
    <row r="3893" spans="2:6">
      <c r="B3893" s="44"/>
      <c r="D3893" s="8"/>
      <c r="E3893" s="8"/>
      <c r="F3893" s="8"/>
    </row>
    <row r="3894" spans="2:6">
      <c r="B3894" s="44"/>
      <c r="D3894" s="8"/>
      <c r="E3894" s="8"/>
      <c r="F3894" s="8"/>
    </row>
    <row r="3895" spans="2:6">
      <c r="B3895" s="44"/>
      <c r="D3895" s="8"/>
      <c r="E3895" s="8"/>
      <c r="F3895" s="8"/>
    </row>
    <row r="3896" spans="2:6">
      <c r="B3896" s="44"/>
      <c r="D3896" s="8"/>
      <c r="E3896" s="8"/>
      <c r="F3896" s="8"/>
    </row>
    <row r="3897" spans="2:6">
      <c r="B3897" s="44"/>
      <c r="D3897" s="8"/>
      <c r="E3897" s="8"/>
      <c r="F3897" s="8"/>
    </row>
    <row r="3898" spans="2:6">
      <c r="B3898" s="44"/>
      <c r="D3898" s="8"/>
      <c r="E3898" s="8"/>
      <c r="F3898" s="8"/>
    </row>
    <row r="3899" spans="2:6">
      <c r="B3899" s="44"/>
      <c r="D3899" s="8"/>
      <c r="E3899" s="8"/>
      <c r="F3899" s="8"/>
    </row>
    <row r="3900" spans="2:6">
      <c r="B3900" s="44"/>
      <c r="D3900" s="8"/>
      <c r="E3900" s="8"/>
      <c r="F3900" s="8"/>
    </row>
    <row r="3901" spans="2:6">
      <c r="B3901" s="44"/>
      <c r="D3901" s="8"/>
      <c r="E3901" s="8"/>
      <c r="F3901" s="8"/>
    </row>
    <row r="3902" spans="2:6">
      <c r="B3902" s="44"/>
      <c r="D3902" s="8"/>
      <c r="E3902" s="8"/>
      <c r="F3902" s="8"/>
    </row>
    <row r="3903" spans="2:6">
      <c r="B3903" s="44"/>
      <c r="D3903" s="8"/>
      <c r="E3903" s="8"/>
      <c r="F3903" s="8"/>
    </row>
    <row r="3904" spans="2:6">
      <c r="B3904" s="44"/>
      <c r="D3904" s="8"/>
      <c r="E3904" s="8"/>
      <c r="F3904" s="8"/>
    </row>
    <row r="3905" spans="2:6">
      <c r="B3905" s="44"/>
      <c r="D3905" s="8"/>
      <c r="E3905" s="8"/>
      <c r="F3905" s="8"/>
    </row>
    <row r="3906" spans="2:6">
      <c r="B3906" s="44"/>
      <c r="D3906" s="8"/>
      <c r="E3906" s="8"/>
      <c r="F3906" s="8"/>
    </row>
    <row r="3907" spans="2:6">
      <c r="B3907" s="44"/>
      <c r="D3907" s="8"/>
      <c r="E3907" s="8"/>
      <c r="F3907" s="8"/>
    </row>
    <row r="3908" spans="2:6">
      <c r="B3908" s="44"/>
      <c r="D3908" s="8"/>
      <c r="E3908" s="8"/>
      <c r="F3908" s="8"/>
    </row>
    <row r="3909" spans="2:6">
      <c r="B3909" s="44"/>
      <c r="D3909" s="8"/>
      <c r="E3909" s="8"/>
      <c r="F3909" s="8"/>
    </row>
    <row r="3910" spans="2:6">
      <c r="B3910" s="44"/>
      <c r="D3910" s="8"/>
      <c r="E3910" s="8"/>
      <c r="F3910" s="8"/>
    </row>
    <row r="3911" spans="2:6">
      <c r="B3911" s="44"/>
      <c r="D3911" s="8"/>
      <c r="E3911" s="8"/>
      <c r="F3911" s="8"/>
    </row>
    <row r="3912" spans="2:6">
      <c r="B3912" s="44"/>
      <c r="D3912" s="8"/>
      <c r="E3912" s="8"/>
      <c r="F3912" s="8"/>
    </row>
    <row r="3913" spans="2:6">
      <c r="B3913" s="44"/>
      <c r="D3913" s="8"/>
      <c r="E3913" s="8"/>
      <c r="F3913" s="8"/>
    </row>
    <row r="3914" spans="2:6">
      <c r="B3914" s="44"/>
      <c r="D3914" s="8"/>
      <c r="E3914" s="8"/>
      <c r="F3914" s="8"/>
    </row>
    <row r="3915" spans="2:6">
      <c r="B3915" s="44"/>
      <c r="D3915" s="8"/>
      <c r="E3915" s="8"/>
      <c r="F3915" s="8"/>
    </row>
    <row r="3916" spans="2:6">
      <c r="B3916" s="44"/>
      <c r="D3916" s="8"/>
      <c r="E3916" s="8"/>
      <c r="F3916" s="8"/>
    </row>
    <row r="3917" spans="2:6">
      <c r="B3917" s="44"/>
      <c r="D3917" s="8"/>
      <c r="E3917" s="8"/>
      <c r="F3917" s="8"/>
    </row>
    <row r="3918" spans="2:6">
      <c r="B3918" s="44"/>
      <c r="D3918" s="8"/>
      <c r="E3918" s="8"/>
      <c r="F3918" s="8"/>
    </row>
    <row r="3919" spans="2:6">
      <c r="B3919" s="44"/>
      <c r="D3919" s="8"/>
      <c r="E3919" s="8"/>
      <c r="F3919" s="8"/>
    </row>
    <row r="3920" spans="2:6">
      <c r="B3920" s="44"/>
      <c r="D3920" s="8"/>
      <c r="E3920" s="8"/>
      <c r="F3920" s="8"/>
    </row>
    <row r="3921" spans="2:6">
      <c r="B3921" s="44"/>
      <c r="D3921" s="8"/>
      <c r="E3921" s="8"/>
      <c r="F3921" s="8"/>
    </row>
    <row r="3922" spans="2:6">
      <c r="B3922" s="44"/>
      <c r="D3922" s="8"/>
      <c r="E3922" s="8"/>
      <c r="F3922" s="8"/>
    </row>
    <row r="3923" spans="2:6">
      <c r="B3923" s="44"/>
      <c r="D3923" s="8"/>
      <c r="E3923" s="8"/>
      <c r="F3923" s="8"/>
    </row>
    <row r="3924" spans="2:6">
      <c r="B3924" s="44"/>
      <c r="D3924" s="8"/>
      <c r="E3924" s="8"/>
      <c r="F3924" s="8"/>
    </row>
    <row r="3925" spans="2:6">
      <c r="B3925" s="44"/>
      <c r="D3925" s="8"/>
      <c r="E3925" s="8"/>
      <c r="F3925" s="8"/>
    </row>
    <row r="3926" spans="2:6">
      <c r="B3926" s="44"/>
      <c r="D3926" s="8"/>
      <c r="E3926" s="8"/>
      <c r="F3926" s="8"/>
    </row>
    <row r="3927" spans="2:6">
      <c r="B3927" s="44"/>
      <c r="D3927" s="8"/>
      <c r="E3927" s="8"/>
      <c r="F3927" s="8"/>
    </row>
    <row r="3928" spans="2:6">
      <c r="B3928" s="44"/>
      <c r="D3928" s="8"/>
      <c r="E3928" s="8"/>
      <c r="F3928" s="8"/>
    </row>
    <row r="3929" spans="2:6">
      <c r="B3929" s="44"/>
      <c r="D3929" s="8"/>
      <c r="E3929" s="8"/>
      <c r="F3929" s="8"/>
    </row>
    <row r="3930" spans="2:6">
      <c r="B3930" s="44"/>
      <c r="D3930" s="8"/>
      <c r="E3930" s="8"/>
      <c r="F3930" s="8"/>
    </row>
    <row r="3931" spans="2:6">
      <c r="B3931" s="44"/>
      <c r="D3931" s="8"/>
      <c r="E3931" s="8"/>
      <c r="F3931" s="8"/>
    </row>
    <row r="3932" spans="2:6">
      <c r="B3932" s="44"/>
      <c r="D3932" s="8"/>
      <c r="E3932" s="8"/>
      <c r="F3932" s="8"/>
    </row>
    <row r="3933" spans="2:6">
      <c r="B3933" s="44"/>
      <c r="D3933" s="8"/>
      <c r="E3933" s="8"/>
      <c r="F3933" s="8"/>
    </row>
    <row r="3934" spans="2:6">
      <c r="B3934" s="44"/>
      <c r="D3934" s="8"/>
      <c r="E3934" s="8"/>
      <c r="F3934" s="8"/>
    </row>
    <row r="3935" spans="2:6">
      <c r="B3935" s="44"/>
      <c r="D3935" s="8"/>
      <c r="E3935" s="8"/>
      <c r="F3935" s="8"/>
    </row>
    <row r="3936" spans="2:6">
      <c r="B3936" s="44"/>
      <c r="D3936" s="8"/>
      <c r="E3936" s="8"/>
      <c r="F3936" s="8"/>
    </row>
    <row r="3937" spans="2:6">
      <c r="B3937" s="44"/>
      <c r="D3937" s="8"/>
      <c r="E3937" s="8"/>
      <c r="F3937" s="8"/>
    </row>
    <row r="3938" spans="2:6">
      <c r="B3938" s="44"/>
      <c r="D3938" s="8"/>
      <c r="E3938" s="8"/>
      <c r="F3938" s="8"/>
    </row>
    <row r="3939" spans="2:6">
      <c r="B3939" s="44"/>
      <c r="D3939" s="8"/>
      <c r="E3939" s="8"/>
      <c r="F3939" s="8"/>
    </row>
    <row r="3940" spans="2:6">
      <c r="B3940" s="44"/>
      <c r="D3940" s="8"/>
      <c r="E3940" s="8"/>
      <c r="F3940" s="8"/>
    </row>
    <row r="3941" spans="2:6">
      <c r="B3941" s="44"/>
      <c r="D3941" s="8"/>
      <c r="E3941" s="8"/>
      <c r="F3941" s="8"/>
    </row>
    <row r="3942" spans="2:6">
      <c r="B3942" s="44"/>
      <c r="D3942" s="8"/>
      <c r="E3942" s="8"/>
      <c r="F3942" s="8"/>
    </row>
    <row r="3943" spans="2:6">
      <c r="B3943" s="44"/>
      <c r="D3943" s="8"/>
      <c r="E3943" s="8"/>
      <c r="F3943" s="8"/>
    </row>
    <row r="3944" spans="2:6">
      <c r="B3944" s="44"/>
      <c r="D3944" s="8"/>
      <c r="E3944" s="8"/>
      <c r="F3944" s="8"/>
    </row>
    <row r="3945" spans="2:6">
      <c r="B3945" s="44"/>
      <c r="D3945" s="8"/>
      <c r="E3945" s="8"/>
      <c r="F3945" s="8"/>
    </row>
    <row r="3946" spans="2:6">
      <c r="B3946" s="44"/>
      <c r="D3946" s="8"/>
      <c r="E3946" s="8"/>
      <c r="F3946" s="8"/>
    </row>
    <row r="3947" spans="2:6">
      <c r="B3947" s="44"/>
      <c r="D3947" s="8"/>
      <c r="E3947" s="8"/>
      <c r="F3947" s="8"/>
    </row>
    <row r="3948" spans="2:6">
      <c r="B3948" s="44"/>
      <c r="D3948" s="8"/>
      <c r="E3948" s="8"/>
      <c r="F3948" s="8"/>
    </row>
    <row r="3949" spans="2:6">
      <c r="B3949" s="44"/>
      <c r="D3949" s="8"/>
      <c r="E3949" s="8"/>
      <c r="F3949" s="8"/>
    </row>
    <row r="3950" spans="2:6">
      <c r="B3950" s="44"/>
      <c r="D3950" s="8"/>
      <c r="E3950" s="8"/>
      <c r="F3950" s="8"/>
    </row>
    <row r="3951" spans="2:6">
      <c r="B3951" s="44"/>
      <c r="D3951" s="8"/>
      <c r="E3951" s="8"/>
      <c r="F3951" s="8"/>
    </row>
    <row r="3952" spans="2:6">
      <c r="B3952" s="44"/>
      <c r="D3952" s="8"/>
      <c r="E3952" s="8"/>
      <c r="F3952" s="8"/>
    </row>
    <row r="3953" spans="2:6">
      <c r="B3953" s="44"/>
      <c r="D3953" s="8"/>
      <c r="E3953" s="8"/>
      <c r="F3953" s="8"/>
    </row>
    <row r="3954" spans="2:6">
      <c r="B3954" s="44"/>
      <c r="D3954" s="8"/>
      <c r="E3954" s="8"/>
      <c r="F3954" s="8"/>
    </row>
    <row r="3955" spans="2:6">
      <c r="B3955" s="44"/>
      <c r="D3955" s="8"/>
      <c r="E3955" s="8"/>
      <c r="F3955" s="8"/>
    </row>
    <row r="3956" spans="2:6">
      <c r="B3956" s="44"/>
      <c r="D3956" s="8"/>
      <c r="E3956" s="8"/>
      <c r="F3956" s="8"/>
    </row>
    <row r="3957" spans="2:6">
      <c r="B3957" s="44"/>
      <c r="D3957" s="8"/>
      <c r="E3957" s="8"/>
      <c r="F3957" s="8"/>
    </row>
    <row r="3958" spans="2:6">
      <c r="B3958" s="44"/>
      <c r="D3958" s="8"/>
      <c r="E3958" s="8"/>
      <c r="F3958" s="8"/>
    </row>
    <row r="3959" spans="2:6">
      <c r="B3959" s="44"/>
      <c r="D3959" s="8"/>
      <c r="E3959" s="8"/>
      <c r="F3959" s="8"/>
    </row>
    <row r="3960" spans="2:6">
      <c r="B3960" s="44"/>
      <c r="D3960" s="8"/>
      <c r="E3960" s="8"/>
      <c r="F3960" s="8"/>
    </row>
    <row r="3961" spans="2:6">
      <c r="B3961" s="44"/>
      <c r="D3961" s="8"/>
      <c r="E3961" s="8"/>
      <c r="F3961" s="8"/>
    </row>
    <row r="3962" spans="2:6">
      <c r="B3962" s="44"/>
      <c r="D3962" s="8"/>
      <c r="E3962" s="8"/>
      <c r="F3962" s="8"/>
    </row>
    <row r="3963" spans="2:6">
      <c r="B3963" s="44"/>
      <c r="D3963" s="8"/>
      <c r="E3963" s="8"/>
      <c r="F3963" s="8"/>
    </row>
    <row r="3964" spans="2:6">
      <c r="B3964" s="44"/>
      <c r="D3964" s="8"/>
      <c r="E3964" s="8"/>
      <c r="F3964" s="8"/>
    </row>
    <row r="3965" spans="2:6">
      <c r="B3965" s="44"/>
      <c r="D3965" s="8"/>
      <c r="E3965" s="8"/>
      <c r="F3965" s="8"/>
    </row>
    <row r="3966" spans="2:6">
      <c r="B3966" s="44"/>
      <c r="D3966" s="8"/>
      <c r="E3966" s="8"/>
      <c r="F3966" s="8"/>
    </row>
    <row r="3967" spans="2:6">
      <c r="B3967" s="44"/>
      <c r="D3967" s="8"/>
      <c r="E3967" s="8"/>
      <c r="F3967" s="8"/>
    </row>
    <row r="3968" spans="2:6">
      <c r="B3968" s="44"/>
      <c r="D3968" s="8"/>
      <c r="E3968" s="8"/>
      <c r="F3968" s="8"/>
    </row>
    <row r="3969" spans="2:6">
      <c r="B3969" s="44"/>
      <c r="D3969" s="8"/>
      <c r="E3969" s="8"/>
      <c r="F3969" s="8"/>
    </row>
    <row r="3970" spans="2:6">
      <c r="B3970" s="44"/>
      <c r="D3970" s="8"/>
      <c r="E3970" s="8"/>
      <c r="F3970" s="8"/>
    </row>
    <row r="3971" spans="2:6">
      <c r="B3971" s="44"/>
      <c r="D3971" s="8"/>
      <c r="E3971" s="8"/>
      <c r="F3971" s="8"/>
    </row>
    <row r="3972" spans="2:6">
      <c r="B3972" s="44"/>
      <c r="D3972" s="8"/>
      <c r="E3972" s="8"/>
      <c r="F3972" s="8"/>
    </row>
    <row r="3973" spans="2:6">
      <c r="B3973" s="44"/>
      <c r="D3973" s="8"/>
      <c r="E3973" s="8"/>
      <c r="F3973" s="8"/>
    </row>
    <row r="3974" spans="2:6">
      <c r="B3974" s="44"/>
      <c r="D3974" s="8"/>
      <c r="E3974" s="8"/>
      <c r="F3974" s="8"/>
    </row>
    <row r="3975" spans="2:6">
      <c r="B3975" s="44"/>
      <c r="D3975" s="8"/>
      <c r="E3975" s="8"/>
      <c r="F3975" s="8"/>
    </row>
    <row r="3976" spans="2:6">
      <c r="B3976" s="44"/>
      <c r="D3976" s="8"/>
      <c r="E3976" s="8"/>
      <c r="F3976" s="8"/>
    </row>
    <row r="3977" spans="2:6">
      <c r="B3977" s="44"/>
      <c r="D3977" s="8"/>
      <c r="E3977" s="8"/>
      <c r="F3977" s="8"/>
    </row>
    <row r="3978" spans="2:6">
      <c r="B3978" s="44"/>
      <c r="D3978" s="8"/>
      <c r="E3978" s="8"/>
      <c r="F3978" s="8"/>
    </row>
    <row r="3979" spans="2:6">
      <c r="B3979" s="44"/>
      <c r="D3979" s="8"/>
      <c r="E3979" s="8"/>
      <c r="F3979" s="8"/>
    </row>
    <row r="3980" spans="2:6">
      <c r="B3980" s="44"/>
      <c r="D3980" s="8"/>
      <c r="E3980" s="8"/>
      <c r="F3980" s="8"/>
    </row>
    <row r="3981" spans="2:6">
      <c r="B3981" s="44"/>
      <c r="D3981" s="8"/>
      <c r="E3981" s="8"/>
      <c r="F3981" s="8"/>
    </row>
    <row r="3982" spans="2:6">
      <c r="B3982" s="44"/>
      <c r="D3982" s="8"/>
      <c r="E3982" s="8"/>
      <c r="F3982" s="8"/>
    </row>
    <row r="3983" spans="2:6">
      <c r="B3983" s="44"/>
      <c r="D3983" s="8"/>
      <c r="E3983" s="8"/>
      <c r="F3983" s="8"/>
    </row>
    <row r="3984" spans="2:6">
      <c r="B3984" s="44"/>
      <c r="D3984" s="8"/>
      <c r="E3984" s="8"/>
      <c r="F3984" s="8"/>
    </row>
    <row r="3985" spans="2:6">
      <c r="B3985" s="44"/>
      <c r="D3985" s="8"/>
      <c r="E3985" s="8"/>
      <c r="F3985" s="8"/>
    </row>
    <row r="3986" spans="2:6">
      <c r="B3986" s="44"/>
      <c r="D3986" s="8"/>
      <c r="E3986" s="8"/>
      <c r="F3986" s="8"/>
    </row>
    <row r="3987" spans="2:6">
      <c r="B3987" s="44"/>
      <c r="D3987" s="8"/>
      <c r="E3987" s="8"/>
      <c r="F3987" s="8"/>
    </row>
    <row r="3988" spans="2:6">
      <c r="B3988" s="44"/>
      <c r="D3988" s="8"/>
      <c r="E3988" s="8"/>
      <c r="F3988" s="8"/>
    </row>
    <row r="3989" spans="2:6">
      <c r="B3989" s="44"/>
      <c r="D3989" s="8"/>
      <c r="E3989" s="8"/>
      <c r="F3989" s="8"/>
    </row>
    <row r="3990" spans="2:6">
      <c r="B3990" s="44"/>
      <c r="D3990" s="8"/>
      <c r="E3990" s="8"/>
      <c r="F3990" s="8"/>
    </row>
    <row r="3991" spans="2:6">
      <c r="B3991" s="44"/>
      <c r="D3991" s="8"/>
      <c r="E3991" s="8"/>
      <c r="F3991" s="8"/>
    </row>
    <row r="3992" spans="2:6">
      <c r="B3992" s="44"/>
      <c r="D3992" s="8"/>
      <c r="E3992" s="8"/>
      <c r="F3992" s="8"/>
    </row>
    <row r="3993" spans="2:6">
      <c r="B3993" s="44"/>
      <c r="D3993" s="8"/>
      <c r="E3993" s="8"/>
      <c r="F3993" s="8"/>
    </row>
    <row r="3994" spans="2:6">
      <c r="B3994" s="44"/>
      <c r="D3994" s="8"/>
      <c r="E3994" s="8"/>
      <c r="F3994" s="8"/>
    </row>
    <row r="3995" spans="2:6">
      <c r="B3995" s="44"/>
      <c r="D3995" s="8"/>
      <c r="E3995" s="8"/>
      <c r="F3995" s="8"/>
    </row>
    <row r="3996" spans="2:6">
      <c r="B3996" s="44"/>
      <c r="D3996" s="8"/>
      <c r="E3996" s="8"/>
      <c r="F3996" s="8"/>
    </row>
    <row r="3997" spans="2:6">
      <c r="B3997" s="44"/>
      <c r="D3997" s="8"/>
      <c r="E3997" s="8"/>
      <c r="F3997" s="8"/>
    </row>
    <row r="3998" spans="2:6">
      <c r="B3998" s="44"/>
      <c r="D3998" s="8"/>
      <c r="E3998" s="8"/>
      <c r="F3998" s="8"/>
    </row>
    <row r="3999" spans="2:6">
      <c r="B3999" s="44"/>
      <c r="D3999" s="8"/>
      <c r="E3999" s="8"/>
      <c r="F3999" s="8"/>
    </row>
    <row r="4000" spans="2:6">
      <c r="B4000" s="44"/>
      <c r="D4000" s="8"/>
      <c r="E4000" s="8"/>
      <c r="F4000" s="8"/>
    </row>
    <row r="4001" spans="2:6">
      <c r="B4001" s="44"/>
      <c r="D4001" s="8"/>
      <c r="E4001" s="8"/>
      <c r="F4001" s="8"/>
    </row>
    <row r="4002" spans="2:6">
      <c r="B4002" s="44"/>
      <c r="D4002" s="8"/>
      <c r="E4002" s="8"/>
      <c r="F4002" s="8"/>
    </row>
    <row r="4003" spans="2:6">
      <c r="B4003" s="44"/>
      <c r="D4003" s="8"/>
      <c r="E4003" s="8"/>
      <c r="F4003" s="8"/>
    </row>
    <row r="4004" spans="2:6">
      <c r="B4004" s="44"/>
      <c r="D4004" s="8"/>
      <c r="E4004" s="8"/>
      <c r="F4004" s="8"/>
    </row>
    <row r="4005" spans="2:6">
      <c r="B4005" s="44"/>
      <c r="D4005" s="8"/>
      <c r="E4005" s="8"/>
      <c r="F4005" s="8"/>
    </row>
    <row r="4006" spans="2:6">
      <c r="B4006" s="44"/>
      <c r="D4006" s="8"/>
      <c r="E4006" s="8"/>
      <c r="F4006" s="8"/>
    </row>
    <row r="4007" spans="2:6">
      <c r="B4007" s="44"/>
      <c r="D4007" s="8"/>
      <c r="E4007" s="8"/>
      <c r="F4007" s="8"/>
    </row>
    <row r="4008" spans="2:6">
      <c r="B4008" s="44"/>
      <c r="D4008" s="8"/>
      <c r="E4008" s="8"/>
      <c r="F4008" s="8"/>
    </row>
    <row r="4009" spans="2:6">
      <c r="B4009" s="44"/>
      <c r="D4009" s="8"/>
      <c r="E4009" s="8"/>
      <c r="F4009" s="8"/>
    </row>
    <row r="4010" spans="2:6">
      <c r="B4010" s="44"/>
      <c r="D4010" s="8"/>
      <c r="E4010" s="8"/>
      <c r="F4010" s="8"/>
    </row>
    <row r="4011" spans="2:6">
      <c r="B4011" s="44"/>
      <c r="D4011" s="8"/>
      <c r="E4011" s="8"/>
      <c r="F4011" s="8"/>
    </row>
    <row r="4012" spans="2:6">
      <c r="B4012" s="44"/>
      <c r="D4012" s="8"/>
      <c r="E4012" s="8"/>
      <c r="F4012" s="8"/>
    </row>
    <row r="4013" spans="2:6">
      <c r="B4013" s="44"/>
      <c r="D4013" s="8"/>
      <c r="E4013" s="8"/>
      <c r="F4013" s="8"/>
    </row>
    <row r="4014" spans="2:6">
      <c r="B4014" s="44"/>
      <c r="D4014" s="8"/>
      <c r="E4014" s="8"/>
      <c r="F4014" s="8"/>
    </row>
    <row r="4015" spans="2:6">
      <c r="B4015" s="44"/>
      <c r="D4015" s="8"/>
      <c r="E4015" s="8"/>
      <c r="F4015" s="8"/>
    </row>
    <row r="4016" spans="2:6">
      <c r="B4016" s="44"/>
      <c r="D4016" s="8"/>
      <c r="E4016" s="8"/>
      <c r="F4016" s="8"/>
    </row>
    <row r="4017" spans="2:6">
      <c r="B4017" s="44"/>
      <c r="D4017" s="8"/>
      <c r="E4017" s="8"/>
      <c r="F4017" s="8"/>
    </row>
    <row r="4018" spans="2:6">
      <c r="B4018" s="44"/>
      <c r="D4018" s="8"/>
      <c r="E4018" s="8"/>
      <c r="F4018" s="8"/>
    </row>
    <row r="4019" spans="2:6">
      <c r="B4019" s="44"/>
      <c r="D4019" s="8"/>
      <c r="E4019" s="8"/>
      <c r="F4019" s="8"/>
    </row>
    <row r="4020" spans="2:6">
      <c r="B4020" s="44"/>
      <c r="D4020" s="8"/>
      <c r="E4020" s="8"/>
      <c r="F4020" s="8"/>
    </row>
    <row r="4021" spans="2:6">
      <c r="B4021" s="44"/>
      <c r="D4021" s="8"/>
      <c r="E4021" s="8"/>
      <c r="F4021" s="8"/>
    </row>
    <row r="4022" spans="2:6">
      <c r="B4022" s="44"/>
      <c r="D4022" s="8"/>
      <c r="E4022" s="8"/>
      <c r="F4022" s="8"/>
    </row>
    <row r="4023" spans="2:6">
      <c r="B4023" s="44"/>
      <c r="D4023" s="8"/>
      <c r="E4023" s="8"/>
      <c r="F4023" s="8"/>
    </row>
    <row r="4024" spans="2:6">
      <c r="B4024" s="44"/>
      <c r="D4024" s="8"/>
      <c r="E4024" s="8"/>
      <c r="F4024" s="8"/>
    </row>
    <row r="4025" spans="2:6">
      <c r="B4025" s="44"/>
      <c r="D4025" s="8"/>
      <c r="E4025" s="8"/>
      <c r="F4025" s="8"/>
    </row>
    <row r="4026" spans="2:6">
      <c r="B4026" s="44"/>
      <c r="D4026" s="8"/>
      <c r="E4026" s="8"/>
      <c r="F4026" s="8"/>
    </row>
    <row r="4027" spans="2:6">
      <c r="B4027" s="44"/>
      <c r="D4027" s="8"/>
      <c r="E4027" s="8"/>
      <c r="F4027" s="8"/>
    </row>
    <row r="4028" spans="2:6">
      <c r="B4028" s="44"/>
      <c r="D4028" s="8"/>
      <c r="E4028" s="8"/>
      <c r="F4028" s="8"/>
    </row>
    <row r="4029" spans="2:6">
      <c r="B4029" s="44"/>
      <c r="D4029" s="8"/>
      <c r="E4029" s="8"/>
      <c r="F4029" s="8"/>
    </row>
    <row r="4030" spans="2:6">
      <c r="B4030" s="44"/>
      <c r="D4030" s="8"/>
      <c r="E4030" s="8"/>
      <c r="F4030" s="8"/>
    </row>
    <row r="4031" spans="2:6">
      <c r="B4031" s="44"/>
      <c r="D4031" s="8"/>
      <c r="E4031" s="8"/>
      <c r="F4031" s="8"/>
    </row>
    <row r="4032" spans="2:6">
      <c r="B4032" s="44"/>
      <c r="D4032" s="8"/>
      <c r="E4032" s="8"/>
      <c r="F4032" s="8"/>
    </row>
    <row r="4033" spans="2:6">
      <c r="B4033" s="44"/>
      <c r="D4033" s="8"/>
      <c r="E4033" s="8"/>
      <c r="F4033" s="8"/>
    </row>
    <row r="4034" spans="2:6">
      <c r="B4034" s="44"/>
      <c r="D4034" s="8"/>
      <c r="E4034" s="8"/>
      <c r="F4034" s="8"/>
    </row>
    <row r="4035" spans="2:6">
      <c r="B4035" s="44"/>
      <c r="D4035" s="8"/>
      <c r="E4035" s="8"/>
      <c r="F4035" s="8"/>
    </row>
    <row r="4036" spans="2:6">
      <c r="B4036" s="44"/>
      <c r="D4036" s="8"/>
      <c r="E4036" s="8"/>
      <c r="F4036" s="8"/>
    </row>
    <row r="4037" spans="2:6">
      <c r="B4037" s="44"/>
      <c r="D4037" s="8"/>
      <c r="E4037" s="8"/>
      <c r="F4037" s="8"/>
    </row>
    <row r="4038" spans="2:6">
      <c r="B4038" s="44"/>
      <c r="D4038" s="8"/>
      <c r="E4038" s="8"/>
      <c r="F4038" s="8"/>
    </row>
    <row r="4039" spans="2:6">
      <c r="B4039" s="44"/>
      <c r="D4039" s="8"/>
      <c r="E4039" s="8"/>
      <c r="F4039" s="8"/>
    </row>
    <row r="4040" spans="2:6">
      <c r="B4040" s="44"/>
      <c r="D4040" s="8"/>
      <c r="E4040" s="8"/>
      <c r="F4040" s="8"/>
    </row>
    <row r="4041" spans="2:6">
      <c r="B4041" s="44"/>
      <c r="D4041" s="8"/>
      <c r="E4041" s="8"/>
      <c r="F4041" s="8"/>
    </row>
    <row r="4042" spans="2:6">
      <c r="B4042" s="44"/>
      <c r="D4042" s="8"/>
      <c r="E4042" s="8"/>
      <c r="F4042" s="8"/>
    </row>
    <row r="4043" spans="2:6">
      <c r="B4043" s="44"/>
      <c r="D4043" s="8"/>
      <c r="E4043" s="8"/>
      <c r="F4043" s="8"/>
    </row>
    <row r="4044" spans="2:6">
      <c r="B4044" s="44"/>
      <c r="D4044" s="8"/>
      <c r="E4044" s="8"/>
      <c r="F4044" s="8"/>
    </row>
    <row r="4045" spans="2:6">
      <c r="B4045" s="44"/>
      <c r="D4045" s="8"/>
      <c r="E4045" s="8"/>
      <c r="F4045" s="8"/>
    </row>
    <row r="4046" spans="2:6">
      <c r="B4046" s="44"/>
      <c r="D4046" s="8"/>
      <c r="E4046" s="8"/>
      <c r="F4046" s="8"/>
    </row>
    <row r="4047" spans="2:6">
      <c r="B4047" s="44"/>
      <c r="D4047" s="8"/>
      <c r="E4047" s="8"/>
      <c r="F4047" s="8"/>
    </row>
    <row r="4048" spans="2:6">
      <c r="B4048" s="44"/>
      <c r="D4048" s="8"/>
      <c r="E4048" s="8"/>
      <c r="F4048" s="8"/>
    </row>
    <row r="4049" spans="2:6">
      <c r="B4049" s="44"/>
      <c r="D4049" s="8"/>
      <c r="E4049" s="8"/>
      <c r="F4049" s="8"/>
    </row>
    <row r="4050" spans="2:6">
      <c r="B4050" s="44"/>
      <c r="D4050" s="8"/>
      <c r="E4050" s="8"/>
      <c r="F4050" s="8"/>
    </row>
    <row r="4051" spans="2:6">
      <c r="B4051" s="44"/>
      <c r="D4051" s="8"/>
      <c r="E4051" s="8"/>
      <c r="F4051" s="8"/>
    </row>
    <row r="4052" spans="2:6">
      <c r="B4052" s="44"/>
      <c r="D4052" s="8"/>
      <c r="E4052" s="8"/>
      <c r="F4052" s="8"/>
    </row>
    <row r="4053" spans="2:6">
      <c r="B4053" s="44"/>
      <c r="D4053" s="8"/>
      <c r="E4053" s="8"/>
      <c r="F4053" s="8"/>
    </row>
    <row r="4054" spans="2:6">
      <c r="B4054" s="44"/>
      <c r="D4054" s="8"/>
      <c r="E4054" s="8"/>
      <c r="F4054" s="8"/>
    </row>
    <row r="4055" spans="2:6">
      <c r="B4055" s="44"/>
      <c r="D4055" s="8"/>
      <c r="E4055" s="8"/>
      <c r="F4055" s="8"/>
    </row>
    <row r="4056" spans="2:6">
      <c r="B4056" s="44"/>
      <c r="D4056" s="8"/>
      <c r="E4056" s="8"/>
      <c r="F4056" s="8"/>
    </row>
    <row r="4057" spans="2:6">
      <c r="B4057" s="44"/>
      <c r="D4057" s="8"/>
      <c r="E4057" s="8"/>
      <c r="F4057" s="8"/>
    </row>
    <row r="4058" spans="2:6">
      <c r="B4058" s="44"/>
      <c r="D4058" s="8"/>
      <c r="E4058" s="8"/>
      <c r="F4058" s="8"/>
    </row>
    <row r="4059" spans="2:6">
      <c r="B4059" s="44"/>
      <c r="D4059" s="8"/>
      <c r="E4059" s="8"/>
      <c r="F4059" s="8"/>
    </row>
    <row r="4060" spans="2:6">
      <c r="B4060" s="44"/>
      <c r="D4060" s="8"/>
      <c r="E4060" s="8"/>
      <c r="F4060" s="8"/>
    </row>
    <row r="4061" spans="2:6">
      <c r="B4061" s="44"/>
      <c r="D4061" s="8"/>
      <c r="E4061" s="8"/>
      <c r="F4061" s="8"/>
    </row>
    <row r="4062" spans="2:6">
      <c r="B4062" s="44"/>
      <c r="D4062" s="8"/>
      <c r="E4062" s="8"/>
      <c r="F4062" s="8"/>
    </row>
    <row r="4063" spans="2:6">
      <c r="B4063" s="44"/>
      <c r="D4063" s="8"/>
      <c r="E4063" s="8"/>
      <c r="F4063" s="8"/>
    </row>
    <row r="4064" spans="2:6">
      <c r="B4064" s="44"/>
      <c r="D4064" s="8"/>
      <c r="E4064" s="8"/>
      <c r="F4064" s="8"/>
    </row>
    <row r="4065" spans="2:6">
      <c r="B4065" s="44"/>
      <c r="D4065" s="8"/>
      <c r="E4065" s="8"/>
      <c r="F4065" s="8"/>
    </row>
    <row r="4066" spans="2:6">
      <c r="B4066" s="44"/>
      <c r="D4066" s="8"/>
      <c r="E4066" s="8"/>
      <c r="F4066" s="8"/>
    </row>
    <row r="4067" spans="2:6">
      <c r="B4067" s="44"/>
      <c r="D4067" s="8"/>
      <c r="E4067" s="8"/>
      <c r="F4067" s="8"/>
    </row>
    <row r="4068" spans="2:6">
      <c r="B4068" s="44"/>
      <c r="D4068" s="8"/>
      <c r="E4068" s="8"/>
      <c r="F4068" s="8"/>
    </row>
    <row r="4069" spans="2:6">
      <c r="B4069" s="44"/>
      <c r="D4069" s="8"/>
      <c r="E4069" s="8"/>
      <c r="F4069" s="8"/>
    </row>
    <row r="4070" spans="2:6">
      <c r="B4070" s="44"/>
      <c r="D4070" s="8"/>
      <c r="E4070" s="8"/>
      <c r="F4070" s="8"/>
    </row>
    <row r="4071" spans="2:6">
      <c r="B4071" s="44"/>
      <c r="D4071" s="8"/>
      <c r="E4071" s="8"/>
      <c r="F4071" s="8"/>
    </row>
    <row r="4072" spans="2:6">
      <c r="B4072" s="44"/>
      <c r="D4072" s="8"/>
      <c r="E4072" s="8"/>
      <c r="F4072" s="8"/>
    </row>
    <row r="4073" spans="2:6">
      <c r="B4073" s="44"/>
      <c r="D4073" s="8"/>
      <c r="E4073" s="8"/>
      <c r="F4073" s="8"/>
    </row>
    <row r="4074" spans="2:6">
      <c r="B4074" s="44"/>
      <c r="D4074" s="8"/>
      <c r="E4074" s="8"/>
      <c r="F4074" s="8"/>
    </row>
    <row r="4075" spans="2:6">
      <c r="B4075" s="44"/>
      <c r="D4075" s="8"/>
      <c r="E4075" s="8"/>
      <c r="F4075" s="8"/>
    </row>
    <row r="4076" spans="2:6">
      <c r="B4076" s="44"/>
      <c r="D4076" s="8"/>
      <c r="E4076" s="8"/>
      <c r="F4076" s="8"/>
    </row>
    <row r="4077" spans="2:6">
      <c r="B4077" s="44"/>
      <c r="D4077" s="8"/>
      <c r="E4077" s="8"/>
      <c r="F4077" s="8"/>
    </row>
    <row r="4078" spans="2:6">
      <c r="B4078" s="44"/>
      <c r="D4078" s="8"/>
      <c r="E4078" s="8"/>
      <c r="F4078" s="8"/>
    </row>
    <row r="4079" spans="2:6">
      <c r="B4079" s="44"/>
      <c r="D4079" s="8"/>
      <c r="E4079" s="8"/>
      <c r="F4079" s="8"/>
    </row>
    <row r="4080" spans="2:6">
      <c r="B4080" s="44"/>
      <c r="D4080" s="8"/>
      <c r="E4080" s="8"/>
      <c r="F4080" s="8"/>
    </row>
    <row r="4081" spans="2:6">
      <c r="B4081" s="44"/>
      <c r="D4081" s="8"/>
      <c r="E4081" s="8"/>
      <c r="F4081" s="8"/>
    </row>
    <row r="4082" spans="2:6">
      <c r="B4082" s="44"/>
      <c r="D4082" s="8"/>
      <c r="E4082" s="8"/>
      <c r="F4082" s="8"/>
    </row>
    <row r="4083" spans="2:6">
      <c r="B4083" s="44"/>
      <c r="D4083" s="8"/>
      <c r="E4083" s="8"/>
      <c r="F4083" s="8"/>
    </row>
    <row r="4084" spans="2:6">
      <c r="B4084" s="44"/>
      <c r="D4084" s="8"/>
      <c r="E4084" s="8"/>
      <c r="F4084" s="8"/>
    </row>
    <row r="4085" spans="2:6">
      <c r="B4085" s="44"/>
      <c r="D4085" s="8"/>
      <c r="E4085" s="8"/>
      <c r="F4085" s="8"/>
    </row>
    <row r="4086" spans="2:6">
      <c r="B4086" s="44"/>
      <c r="D4086" s="8"/>
      <c r="E4086" s="8"/>
      <c r="F4086" s="8"/>
    </row>
    <row r="4087" spans="2:6">
      <c r="B4087" s="44"/>
      <c r="D4087" s="8"/>
      <c r="E4087" s="8"/>
      <c r="F4087" s="8"/>
    </row>
    <row r="4088" spans="2:6">
      <c r="B4088" s="44"/>
      <c r="D4088" s="8"/>
      <c r="E4088" s="8"/>
      <c r="F4088" s="8"/>
    </row>
    <row r="4089" spans="2:6">
      <c r="B4089" s="44"/>
      <c r="D4089" s="8"/>
      <c r="E4089" s="8"/>
      <c r="F4089" s="8"/>
    </row>
    <row r="4090" spans="2:6">
      <c r="B4090" s="44"/>
      <c r="D4090" s="8"/>
      <c r="E4090" s="8"/>
      <c r="F4090" s="8"/>
    </row>
    <row r="4091" spans="2:6">
      <c r="B4091" s="44"/>
      <c r="D4091" s="8"/>
      <c r="E4091" s="8"/>
      <c r="F4091" s="8"/>
    </row>
    <row r="4092" spans="2:6">
      <c r="B4092" s="44"/>
      <c r="D4092" s="8"/>
      <c r="E4092" s="8"/>
      <c r="F4092" s="8"/>
    </row>
    <row r="4093" spans="2:6">
      <c r="B4093" s="44"/>
      <c r="D4093" s="8"/>
      <c r="E4093" s="8"/>
      <c r="F4093" s="8"/>
    </row>
    <row r="4094" spans="2:6">
      <c r="B4094" s="44"/>
      <c r="D4094" s="8"/>
      <c r="E4094" s="8"/>
      <c r="F4094" s="8"/>
    </row>
    <row r="4095" spans="2:6">
      <c r="B4095" s="44"/>
      <c r="D4095" s="8"/>
      <c r="E4095" s="8"/>
      <c r="F4095" s="8"/>
    </row>
    <row r="4096" spans="2:6">
      <c r="B4096" s="44"/>
      <c r="D4096" s="8"/>
      <c r="E4096" s="8"/>
      <c r="F4096" s="8"/>
    </row>
    <row r="4097" spans="2:6">
      <c r="B4097" s="44"/>
      <c r="D4097" s="8"/>
      <c r="E4097" s="8"/>
      <c r="F4097" s="8"/>
    </row>
    <row r="4098" spans="2:6">
      <c r="B4098" s="44"/>
      <c r="D4098" s="8"/>
      <c r="E4098" s="8"/>
      <c r="F4098" s="8"/>
    </row>
    <row r="4099" spans="2:6">
      <c r="B4099" s="44"/>
      <c r="D4099" s="8"/>
      <c r="E4099" s="8"/>
      <c r="F4099" s="8"/>
    </row>
    <row r="4100" spans="2:6">
      <c r="B4100" s="44"/>
      <c r="D4100" s="8"/>
      <c r="E4100" s="8"/>
      <c r="F4100" s="8"/>
    </row>
    <row r="4101" spans="2:6">
      <c r="B4101" s="44"/>
      <c r="D4101" s="8"/>
      <c r="E4101" s="8"/>
      <c r="F4101" s="8"/>
    </row>
    <row r="4102" spans="2:6">
      <c r="B4102" s="44"/>
      <c r="D4102" s="8"/>
      <c r="E4102" s="8"/>
      <c r="F4102" s="8"/>
    </row>
    <row r="4103" spans="2:6">
      <c r="B4103" s="44"/>
      <c r="D4103" s="8"/>
      <c r="E4103" s="8"/>
      <c r="F4103" s="8"/>
    </row>
    <row r="4104" spans="2:6">
      <c r="B4104" s="44"/>
      <c r="D4104" s="8"/>
      <c r="E4104" s="8"/>
      <c r="F4104" s="8"/>
    </row>
    <row r="4105" spans="2:6">
      <c r="B4105" s="44"/>
      <c r="D4105" s="8"/>
      <c r="E4105" s="8"/>
      <c r="F4105" s="8"/>
    </row>
    <row r="4106" spans="2:6">
      <c r="B4106" s="44"/>
      <c r="D4106" s="8"/>
      <c r="E4106" s="8"/>
      <c r="F4106" s="8"/>
    </row>
    <row r="4107" spans="2:6">
      <c r="B4107" s="44"/>
      <c r="D4107" s="8"/>
      <c r="E4107" s="8"/>
      <c r="F4107" s="8"/>
    </row>
    <row r="4108" spans="2:6">
      <c r="B4108" s="44"/>
      <c r="D4108" s="8"/>
      <c r="E4108" s="8"/>
      <c r="F4108" s="8"/>
    </row>
    <row r="4109" spans="2:6">
      <c r="B4109" s="44"/>
      <c r="D4109" s="8"/>
      <c r="E4109" s="8"/>
      <c r="F4109" s="8"/>
    </row>
    <row r="4110" spans="2:6">
      <c r="B4110" s="44"/>
      <c r="D4110" s="8"/>
      <c r="E4110" s="8"/>
      <c r="F4110" s="8"/>
    </row>
    <row r="4111" spans="2:6">
      <c r="B4111" s="44"/>
      <c r="D4111" s="8"/>
      <c r="E4111" s="8"/>
      <c r="F4111" s="8"/>
    </row>
    <row r="4112" spans="2:6">
      <c r="B4112" s="44"/>
      <c r="D4112" s="8"/>
      <c r="E4112" s="8"/>
      <c r="F4112" s="8"/>
    </row>
    <row r="4113" spans="2:6">
      <c r="B4113" s="44"/>
      <c r="D4113" s="8"/>
      <c r="E4113" s="8"/>
      <c r="F4113" s="8"/>
    </row>
    <row r="4114" spans="2:6">
      <c r="B4114" s="44"/>
      <c r="D4114" s="8"/>
      <c r="E4114" s="8"/>
      <c r="F4114" s="8"/>
    </row>
    <row r="4115" spans="2:6">
      <c r="B4115" s="44"/>
      <c r="D4115" s="8"/>
      <c r="E4115" s="8"/>
      <c r="F4115" s="8"/>
    </row>
    <row r="4116" spans="2:6">
      <c r="B4116" s="44"/>
      <c r="D4116" s="8"/>
      <c r="E4116" s="8"/>
      <c r="F4116" s="8"/>
    </row>
    <row r="4117" spans="2:6">
      <c r="B4117" s="44"/>
      <c r="D4117" s="8"/>
      <c r="E4117" s="8"/>
      <c r="F4117" s="8"/>
    </row>
    <row r="4118" spans="2:6">
      <c r="B4118" s="44"/>
      <c r="D4118" s="8"/>
      <c r="E4118" s="8"/>
      <c r="F4118" s="8"/>
    </row>
    <row r="4119" spans="2:6">
      <c r="B4119" s="44"/>
      <c r="D4119" s="8"/>
      <c r="E4119" s="8"/>
      <c r="F4119" s="8"/>
    </row>
    <row r="4120" spans="2:6">
      <c r="B4120" s="44"/>
      <c r="D4120" s="8"/>
      <c r="E4120" s="8"/>
      <c r="F4120" s="8"/>
    </row>
    <row r="4121" spans="2:6">
      <c r="B4121" s="44"/>
      <c r="D4121" s="8"/>
      <c r="E4121" s="8"/>
      <c r="F4121" s="8"/>
    </row>
    <row r="4122" spans="2:6">
      <c r="B4122" s="44"/>
      <c r="D4122" s="8"/>
      <c r="E4122" s="8"/>
      <c r="F4122" s="8"/>
    </row>
    <row r="4123" spans="2:6">
      <c r="B4123" s="44"/>
      <c r="D4123" s="8"/>
      <c r="E4123" s="8"/>
      <c r="F4123" s="8"/>
    </row>
    <row r="4124" spans="2:6">
      <c r="B4124" s="44"/>
      <c r="D4124" s="8"/>
      <c r="E4124" s="8"/>
      <c r="F4124" s="8"/>
    </row>
    <row r="4125" spans="2:6">
      <c r="B4125" s="44"/>
      <c r="D4125" s="8"/>
      <c r="E4125" s="8"/>
      <c r="F4125" s="8"/>
    </row>
    <row r="4126" spans="2:6">
      <c r="B4126" s="44"/>
      <c r="D4126" s="8"/>
      <c r="E4126" s="8"/>
      <c r="F4126" s="8"/>
    </row>
    <row r="4127" spans="2:6">
      <c r="B4127" s="44"/>
      <c r="D4127" s="8"/>
      <c r="E4127" s="8"/>
      <c r="F4127" s="8"/>
    </row>
    <row r="4128" spans="2:6">
      <c r="B4128" s="44"/>
      <c r="D4128" s="8"/>
      <c r="E4128" s="8"/>
      <c r="F4128" s="8"/>
    </row>
    <row r="4129" spans="2:6">
      <c r="B4129" s="44"/>
      <c r="D4129" s="8"/>
      <c r="E4129" s="8"/>
      <c r="F4129" s="8"/>
    </row>
    <row r="4130" spans="2:6">
      <c r="B4130" s="44"/>
      <c r="D4130" s="8"/>
      <c r="E4130" s="8"/>
      <c r="F4130" s="8"/>
    </row>
    <row r="4131" spans="2:6">
      <c r="B4131" s="44"/>
      <c r="D4131" s="8"/>
      <c r="E4131" s="8"/>
      <c r="F4131" s="8"/>
    </row>
    <row r="4132" spans="2:6">
      <c r="B4132" s="44"/>
      <c r="D4132" s="8"/>
      <c r="E4132" s="8"/>
      <c r="F4132" s="8"/>
    </row>
    <row r="4133" spans="2:6">
      <c r="B4133" s="44"/>
      <c r="D4133" s="8"/>
      <c r="E4133" s="8"/>
      <c r="F4133" s="8"/>
    </row>
    <row r="4134" spans="2:6">
      <c r="B4134" s="44"/>
      <c r="D4134" s="8"/>
      <c r="E4134" s="8"/>
      <c r="F4134" s="8"/>
    </row>
    <row r="4135" spans="2:6">
      <c r="B4135" s="44"/>
      <c r="D4135" s="8"/>
      <c r="E4135" s="8"/>
      <c r="F4135" s="8"/>
    </row>
    <row r="4136" spans="2:6">
      <c r="B4136" s="44"/>
      <c r="D4136" s="8"/>
      <c r="E4136" s="8"/>
      <c r="F4136" s="8"/>
    </row>
    <row r="4137" spans="2:6">
      <c r="B4137" s="44"/>
      <c r="D4137" s="8"/>
      <c r="E4137" s="8"/>
      <c r="F4137" s="8"/>
    </row>
    <row r="4138" spans="2:6">
      <c r="B4138" s="44"/>
      <c r="D4138" s="8"/>
      <c r="E4138" s="8"/>
      <c r="F4138" s="8"/>
    </row>
    <row r="4139" spans="2:6">
      <c r="B4139" s="44"/>
      <c r="D4139" s="8"/>
      <c r="E4139" s="8"/>
      <c r="F4139" s="8"/>
    </row>
    <row r="4140" spans="2:6">
      <c r="B4140" s="44"/>
      <c r="D4140" s="8"/>
      <c r="E4140" s="8"/>
      <c r="F4140" s="8"/>
    </row>
    <row r="4141" spans="2:6">
      <c r="B4141" s="44"/>
      <c r="D4141" s="8"/>
      <c r="E4141" s="8"/>
      <c r="F4141" s="8"/>
    </row>
    <row r="4142" spans="2:6">
      <c r="B4142" s="44"/>
      <c r="D4142" s="8"/>
      <c r="E4142" s="8"/>
      <c r="F4142" s="8"/>
    </row>
    <row r="4143" spans="2:6">
      <c r="B4143" s="44"/>
      <c r="D4143" s="8"/>
      <c r="E4143" s="8"/>
      <c r="F4143" s="8"/>
    </row>
    <row r="4144" spans="2:6">
      <c r="B4144" s="44"/>
      <c r="D4144" s="8"/>
      <c r="E4144" s="8"/>
      <c r="F4144" s="8"/>
    </row>
    <row r="4145" spans="2:6">
      <c r="B4145" s="44"/>
      <c r="D4145" s="8"/>
      <c r="E4145" s="8"/>
      <c r="F4145" s="8"/>
    </row>
    <row r="4146" spans="2:6">
      <c r="B4146" s="44"/>
      <c r="D4146" s="8"/>
      <c r="E4146" s="8"/>
      <c r="F4146" s="8"/>
    </row>
    <row r="4147" spans="2:6">
      <c r="B4147" s="44"/>
      <c r="D4147" s="8"/>
      <c r="E4147" s="8"/>
      <c r="F4147" s="8"/>
    </row>
    <row r="4148" spans="2:6">
      <c r="B4148" s="44"/>
      <c r="D4148" s="8"/>
      <c r="E4148" s="8"/>
      <c r="F4148" s="8"/>
    </row>
    <row r="4149" spans="2:6">
      <c r="B4149" s="44"/>
      <c r="D4149" s="8"/>
      <c r="E4149" s="8"/>
      <c r="F4149" s="8"/>
    </row>
    <row r="4150" spans="2:6">
      <c r="B4150" s="44"/>
      <c r="D4150" s="8"/>
      <c r="E4150" s="8"/>
      <c r="F4150" s="8"/>
    </row>
    <row r="4151" spans="2:6">
      <c r="B4151" s="44"/>
      <c r="D4151" s="8"/>
      <c r="E4151" s="8"/>
      <c r="F4151" s="8"/>
    </row>
    <row r="4152" spans="2:6">
      <c r="B4152" s="44"/>
      <c r="D4152" s="8"/>
      <c r="E4152" s="8"/>
      <c r="F4152" s="8"/>
    </row>
    <row r="4153" spans="2:6">
      <c r="B4153" s="44"/>
      <c r="D4153" s="8"/>
      <c r="E4153" s="8"/>
      <c r="F4153" s="8"/>
    </row>
    <row r="4154" spans="2:6">
      <c r="B4154" s="44"/>
      <c r="D4154" s="8"/>
      <c r="E4154" s="8"/>
      <c r="F4154" s="8"/>
    </row>
    <row r="4155" spans="2:6">
      <c r="B4155" s="44"/>
      <c r="D4155" s="8"/>
      <c r="E4155" s="8"/>
      <c r="F4155" s="8"/>
    </row>
    <row r="4156" spans="2:6">
      <c r="B4156" s="44"/>
      <c r="D4156" s="8"/>
      <c r="E4156" s="8"/>
      <c r="F4156" s="8"/>
    </row>
    <row r="4157" spans="2:6">
      <c r="B4157" s="44"/>
      <c r="D4157" s="8"/>
      <c r="E4157" s="8"/>
      <c r="F4157" s="8"/>
    </row>
    <row r="4158" spans="2:6">
      <c r="B4158" s="44"/>
      <c r="D4158" s="8"/>
      <c r="E4158" s="8"/>
      <c r="F4158" s="8"/>
    </row>
    <row r="4159" spans="2:6">
      <c r="B4159" s="44"/>
      <c r="D4159" s="8"/>
      <c r="E4159" s="8"/>
      <c r="F4159" s="8"/>
    </row>
    <row r="4160" spans="2:6">
      <c r="B4160" s="44"/>
      <c r="D4160" s="8"/>
      <c r="E4160" s="8"/>
      <c r="F4160" s="8"/>
    </row>
    <row r="4161" spans="2:6">
      <c r="B4161" s="44"/>
      <c r="D4161" s="8"/>
      <c r="E4161" s="8"/>
      <c r="F4161" s="8"/>
    </row>
    <row r="4162" spans="2:6">
      <c r="B4162" s="44"/>
      <c r="D4162" s="8"/>
      <c r="E4162" s="8"/>
      <c r="F4162" s="8"/>
    </row>
    <row r="4163" spans="2:6">
      <c r="B4163" s="44"/>
      <c r="D4163" s="8"/>
      <c r="E4163" s="8"/>
      <c r="F4163" s="8"/>
    </row>
    <row r="4164" spans="2:6">
      <c r="B4164" s="44"/>
      <c r="D4164" s="8"/>
      <c r="E4164" s="8"/>
      <c r="F4164" s="8"/>
    </row>
    <row r="4165" spans="2:6">
      <c r="B4165" s="44"/>
      <c r="D4165" s="8"/>
      <c r="E4165" s="8"/>
      <c r="F4165" s="8"/>
    </row>
    <row r="4166" spans="2:6">
      <c r="B4166" s="44"/>
      <c r="D4166" s="8"/>
      <c r="E4166" s="8"/>
      <c r="F4166" s="8"/>
    </row>
    <row r="4167" spans="2:6">
      <c r="B4167" s="44"/>
      <c r="D4167" s="8"/>
      <c r="E4167" s="8"/>
      <c r="F4167" s="8"/>
    </row>
    <row r="4168" spans="2:6">
      <c r="B4168" s="44"/>
      <c r="D4168" s="8"/>
      <c r="E4168" s="8"/>
      <c r="F4168" s="8"/>
    </row>
    <row r="4169" spans="2:6">
      <c r="B4169" s="44"/>
      <c r="D4169" s="8"/>
      <c r="E4169" s="8"/>
      <c r="F4169" s="8"/>
    </row>
    <row r="4170" spans="2:6">
      <c r="B4170" s="44"/>
      <c r="D4170" s="8"/>
      <c r="E4170" s="8"/>
      <c r="F4170" s="8"/>
    </row>
    <row r="4171" spans="2:6">
      <c r="B4171" s="44"/>
      <c r="D4171" s="8"/>
      <c r="E4171" s="8"/>
      <c r="F4171" s="8"/>
    </row>
    <row r="4172" spans="2:6">
      <c r="B4172" s="44"/>
      <c r="D4172" s="8"/>
      <c r="E4172" s="8"/>
      <c r="F4172" s="8"/>
    </row>
    <row r="4173" spans="2:6">
      <c r="B4173" s="44"/>
      <c r="D4173" s="8"/>
      <c r="E4173" s="8"/>
      <c r="F4173" s="8"/>
    </row>
    <row r="4174" spans="2:6">
      <c r="B4174" s="44"/>
      <c r="D4174" s="8"/>
      <c r="E4174" s="8"/>
      <c r="F4174" s="8"/>
    </row>
    <row r="4175" spans="2:6">
      <c r="B4175" s="44"/>
      <c r="D4175" s="8"/>
      <c r="E4175" s="8"/>
      <c r="F4175" s="8"/>
    </row>
    <row r="4176" spans="2:6">
      <c r="B4176" s="44"/>
      <c r="D4176" s="8"/>
      <c r="E4176" s="8"/>
      <c r="F4176" s="8"/>
    </row>
    <row r="4177" spans="2:6">
      <c r="B4177" s="44"/>
      <c r="D4177" s="8"/>
      <c r="E4177" s="8"/>
      <c r="F4177" s="8"/>
    </row>
    <row r="4178" spans="2:6">
      <c r="B4178" s="44"/>
      <c r="D4178" s="8"/>
      <c r="E4178" s="8"/>
      <c r="F4178" s="8"/>
    </row>
    <row r="4179" spans="2:6">
      <c r="B4179" s="44"/>
      <c r="D4179" s="8"/>
      <c r="E4179" s="8"/>
      <c r="F4179" s="8"/>
    </row>
    <row r="4180" spans="2:6">
      <c r="B4180" s="44"/>
      <c r="D4180" s="8"/>
      <c r="E4180" s="8"/>
      <c r="F4180" s="8"/>
    </row>
    <row r="4181" spans="2:6">
      <c r="B4181" s="44"/>
      <c r="D4181" s="8"/>
      <c r="E4181" s="8"/>
      <c r="F4181" s="8"/>
    </row>
    <row r="4182" spans="2:6">
      <c r="B4182" s="44"/>
      <c r="D4182" s="8"/>
      <c r="E4182" s="8"/>
      <c r="F4182" s="8"/>
    </row>
    <row r="4183" spans="2:6">
      <c r="B4183" s="44"/>
      <c r="D4183" s="8"/>
      <c r="E4183" s="8"/>
      <c r="F4183" s="8"/>
    </row>
    <row r="4184" spans="2:6">
      <c r="B4184" s="44"/>
      <c r="D4184" s="8"/>
      <c r="E4184" s="8"/>
      <c r="F4184" s="8"/>
    </row>
    <row r="4185" spans="2:6">
      <c r="B4185" s="44"/>
      <c r="D4185" s="8"/>
      <c r="E4185" s="8"/>
      <c r="F4185" s="8"/>
    </row>
    <row r="4186" spans="2:6">
      <c r="B4186" s="44"/>
      <c r="D4186" s="8"/>
      <c r="E4186" s="8"/>
      <c r="F4186" s="8"/>
    </row>
    <row r="4187" spans="2:6">
      <c r="B4187" s="44"/>
      <c r="D4187" s="8"/>
      <c r="E4187" s="8"/>
      <c r="F4187" s="8"/>
    </row>
    <row r="4188" spans="2:6">
      <c r="B4188" s="44"/>
      <c r="D4188" s="8"/>
      <c r="E4188" s="8"/>
      <c r="F4188" s="8"/>
    </row>
    <row r="4189" spans="2:6">
      <c r="B4189" s="44"/>
      <c r="D4189" s="8"/>
      <c r="E4189" s="8"/>
      <c r="F4189" s="8"/>
    </row>
    <row r="4190" spans="2:6">
      <c r="B4190" s="44"/>
      <c r="D4190" s="8"/>
      <c r="E4190" s="8"/>
      <c r="F4190" s="8"/>
    </row>
    <row r="4191" spans="2:6">
      <c r="B4191" s="44"/>
      <c r="D4191" s="8"/>
      <c r="E4191" s="8"/>
      <c r="F4191" s="8"/>
    </row>
    <row r="4192" spans="2:6">
      <c r="B4192" s="44"/>
      <c r="D4192" s="8"/>
      <c r="E4192" s="8"/>
      <c r="F4192" s="8"/>
    </row>
    <row r="4193" spans="2:6">
      <c r="B4193" s="44"/>
      <c r="D4193" s="8"/>
      <c r="E4193" s="8"/>
      <c r="F4193" s="8"/>
    </row>
    <row r="4194" spans="2:6">
      <c r="B4194" s="44"/>
      <c r="D4194" s="8"/>
      <c r="E4194" s="8"/>
      <c r="F4194" s="8"/>
    </row>
    <row r="4195" spans="2:6">
      <c r="B4195" s="44"/>
      <c r="D4195" s="8"/>
      <c r="E4195" s="8"/>
      <c r="F4195" s="8"/>
    </row>
    <row r="4196" spans="2:6">
      <c r="B4196" s="44"/>
      <c r="D4196" s="8"/>
      <c r="E4196" s="8"/>
      <c r="F4196" s="8"/>
    </row>
    <row r="4197" spans="2:6">
      <c r="B4197" s="44"/>
      <c r="D4197" s="8"/>
      <c r="E4197" s="8"/>
      <c r="F4197" s="8"/>
    </row>
    <row r="4198" spans="2:6">
      <c r="B4198" s="44"/>
      <c r="D4198" s="8"/>
      <c r="E4198" s="8"/>
      <c r="F4198" s="8"/>
    </row>
    <row r="4199" spans="2:6">
      <c r="B4199" s="44"/>
      <c r="D4199" s="8"/>
      <c r="E4199" s="8"/>
      <c r="F4199" s="8"/>
    </row>
    <row r="4200" spans="2:6">
      <c r="B4200" s="44"/>
      <c r="D4200" s="8"/>
      <c r="E4200" s="8"/>
      <c r="F4200" s="8"/>
    </row>
    <row r="4201" spans="2:6">
      <c r="B4201" s="44"/>
      <c r="D4201" s="8"/>
      <c r="E4201" s="8"/>
      <c r="F4201" s="8"/>
    </row>
    <row r="4202" spans="2:6">
      <c r="B4202" s="44"/>
      <c r="D4202" s="8"/>
      <c r="E4202" s="8"/>
      <c r="F4202" s="8"/>
    </row>
    <row r="4203" spans="2:6">
      <c r="B4203" s="44"/>
      <c r="D4203" s="8"/>
      <c r="E4203" s="8"/>
      <c r="F4203" s="8"/>
    </row>
    <row r="4204" spans="2:6">
      <c r="B4204" s="44"/>
      <c r="D4204" s="8"/>
      <c r="E4204" s="8"/>
      <c r="F4204" s="8"/>
    </row>
    <row r="4205" spans="2:6">
      <c r="B4205" s="44"/>
      <c r="D4205" s="8"/>
      <c r="E4205" s="8"/>
      <c r="F4205" s="8"/>
    </row>
    <row r="4206" spans="2:6">
      <c r="B4206" s="44"/>
      <c r="D4206" s="8"/>
      <c r="E4206" s="8"/>
      <c r="F4206" s="8"/>
    </row>
    <row r="4207" spans="2:6">
      <c r="B4207" s="44"/>
      <c r="D4207" s="8"/>
      <c r="E4207" s="8"/>
      <c r="F4207" s="8"/>
    </row>
    <row r="4208" spans="2:6">
      <c r="B4208" s="44"/>
      <c r="D4208" s="8"/>
      <c r="E4208" s="8"/>
      <c r="F4208" s="8"/>
    </row>
    <row r="4209" spans="2:6">
      <c r="B4209" s="44"/>
      <c r="D4209" s="8"/>
      <c r="E4209" s="8"/>
      <c r="F4209" s="8"/>
    </row>
    <row r="4210" spans="2:6">
      <c r="B4210" s="44"/>
      <c r="D4210" s="8"/>
      <c r="E4210" s="8"/>
      <c r="F4210" s="8"/>
    </row>
    <row r="4211" spans="2:6">
      <c r="B4211" s="44"/>
      <c r="D4211" s="8"/>
      <c r="E4211" s="8"/>
      <c r="F4211" s="8"/>
    </row>
    <row r="4212" spans="2:6">
      <c r="B4212" s="44"/>
      <c r="D4212" s="8"/>
      <c r="E4212" s="8"/>
      <c r="F4212" s="8"/>
    </row>
    <row r="4213" spans="2:6">
      <c r="B4213" s="44"/>
      <c r="D4213" s="8"/>
      <c r="E4213" s="8"/>
      <c r="F4213" s="8"/>
    </row>
    <row r="4214" spans="2:6">
      <c r="B4214" s="44"/>
      <c r="D4214" s="8"/>
      <c r="E4214" s="8"/>
      <c r="F4214" s="8"/>
    </row>
    <row r="4215" spans="2:6">
      <c r="B4215" s="44"/>
      <c r="D4215" s="8"/>
      <c r="E4215" s="8"/>
      <c r="F4215" s="8"/>
    </row>
    <row r="4216" spans="2:6">
      <c r="B4216" s="44"/>
      <c r="D4216" s="8"/>
      <c r="E4216" s="8"/>
      <c r="F4216" s="8"/>
    </row>
    <row r="4217" spans="2:6">
      <c r="B4217" s="44"/>
      <c r="D4217" s="8"/>
      <c r="E4217" s="8"/>
      <c r="F4217" s="8"/>
    </row>
    <row r="4218" spans="2:6">
      <c r="B4218" s="44"/>
      <c r="D4218" s="8"/>
      <c r="E4218" s="8"/>
      <c r="F4218" s="8"/>
    </row>
    <row r="4219" spans="2:6">
      <c r="B4219" s="44"/>
      <c r="D4219" s="8"/>
      <c r="E4219" s="8"/>
      <c r="F4219" s="8"/>
    </row>
    <row r="4220" spans="2:6">
      <c r="B4220" s="44"/>
      <c r="D4220" s="8"/>
      <c r="E4220" s="8"/>
      <c r="F4220" s="8"/>
    </row>
    <row r="4221" spans="2:6">
      <c r="B4221" s="44"/>
      <c r="D4221" s="8"/>
      <c r="E4221" s="8"/>
      <c r="F4221" s="8"/>
    </row>
    <row r="4222" spans="2:6">
      <c r="B4222" s="44"/>
      <c r="D4222" s="8"/>
      <c r="E4222" s="8"/>
      <c r="F4222" s="8"/>
    </row>
    <row r="4223" spans="2:6">
      <c r="B4223" s="44"/>
      <c r="D4223" s="8"/>
      <c r="E4223" s="8"/>
      <c r="F4223" s="8"/>
    </row>
    <row r="4224" spans="2:6">
      <c r="B4224" s="44"/>
      <c r="D4224" s="8"/>
      <c r="E4224" s="8"/>
      <c r="F4224" s="8"/>
    </row>
    <row r="4225" spans="2:6">
      <c r="B4225" s="44"/>
      <c r="D4225" s="8"/>
      <c r="E4225" s="8"/>
      <c r="F4225" s="8"/>
    </row>
    <row r="4226" spans="2:6">
      <c r="B4226" s="44"/>
      <c r="D4226" s="8"/>
      <c r="E4226" s="8"/>
      <c r="F4226" s="8"/>
    </row>
    <row r="4227" spans="2:6">
      <c r="B4227" s="44"/>
      <c r="D4227" s="8"/>
      <c r="E4227" s="8"/>
      <c r="F4227" s="8"/>
    </row>
    <row r="4228" spans="2:6">
      <c r="B4228" s="44"/>
      <c r="D4228" s="8"/>
      <c r="E4228" s="8"/>
      <c r="F4228" s="8"/>
    </row>
    <row r="4229" spans="2:6">
      <c r="B4229" s="44"/>
      <c r="D4229" s="8"/>
      <c r="E4229" s="8"/>
      <c r="F4229" s="8"/>
    </row>
    <row r="4230" spans="2:6">
      <c r="B4230" s="44"/>
      <c r="D4230" s="8"/>
      <c r="E4230" s="8"/>
      <c r="F4230" s="8"/>
    </row>
    <row r="4231" spans="2:6">
      <c r="B4231" s="44"/>
      <c r="D4231" s="8"/>
      <c r="E4231" s="8"/>
      <c r="F4231" s="8"/>
    </row>
    <row r="4232" spans="2:6">
      <c r="B4232" s="44"/>
      <c r="D4232" s="8"/>
      <c r="E4232" s="8"/>
      <c r="F4232" s="8"/>
    </row>
    <row r="4233" spans="2:6">
      <c r="B4233" s="44"/>
      <c r="D4233" s="8"/>
      <c r="E4233" s="8"/>
      <c r="F4233" s="8"/>
    </row>
    <row r="4234" spans="2:6">
      <c r="B4234" s="44"/>
      <c r="D4234" s="8"/>
      <c r="E4234" s="8"/>
      <c r="F4234" s="8"/>
    </row>
    <row r="4235" spans="2:6">
      <c r="B4235" s="44"/>
      <c r="D4235" s="8"/>
      <c r="E4235" s="8"/>
      <c r="F4235" s="8"/>
    </row>
    <row r="4236" spans="2:6">
      <c r="B4236" s="44"/>
      <c r="D4236" s="8"/>
      <c r="E4236" s="8"/>
      <c r="F4236" s="8"/>
    </row>
    <row r="4237" spans="2:6">
      <c r="B4237" s="44"/>
      <c r="D4237" s="8"/>
      <c r="E4237" s="8"/>
      <c r="F4237" s="8"/>
    </row>
    <row r="4238" spans="2:6">
      <c r="B4238" s="44"/>
      <c r="D4238" s="8"/>
      <c r="E4238" s="8"/>
      <c r="F4238" s="8"/>
    </row>
    <row r="4239" spans="2:6">
      <c r="B4239" s="44"/>
      <c r="D4239" s="8"/>
      <c r="E4239" s="8"/>
      <c r="F4239" s="8"/>
    </row>
    <row r="4240" spans="2:6">
      <c r="B4240" s="44"/>
      <c r="D4240" s="8"/>
      <c r="E4240" s="8"/>
      <c r="F4240" s="8"/>
    </row>
    <row r="4241" spans="2:6">
      <c r="B4241" s="44"/>
      <c r="D4241" s="8"/>
      <c r="E4241" s="8"/>
      <c r="F4241" s="8"/>
    </row>
    <row r="4242" spans="2:6">
      <c r="B4242" s="44"/>
      <c r="D4242" s="8"/>
      <c r="E4242" s="8"/>
      <c r="F4242" s="8"/>
    </row>
    <row r="4243" spans="2:6">
      <c r="B4243" s="44"/>
      <c r="D4243" s="8"/>
      <c r="E4243" s="8"/>
      <c r="F4243" s="8"/>
    </row>
    <row r="4244" spans="2:6">
      <c r="B4244" s="44"/>
      <c r="D4244" s="8"/>
      <c r="E4244" s="8"/>
      <c r="F4244" s="8"/>
    </row>
    <row r="4245" spans="2:6">
      <c r="B4245" s="44"/>
      <c r="D4245" s="8"/>
      <c r="E4245" s="8"/>
      <c r="F4245" s="8"/>
    </row>
    <row r="4246" spans="2:6">
      <c r="B4246" s="44"/>
      <c r="D4246" s="8"/>
      <c r="E4246" s="8"/>
      <c r="F4246" s="8"/>
    </row>
    <row r="4247" spans="2:6">
      <c r="B4247" s="44"/>
      <c r="D4247" s="8"/>
      <c r="E4247" s="8"/>
      <c r="F4247" s="8"/>
    </row>
    <row r="4248" spans="2:6">
      <c r="B4248" s="44"/>
      <c r="D4248" s="8"/>
      <c r="E4248" s="8"/>
      <c r="F4248" s="8"/>
    </row>
    <row r="4249" spans="2:6">
      <c r="B4249" s="44"/>
      <c r="D4249" s="8"/>
      <c r="E4249" s="8"/>
      <c r="F4249" s="8"/>
    </row>
    <row r="4250" spans="2:6">
      <c r="B4250" s="44"/>
      <c r="D4250" s="8"/>
      <c r="E4250" s="8"/>
      <c r="F4250" s="8"/>
    </row>
    <row r="4251" spans="2:6">
      <c r="B4251" s="44"/>
      <c r="D4251" s="8"/>
      <c r="E4251" s="8"/>
      <c r="F4251" s="8"/>
    </row>
    <row r="4252" spans="2:6">
      <c r="B4252" s="44"/>
      <c r="D4252" s="8"/>
      <c r="E4252" s="8"/>
      <c r="F4252" s="8"/>
    </row>
    <row r="4253" spans="2:6">
      <c r="B4253" s="44"/>
      <c r="D4253" s="8"/>
      <c r="E4253" s="8"/>
      <c r="F4253" s="8"/>
    </row>
    <row r="4254" spans="2:6">
      <c r="B4254" s="44"/>
      <c r="D4254" s="8"/>
      <c r="E4254" s="8"/>
      <c r="F4254" s="8"/>
    </row>
    <row r="4255" spans="2:6">
      <c r="B4255" s="44"/>
      <c r="D4255" s="8"/>
      <c r="E4255" s="8"/>
      <c r="F4255" s="8"/>
    </row>
    <row r="4256" spans="2:6">
      <c r="B4256" s="44"/>
      <c r="D4256" s="8"/>
      <c r="E4256" s="8"/>
      <c r="F4256" s="8"/>
    </row>
    <row r="4257" spans="2:6">
      <c r="B4257" s="44"/>
      <c r="D4257" s="8"/>
      <c r="E4257" s="8"/>
      <c r="F4257" s="8"/>
    </row>
    <row r="4258" spans="2:6">
      <c r="B4258" s="44"/>
      <c r="D4258" s="8"/>
      <c r="E4258" s="8"/>
      <c r="F4258" s="8"/>
    </row>
    <row r="4259" spans="2:6">
      <c r="B4259" s="44"/>
      <c r="D4259" s="8"/>
      <c r="E4259" s="8"/>
      <c r="F4259" s="8"/>
    </row>
    <row r="4260" spans="2:6">
      <c r="B4260" s="44"/>
      <c r="D4260" s="8"/>
      <c r="E4260" s="8"/>
      <c r="F4260" s="8"/>
    </row>
    <row r="4261" spans="2:6">
      <c r="B4261" s="44"/>
      <c r="D4261" s="8"/>
      <c r="E4261" s="8"/>
      <c r="F4261" s="8"/>
    </row>
    <row r="4262" spans="2:6">
      <c r="B4262" s="44"/>
      <c r="D4262" s="8"/>
      <c r="E4262" s="8"/>
      <c r="F4262" s="8"/>
    </row>
    <row r="4263" spans="2:6">
      <c r="B4263" s="44"/>
      <c r="D4263" s="8"/>
      <c r="E4263" s="8"/>
      <c r="F4263" s="8"/>
    </row>
    <row r="4264" spans="2:6">
      <c r="B4264" s="44"/>
      <c r="D4264" s="8"/>
      <c r="E4264" s="8"/>
      <c r="F4264" s="8"/>
    </row>
    <row r="4265" spans="2:6">
      <c r="B4265" s="44"/>
      <c r="D4265" s="8"/>
      <c r="E4265" s="8"/>
      <c r="F4265" s="8"/>
    </row>
    <row r="4266" spans="2:6">
      <c r="B4266" s="44"/>
      <c r="D4266" s="8"/>
      <c r="E4266" s="8"/>
      <c r="F4266" s="8"/>
    </row>
    <row r="4267" spans="2:6">
      <c r="B4267" s="44"/>
      <c r="D4267" s="8"/>
      <c r="E4267" s="8"/>
      <c r="F4267" s="8"/>
    </row>
    <row r="4268" spans="2:6">
      <c r="B4268" s="44"/>
      <c r="D4268" s="8"/>
      <c r="E4268" s="8"/>
      <c r="F4268" s="8"/>
    </row>
    <row r="4269" spans="2:6">
      <c r="B4269" s="44"/>
      <c r="D4269" s="8"/>
      <c r="E4269" s="8"/>
      <c r="F4269" s="8"/>
    </row>
    <row r="4270" spans="2:6">
      <c r="B4270" s="44"/>
      <c r="D4270" s="8"/>
      <c r="E4270" s="8"/>
      <c r="F4270" s="8"/>
    </row>
    <row r="4271" spans="2:6">
      <c r="B4271" s="44"/>
      <c r="D4271" s="8"/>
      <c r="E4271" s="8"/>
      <c r="F4271" s="8"/>
    </row>
    <row r="4272" spans="2:6">
      <c r="B4272" s="44"/>
      <c r="D4272" s="8"/>
      <c r="E4272" s="8"/>
      <c r="F4272" s="8"/>
    </row>
    <row r="4273" spans="2:6">
      <c r="B4273" s="44"/>
      <c r="D4273" s="8"/>
      <c r="E4273" s="8"/>
      <c r="F4273" s="8"/>
    </row>
    <row r="4274" spans="2:6">
      <c r="B4274" s="44"/>
      <c r="D4274" s="8"/>
      <c r="E4274" s="8"/>
      <c r="F4274" s="8"/>
    </row>
    <row r="4275" spans="2:6">
      <c r="B4275" s="44"/>
      <c r="D4275" s="8"/>
      <c r="E4275" s="8"/>
      <c r="F4275" s="8"/>
    </row>
    <row r="4276" spans="2:6">
      <c r="B4276" s="44"/>
      <c r="D4276" s="8"/>
      <c r="E4276" s="8"/>
      <c r="F4276" s="8"/>
    </row>
    <row r="4277" spans="2:6">
      <c r="B4277" s="44"/>
      <c r="D4277" s="8"/>
      <c r="E4277" s="8"/>
      <c r="F4277" s="8"/>
    </row>
    <row r="4278" spans="2:6">
      <c r="B4278" s="44"/>
      <c r="D4278" s="8"/>
      <c r="E4278" s="8"/>
      <c r="F4278" s="8"/>
    </row>
    <row r="4279" spans="2:6">
      <c r="B4279" s="44"/>
      <c r="D4279" s="8"/>
      <c r="E4279" s="8"/>
      <c r="F4279" s="8"/>
    </row>
    <row r="4280" spans="2:6">
      <c r="B4280" s="44"/>
      <c r="D4280" s="8"/>
      <c r="E4280" s="8"/>
      <c r="F4280" s="8"/>
    </row>
    <row r="4281" spans="2:6">
      <c r="B4281" s="44"/>
      <c r="D4281" s="8"/>
      <c r="E4281" s="8"/>
      <c r="F4281" s="8"/>
    </row>
    <row r="4282" spans="2:6">
      <c r="B4282" s="44"/>
      <c r="D4282" s="8"/>
      <c r="E4282" s="8"/>
      <c r="F4282" s="8"/>
    </row>
    <row r="4283" spans="2:6">
      <c r="B4283" s="44"/>
      <c r="D4283" s="8"/>
      <c r="E4283" s="8"/>
      <c r="F4283" s="8"/>
    </row>
    <row r="4284" spans="2:6">
      <c r="B4284" s="44"/>
      <c r="D4284" s="8"/>
      <c r="E4284" s="8"/>
      <c r="F4284" s="8"/>
    </row>
    <row r="4285" spans="2:6">
      <c r="B4285" s="44"/>
      <c r="D4285" s="8"/>
      <c r="E4285" s="8"/>
      <c r="F4285" s="8"/>
    </row>
    <row r="4286" spans="2:6">
      <c r="B4286" s="44"/>
      <c r="D4286" s="8"/>
      <c r="E4286" s="8"/>
      <c r="F4286" s="8"/>
    </row>
    <row r="4287" spans="2:6">
      <c r="B4287" s="44"/>
      <c r="D4287" s="8"/>
      <c r="E4287" s="8"/>
      <c r="F4287" s="8"/>
    </row>
    <row r="4288" spans="2:6">
      <c r="B4288" s="44"/>
      <c r="D4288" s="8"/>
      <c r="E4288" s="8"/>
      <c r="F4288" s="8"/>
    </row>
    <row r="4289" spans="2:6">
      <c r="B4289" s="44"/>
      <c r="D4289" s="8"/>
      <c r="E4289" s="8"/>
      <c r="F4289" s="8"/>
    </row>
    <row r="4290" spans="2:6">
      <c r="B4290" s="44"/>
      <c r="D4290" s="8"/>
      <c r="E4290" s="8"/>
      <c r="F4290" s="8"/>
    </row>
    <row r="4291" spans="2:6">
      <c r="B4291" s="44"/>
      <c r="D4291" s="8"/>
      <c r="E4291" s="8"/>
      <c r="F4291" s="8"/>
    </row>
    <row r="4292" spans="2:6">
      <c r="B4292" s="44"/>
      <c r="D4292" s="8"/>
      <c r="E4292" s="8"/>
      <c r="F4292" s="8"/>
    </row>
    <row r="4293" spans="2:6">
      <c r="B4293" s="44"/>
      <c r="D4293" s="8"/>
      <c r="E4293" s="8"/>
      <c r="F4293" s="8"/>
    </row>
    <row r="4294" spans="2:6">
      <c r="B4294" s="44"/>
      <c r="D4294" s="8"/>
      <c r="E4294" s="8"/>
      <c r="F4294" s="8"/>
    </row>
    <row r="4295" spans="2:6">
      <c r="B4295" s="44"/>
      <c r="D4295" s="8"/>
      <c r="E4295" s="8"/>
      <c r="F4295" s="8"/>
    </row>
    <row r="4296" spans="2:6">
      <c r="B4296" s="44"/>
      <c r="D4296" s="8"/>
      <c r="E4296" s="8"/>
      <c r="F4296" s="8"/>
    </row>
    <row r="4297" spans="2:6">
      <c r="B4297" s="44"/>
      <c r="D4297" s="8"/>
      <c r="E4297" s="8"/>
      <c r="F4297" s="8"/>
    </row>
    <row r="4298" spans="2:6">
      <c r="B4298" s="44"/>
      <c r="D4298" s="8"/>
      <c r="E4298" s="8"/>
      <c r="F4298" s="8"/>
    </row>
    <row r="4299" spans="2:6">
      <c r="B4299" s="44"/>
      <c r="D4299" s="8"/>
      <c r="E4299" s="8"/>
      <c r="F4299" s="8"/>
    </row>
    <row r="4300" spans="2:6">
      <c r="B4300" s="44"/>
      <c r="D4300" s="8"/>
      <c r="E4300" s="8"/>
      <c r="F4300" s="8"/>
    </row>
    <row r="4301" spans="2:6">
      <c r="B4301" s="44"/>
      <c r="D4301" s="8"/>
      <c r="E4301" s="8"/>
      <c r="F4301" s="8"/>
    </row>
    <row r="4302" spans="2:6">
      <c r="B4302" s="44"/>
      <c r="D4302" s="8"/>
      <c r="E4302" s="8"/>
      <c r="F4302" s="8"/>
    </row>
    <row r="4303" spans="2:6">
      <c r="B4303" s="44"/>
      <c r="D4303" s="8"/>
      <c r="E4303" s="8"/>
      <c r="F4303" s="8"/>
    </row>
    <row r="4304" spans="2:6">
      <c r="B4304" s="44"/>
      <c r="D4304" s="8"/>
      <c r="E4304" s="8"/>
      <c r="F4304" s="8"/>
    </row>
    <row r="4305" spans="2:6">
      <c r="B4305" s="44"/>
      <c r="D4305" s="8"/>
      <c r="E4305" s="8"/>
      <c r="F4305" s="8"/>
    </row>
    <row r="4306" spans="2:6">
      <c r="B4306" s="44"/>
      <c r="D4306" s="8"/>
      <c r="E4306" s="8"/>
      <c r="F4306" s="8"/>
    </row>
    <row r="4307" spans="2:6">
      <c r="B4307" s="44"/>
      <c r="D4307" s="8"/>
      <c r="E4307" s="8"/>
      <c r="F4307" s="8"/>
    </row>
    <row r="4308" spans="2:6">
      <c r="B4308" s="44"/>
      <c r="D4308" s="8"/>
      <c r="E4308" s="8"/>
      <c r="F4308" s="8"/>
    </row>
    <row r="4309" spans="2:6">
      <c r="B4309" s="44"/>
      <c r="D4309" s="8"/>
      <c r="E4309" s="8"/>
      <c r="F4309" s="8"/>
    </row>
    <row r="4310" spans="2:6">
      <c r="B4310" s="44"/>
      <c r="D4310" s="8"/>
      <c r="E4310" s="8"/>
      <c r="F4310" s="8"/>
    </row>
    <row r="4311" spans="2:6">
      <c r="B4311" s="44"/>
      <c r="D4311" s="8"/>
      <c r="E4311" s="8"/>
      <c r="F4311" s="8"/>
    </row>
    <row r="4312" spans="2:6">
      <c r="B4312" s="44"/>
      <c r="D4312" s="8"/>
      <c r="E4312" s="8"/>
      <c r="F4312" s="8"/>
    </row>
    <row r="4313" spans="2:6">
      <c r="B4313" s="44"/>
      <c r="D4313" s="8"/>
      <c r="E4313" s="8"/>
      <c r="F4313" s="8"/>
    </row>
    <row r="4314" spans="2:6">
      <c r="B4314" s="44"/>
      <c r="D4314" s="8"/>
      <c r="E4314" s="8"/>
      <c r="F4314" s="8"/>
    </row>
    <row r="4315" spans="2:6">
      <c r="B4315" s="44"/>
      <c r="D4315" s="8"/>
      <c r="E4315" s="8"/>
      <c r="F4315" s="8"/>
    </row>
    <row r="4316" spans="2:6">
      <c r="B4316" s="44"/>
      <c r="D4316" s="8"/>
      <c r="E4316" s="8"/>
      <c r="F4316" s="8"/>
    </row>
    <row r="4317" spans="2:6">
      <c r="B4317" s="44"/>
      <c r="D4317" s="8"/>
      <c r="E4317" s="8"/>
      <c r="F4317" s="8"/>
    </row>
    <row r="4318" spans="2:6">
      <c r="B4318" s="44"/>
      <c r="D4318" s="8"/>
      <c r="E4318" s="8"/>
      <c r="F4318" s="8"/>
    </row>
    <row r="4319" spans="2:6">
      <c r="B4319" s="44"/>
      <c r="D4319" s="8"/>
      <c r="E4319" s="8"/>
      <c r="F4319" s="8"/>
    </row>
    <row r="4320" spans="2:6">
      <c r="B4320" s="44"/>
      <c r="D4320" s="8"/>
      <c r="E4320" s="8"/>
      <c r="F4320" s="8"/>
    </row>
    <row r="4321" spans="2:6">
      <c r="B4321" s="44"/>
      <c r="D4321" s="8"/>
      <c r="E4321" s="8"/>
      <c r="F4321" s="8"/>
    </row>
    <row r="4322" spans="2:6">
      <c r="B4322" s="44"/>
      <c r="D4322" s="8"/>
      <c r="E4322" s="8"/>
      <c r="F4322" s="8"/>
    </row>
    <row r="4323" spans="2:6">
      <c r="B4323" s="44"/>
      <c r="D4323" s="8"/>
      <c r="E4323" s="8"/>
      <c r="F4323" s="8"/>
    </row>
    <row r="4324" spans="2:6">
      <c r="B4324" s="44"/>
      <c r="D4324" s="8"/>
      <c r="E4324" s="8"/>
      <c r="F4324" s="8"/>
    </row>
    <row r="4325" spans="2:6">
      <c r="B4325" s="44"/>
      <c r="D4325" s="8"/>
      <c r="E4325" s="8"/>
      <c r="F4325" s="8"/>
    </row>
    <row r="4326" spans="2:6">
      <c r="B4326" s="44"/>
      <c r="D4326" s="8"/>
      <c r="E4326" s="8"/>
      <c r="F4326" s="8"/>
    </row>
    <row r="4327" spans="2:6">
      <c r="B4327" s="44"/>
      <c r="D4327" s="8"/>
      <c r="E4327" s="8"/>
      <c r="F4327" s="8"/>
    </row>
    <row r="4328" spans="2:6">
      <c r="B4328" s="44"/>
      <c r="D4328" s="8"/>
      <c r="E4328" s="8"/>
      <c r="F4328" s="8"/>
    </row>
    <row r="4329" spans="2:6">
      <c r="B4329" s="44"/>
      <c r="D4329" s="8"/>
      <c r="E4329" s="8"/>
      <c r="F4329" s="8"/>
    </row>
    <row r="4330" spans="2:6">
      <c r="B4330" s="44"/>
      <c r="D4330" s="8"/>
      <c r="E4330" s="8"/>
      <c r="F4330" s="8"/>
    </row>
    <row r="4331" spans="2:6">
      <c r="B4331" s="44"/>
      <c r="D4331" s="8"/>
      <c r="E4331" s="8"/>
      <c r="F4331" s="8"/>
    </row>
    <row r="4332" spans="2:6">
      <c r="B4332" s="44"/>
      <c r="D4332" s="8"/>
      <c r="E4332" s="8"/>
      <c r="F4332" s="8"/>
    </row>
    <row r="4333" spans="2:6">
      <c r="B4333" s="44"/>
      <c r="D4333" s="8"/>
      <c r="E4333" s="8"/>
      <c r="F4333" s="8"/>
    </row>
    <row r="4334" spans="2:6">
      <c r="B4334" s="44"/>
      <c r="D4334" s="8"/>
      <c r="E4334" s="8"/>
      <c r="F4334" s="8"/>
    </row>
    <row r="4335" spans="2:6">
      <c r="B4335" s="44"/>
      <c r="D4335" s="8"/>
      <c r="E4335" s="8"/>
      <c r="F4335" s="8"/>
    </row>
    <row r="4336" spans="2:6">
      <c r="B4336" s="44"/>
      <c r="D4336" s="8"/>
      <c r="E4336" s="8"/>
      <c r="F4336" s="8"/>
    </row>
    <row r="4337" spans="2:6">
      <c r="B4337" s="44"/>
      <c r="D4337" s="8"/>
      <c r="E4337" s="8"/>
      <c r="F4337" s="8"/>
    </row>
    <row r="4338" spans="2:6">
      <c r="B4338" s="44"/>
      <c r="D4338" s="8"/>
      <c r="E4338" s="8"/>
      <c r="F4338" s="8"/>
    </row>
    <row r="4339" spans="2:6">
      <c r="B4339" s="44"/>
      <c r="D4339" s="8"/>
      <c r="E4339" s="8"/>
      <c r="F4339" s="8"/>
    </row>
    <row r="4340" spans="2:6">
      <c r="B4340" s="44"/>
      <c r="D4340" s="8"/>
      <c r="E4340" s="8"/>
      <c r="F4340" s="8"/>
    </row>
    <row r="4341" spans="2:6">
      <c r="B4341" s="44"/>
      <c r="D4341" s="8"/>
      <c r="E4341" s="8"/>
      <c r="F4341" s="8"/>
    </row>
    <row r="4342" spans="2:6">
      <c r="B4342" s="44"/>
      <c r="D4342" s="8"/>
      <c r="E4342" s="8"/>
      <c r="F4342" s="8"/>
    </row>
    <row r="4343" spans="2:6">
      <c r="B4343" s="44"/>
      <c r="D4343" s="8"/>
      <c r="E4343" s="8"/>
      <c r="F4343" s="8"/>
    </row>
    <row r="4344" spans="2:6">
      <c r="B4344" s="44"/>
      <c r="D4344" s="8"/>
      <c r="E4344" s="8"/>
      <c r="F4344" s="8"/>
    </row>
    <row r="4345" spans="2:6">
      <c r="B4345" s="44"/>
      <c r="D4345" s="8"/>
      <c r="E4345" s="8"/>
      <c r="F4345" s="8"/>
    </row>
    <row r="4346" spans="2:6">
      <c r="B4346" s="44"/>
      <c r="D4346" s="8"/>
      <c r="E4346" s="8"/>
      <c r="F4346" s="8"/>
    </row>
    <row r="4347" spans="2:6">
      <c r="B4347" s="44"/>
      <c r="D4347" s="8"/>
      <c r="E4347" s="8"/>
      <c r="F4347" s="8"/>
    </row>
    <row r="4348" spans="2:6">
      <c r="B4348" s="44"/>
      <c r="D4348" s="8"/>
      <c r="E4348" s="8"/>
      <c r="F4348" s="8"/>
    </row>
    <row r="4349" spans="2:6">
      <c r="B4349" s="44"/>
      <c r="D4349" s="8"/>
      <c r="E4349" s="8"/>
      <c r="F4349" s="8"/>
    </row>
    <row r="4350" spans="2:6">
      <c r="B4350" s="44"/>
      <c r="D4350" s="8"/>
      <c r="E4350" s="8"/>
      <c r="F4350" s="8"/>
    </row>
    <row r="4351" spans="2:6">
      <c r="B4351" s="44"/>
      <c r="D4351" s="8"/>
      <c r="E4351" s="8"/>
      <c r="F4351" s="8"/>
    </row>
    <row r="4352" spans="2:6">
      <c r="B4352" s="44"/>
      <c r="D4352" s="8"/>
      <c r="E4352" s="8"/>
      <c r="F4352" s="8"/>
    </row>
    <row r="4353" spans="2:6">
      <c r="B4353" s="44"/>
      <c r="D4353" s="8"/>
      <c r="E4353" s="8"/>
      <c r="F4353" s="8"/>
    </row>
    <row r="4354" spans="2:6">
      <c r="B4354" s="44"/>
      <c r="D4354" s="8"/>
      <c r="E4354" s="8"/>
      <c r="F4354" s="8"/>
    </row>
    <row r="4355" spans="2:6">
      <c r="B4355" s="44"/>
      <c r="D4355" s="8"/>
      <c r="E4355" s="8"/>
      <c r="F4355" s="8"/>
    </row>
    <row r="4356" spans="2:6">
      <c r="B4356" s="44"/>
      <c r="D4356" s="8"/>
      <c r="E4356" s="8"/>
      <c r="F4356" s="8"/>
    </row>
    <row r="4357" spans="2:6">
      <c r="B4357" s="44"/>
      <c r="D4357" s="8"/>
      <c r="E4357" s="8"/>
      <c r="F4357" s="8"/>
    </row>
    <row r="4358" spans="2:6">
      <c r="B4358" s="44"/>
      <c r="D4358" s="8"/>
      <c r="E4358" s="8"/>
      <c r="F4358" s="8"/>
    </row>
    <row r="4359" spans="2:6">
      <c r="B4359" s="44"/>
      <c r="D4359" s="8"/>
      <c r="E4359" s="8"/>
      <c r="F4359" s="8"/>
    </row>
    <row r="4360" spans="2:6">
      <c r="B4360" s="44"/>
      <c r="D4360" s="8"/>
      <c r="E4360" s="8"/>
      <c r="F4360" s="8"/>
    </row>
    <row r="4361" spans="2:6">
      <c r="B4361" s="44"/>
      <c r="D4361" s="8"/>
      <c r="E4361" s="8"/>
      <c r="F4361" s="8"/>
    </row>
    <row r="4362" spans="2:6">
      <c r="B4362" s="44"/>
      <c r="D4362" s="8"/>
      <c r="E4362" s="8"/>
      <c r="F4362" s="8"/>
    </row>
    <row r="4363" spans="2:6">
      <c r="B4363" s="44"/>
      <c r="D4363" s="8"/>
      <c r="E4363" s="8"/>
      <c r="F4363" s="8"/>
    </row>
    <row r="4364" spans="2:6">
      <c r="B4364" s="44"/>
      <c r="D4364" s="8"/>
      <c r="E4364" s="8"/>
      <c r="F4364" s="8"/>
    </row>
    <row r="4365" spans="2:6">
      <c r="B4365" s="44"/>
      <c r="D4365" s="8"/>
      <c r="E4365" s="8"/>
      <c r="F4365" s="8"/>
    </row>
    <row r="4366" spans="2:6">
      <c r="B4366" s="44"/>
      <c r="D4366" s="8"/>
      <c r="E4366" s="8"/>
      <c r="F4366" s="8"/>
    </row>
    <row r="4367" spans="2:6">
      <c r="B4367" s="44"/>
      <c r="D4367" s="8"/>
      <c r="E4367" s="8"/>
      <c r="F4367" s="8"/>
    </row>
    <row r="4368" spans="2:6">
      <c r="B4368" s="44"/>
      <c r="D4368" s="8"/>
      <c r="E4368" s="8"/>
      <c r="F4368" s="8"/>
    </row>
    <row r="4369" spans="2:6">
      <c r="B4369" s="44"/>
      <c r="D4369" s="8"/>
      <c r="E4369" s="8"/>
      <c r="F4369" s="8"/>
    </row>
    <row r="4370" spans="2:6">
      <c r="B4370" s="44"/>
      <c r="D4370" s="8"/>
      <c r="E4370" s="8"/>
      <c r="F4370" s="8"/>
    </row>
    <row r="4371" spans="2:6">
      <c r="B4371" s="44"/>
      <c r="D4371" s="8"/>
      <c r="E4371" s="8"/>
      <c r="F4371" s="8"/>
    </row>
    <row r="4372" spans="2:6">
      <c r="B4372" s="44"/>
      <c r="D4372" s="8"/>
      <c r="E4372" s="8"/>
      <c r="F4372" s="8"/>
    </row>
    <row r="4373" spans="2:6">
      <c r="B4373" s="44"/>
      <c r="D4373" s="8"/>
      <c r="E4373" s="8"/>
      <c r="F4373" s="8"/>
    </row>
    <row r="4374" spans="2:6">
      <c r="B4374" s="44"/>
      <c r="D4374" s="8"/>
      <c r="E4374" s="8"/>
      <c r="F4374" s="8"/>
    </row>
    <row r="4375" spans="2:6">
      <c r="B4375" s="44"/>
      <c r="D4375" s="8"/>
      <c r="E4375" s="8"/>
      <c r="F4375" s="8"/>
    </row>
    <row r="4376" spans="2:6">
      <c r="B4376" s="44"/>
      <c r="D4376" s="8"/>
      <c r="E4376" s="8"/>
      <c r="F4376" s="8"/>
    </row>
    <row r="4377" spans="2:6">
      <c r="B4377" s="44"/>
      <c r="D4377" s="8"/>
      <c r="E4377" s="8"/>
      <c r="F4377" s="8"/>
    </row>
    <row r="4378" spans="2:6">
      <c r="B4378" s="44"/>
      <c r="D4378" s="8"/>
      <c r="E4378" s="8"/>
      <c r="F4378" s="8"/>
    </row>
    <row r="4379" spans="2:6">
      <c r="B4379" s="44"/>
      <c r="D4379" s="8"/>
      <c r="E4379" s="8"/>
      <c r="F4379" s="8"/>
    </row>
    <row r="4380" spans="2:6">
      <c r="B4380" s="44"/>
      <c r="D4380" s="8"/>
      <c r="E4380" s="8"/>
      <c r="F4380" s="8"/>
    </row>
    <row r="4381" spans="2:6">
      <c r="B4381" s="44"/>
      <c r="D4381" s="8"/>
      <c r="E4381" s="8"/>
      <c r="F4381" s="8"/>
    </row>
    <row r="4382" spans="2:6">
      <c r="B4382" s="44"/>
      <c r="D4382" s="8"/>
      <c r="E4382" s="8"/>
      <c r="F4382" s="8"/>
    </row>
    <row r="4383" spans="2:6">
      <c r="B4383" s="44"/>
      <c r="D4383" s="8"/>
      <c r="E4383" s="8"/>
      <c r="F4383" s="8"/>
    </row>
    <row r="4384" spans="2:6">
      <c r="B4384" s="44"/>
      <c r="D4384" s="8"/>
      <c r="E4384" s="8"/>
      <c r="F4384" s="8"/>
    </row>
    <row r="4385" spans="2:6">
      <c r="B4385" s="44"/>
      <c r="D4385" s="8"/>
      <c r="E4385" s="8"/>
      <c r="F4385" s="8"/>
    </row>
    <row r="4386" spans="2:6">
      <c r="B4386" s="44"/>
      <c r="D4386" s="8"/>
      <c r="E4386" s="8"/>
      <c r="F4386" s="8"/>
    </row>
    <row r="4387" spans="2:6">
      <c r="B4387" s="44"/>
      <c r="D4387" s="8"/>
      <c r="E4387" s="8"/>
      <c r="F4387" s="8"/>
    </row>
    <row r="4388" spans="2:6">
      <c r="B4388" s="44"/>
      <c r="D4388" s="8"/>
      <c r="E4388" s="8"/>
      <c r="F4388" s="8"/>
    </row>
    <row r="4389" spans="2:6">
      <c r="B4389" s="44"/>
      <c r="D4389" s="8"/>
      <c r="E4389" s="8"/>
      <c r="F4389" s="8"/>
    </row>
    <row r="4390" spans="2:6">
      <c r="B4390" s="44"/>
      <c r="D4390" s="8"/>
      <c r="E4390" s="8"/>
      <c r="F4390" s="8"/>
    </row>
    <row r="4391" spans="2:6">
      <c r="B4391" s="44"/>
      <c r="D4391" s="8"/>
      <c r="E4391" s="8"/>
      <c r="F4391" s="8"/>
    </row>
    <row r="4392" spans="2:6">
      <c r="B4392" s="44"/>
      <c r="D4392" s="8"/>
      <c r="E4392" s="8"/>
      <c r="F4392" s="8"/>
    </row>
    <row r="4393" spans="2:6">
      <c r="B4393" s="44"/>
      <c r="D4393" s="8"/>
      <c r="E4393" s="8"/>
      <c r="F4393" s="8"/>
    </row>
    <row r="4394" spans="2:6">
      <c r="B4394" s="44"/>
      <c r="D4394" s="8"/>
      <c r="E4394" s="8"/>
      <c r="F4394" s="8"/>
    </row>
    <row r="4395" spans="2:6">
      <c r="B4395" s="44"/>
      <c r="D4395" s="8"/>
      <c r="E4395" s="8"/>
      <c r="F4395" s="8"/>
    </row>
    <row r="4396" spans="2:6">
      <c r="B4396" s="44"/>
      <c r="D4396" s="8"/>
      <c r="E4396" s="8"/>
      <c r="F4396" s="8"/>
    </row>
    <row r="4397" spans="2:6">
      <c r="B4397" s="44"/>
      <c r="D4397" s="8"/>
      <c r="E4397" s="8"/>
      <c r="F4397" s="8"/>
    </row>
    <row r="4398" spans="2:6">
      <c r="B4398" s="44"/>
      <c r="D4398" s="8"/>
      <c r="E4398" s="8"/>
      <c r="F4398" s="8"/>
    </row>
    <row r="4399" spans="2:6">
      <c r="B4399" s="44"/>
      <c r="D4399" s="8"/>
      <c r="E4399" s="8"/>
      <c r="F4399" s="8"/>
    </row>
    <row r="4400" spans="2:6">
      <c r="B4400" s="44"/>
      <c r="D4400" s="8"/>
      <c r="E4400" s="8"/>
      <c r="F4400" s="8"/>
    </row>
    <row r="4401" spans="2:6">
      <c r="B4401" s="44"/>
      <c r="D4401" s="8"/>
      <c r="E4401" s="8"/>
      <c r="F4401" s="8"/>
    </row>
    <row r="4402" spans="2:6">
      <c r="B4402" s="44"/>
      <c r="D4402" s="8"/>
      <c r="E4402" s="8"/>
      <c r="F4402" s="8"/>
    </row>
    <row r="4403" spans="2:6">
      <c r="B4403" s="44"/>
      <c r="D4403" s="8"/>
      <c r="E4403" s="8"/>
      <c r="F4403" s="8"/>
    </row>
    <row r="4404" spans="2:6">
      <c r="B4404" s="44"/>
      <c r="D4404" s="8"/>
      <c r="E4404" s="8"/>
      <c r="F4404" s="8"/>
    </row>
    <row r="4405" spans="2:6">
      <c r="B4405" s="44"/>
      <c r="D4405" s="8"/>
      <c r="E4405" s="8"/>
      <c r="F4405" s="8"/>
    </row>
    <row r="4406" spans="2:6">
      <c r="B4406" s="44"/>
      <c r="D4406" s="8"/>
      <c r="E4406" s="8"/>
      <c r="F4406" s="8"/>
    </row>
    <row r="4407" spans="2:6">
      <c r="B4407" s="44"/>
      <c r="D4407" s="8"/>
      <c r="E4407" s="8"/>
      <c r="F4407" s="8"/>
    </row>
    <row r="4408" spans="2:6">
      <c r="B4408" s="44"/>
      <c r="D4408" s="8"/>
      <c r="E4408" s="8"/>
      <c r="F4408" s="8"/>
    </row>
    <row r="4409" spans="2:6">
      <c r="B4409" s="44"/>
      <c r="D4409" s="8"/>
      <c r="E4409" s="8"/>
      <c r="F4409" s="8"/>
    </row>
    <row r="4410" spans="2:6">
      <c r="B4410" s="44"/>
      <c r="D4410" s="8"/>
      <c r="E4410" s="8"/>
      <c r="F4410" s="8"/>
    </row>
    <row r="4411" spans="2:6">
      <c r="B4411" s="44"/>
      <c r="D4411" s="8"/>
      <c r="E4411" s="8"/>
      <c r="F4411" s="8"/>
    </row>
    <row r="4412" spans="2:6">
      <c r="B4412" s="44"/>
      <c r="D4412" s="8"/>
      <c r="E4412" s="8"/>
      <c r="F4412" s="8"/>
    </row>
    <row r="4413" spans="2:6">
      <c r="B4413" s="44"/>
      <c r="D4413" s="8"/>
      <c r="E4413" s="8"/>
      <c r="F4413" s="8"/>
    </row>
    <row r="4414" spans="2:6">
      <c r="B4414" s="44"/>
      <c r="D4414" s="8"/>
      <c r="E4414" s="8"/>
      <c r="F4414" s="8"/>
    </row>
    <row r="4415" spans="2:6">
      <c r="B4415" s="44"/>
      <c r="D4415" s="8"/>
      <c r="E4415" s="8"/>
      <c r="F4415" s="8"/>
    </row>
    <row r="4416" spans="2:6">
      <c r="B4416" s="44"/>
      <c r="D4416" s="8"/>
      <c r="E4416" s="8"/>
      <c r="F4416" s="8"/>
    </row>
    <row r="4417" spans="2:6">
      <c r="B4417" s="44"/>
      <c r="D4417" s="8"/>
      <c r="E4417" s="8"/>
      <c r="F4417" s="8"/>
    </row>
    <row r="4418" spans="2:6">
      <c r="B4418" s="44"/>
      <c r="D4418" s="8"/>
      <c r="E4418" s="8"/>
      <c r="F4418" s="8"/>
    </row>
    <row r="4419" spans="2:6">
      <c r="B4419" s="44"/>
      <c r="D4419" s="8"/>
      <c r="E4419" s="8"/>
      <c r="F4419" s="8"/>
    </row>
    <row r="4420" spans="2:6">
      <c r="B4420" s="44"/>
      <c r="D4420" s="8"/>
      <c r="E4420" s="8"/>
      <c r="F4420" s="8"/>
    </row>
    <row r="4421" spans="2:6">
      <c r="B4421" s="44"/>
      <c r="D4421" s="8"/>
      <c r="E4421" s="8"/>
      <c r="F4421" s="8"/>
    </row>
    <row r="4422" spans="2:6">
      <c r="B4422" s="44"/>
      <c r="D4422" s="8"/>
      <c r="E4422" s="8"/>
      <c r="F4422" s="8"/>
    </row>
    <row r="4423" spans="2:6">
      <c r="B4423" s="44"/>
      <c r="D4423" s="8"/>
      <c r="E4423" s="8"/>
      <c r="F4423" s="8"/>
    </row>
    <row r="4424" spans="2:6">
      <c r="B4424" s="44"/>
      <c r="D4424" s="8"/>
      <c r="E4424" s="8"/>
      <c r="F4424" s="8"/>
    </row>
    <row r="4425" spans="2:6">
      <c r="B4425" s="44"/>
      <c r="D4425" s="8"/>
      <c r="E4425" s="8"/>
      <c r="F4425" s="8"/>
    </row>
    <row r="4426" spans="2:6">
      <c r="B4426" s="44"/>
      <c r="D4426" s="8"/>
      <c r="E4426" s="8"/>
      <c r="F4426" s="8"/>
    </row>
    <row r="4427" spans="2:6">
      <c r="B4427" s="44"/>
      <c r="D4427" s="8"/>
      <c r="E4427" s="8"/>
      <c r="F4427" s="8"/>
    </row>
    <row r="4428" spans="2:6">
      <c r="B4428" s="44"/>
      <c r="D4428" s="8"/>
      <c r="E4428" s="8"/>
      <c r="F4428" s="8"/>
    </row>
    <row r="4429" spans="2:6">
      <c r="B4429" s="44"/>
      <c r="D4429" s="8"/>
      <c r="E4429" s="8"/>
      <c r="F4429" s="8"/>
    </row>
    <row r="4430" spans="2:6">
      <c r="B4430" s="44"/>
      <c r="D4430" s="8"/>
      <c r="E4430" s="8"/>
      <c r="F4430" s="8"/>
    </row>
    <row r="4431" spans="2:6">
      <c r="B4431" s="44"/>
      <c r="D4431" s="8"/>
      <c r="E4431" s="8"/>
      <c r="F4431" s="8"/>
    </row>
    <row r="4432" spans="2:6">
      <c r="B4432" s="44"/>
      <c r="D4432" s="8"/>
      <c r="E4432" s="8"/>
      <c r="F4432" s="8"/>
    </row>
    <row r="4433" spans="2:6">
      <c r="B4433" s="44"/>
      <c r="D4433" s="8"/>
      <c r="E4433" s="8"/>
      <c r="F4433" s="8"/>
    </row>
    <row r="4434" spans="2:6">
      <c r="B4434" s="44"/>
      <c r="D4434" s="8"/>
      <c r="E4434" s="8"/>
      <c r="F4434" s="8"/>
    </row>
    <row r="4435" spans="2:6">
      <c r="B4435" s="44"/>
      <c r="D4435" s="8"/>
      <c r="E4435" s="8"/>
      <c r="F4435" s="8"/>
    </row>
    <row r="4436" spans="2:6">
      <c r="B4436" s="44"/>
      <c r="D4436" s="8"/>
      <c r="E4436" s="8"/>
      <c r="F4436" s="8"/>
    </row>
    <row r="4437" spans="2:6">
      <c r="B4437" s="44"/>
      <c r="D4437" s="8"/>
      <c r="E4437" s="8"/>
      <c r="F4437" s="8"/>
    </row>
    <row r="4438" spans="2:6">
      <c r="B4438" s="44"/>
      <c r="D4438" s="8"/>
      <c r="E4438" s="8"/>
      <c r="F4438" s="8"/>
    </row>
    <row r="4439" spans="2:6">
      <c r="B4439" s="44"/>
      <c r="D4439" s="8"/>
      <c r="E4439" s="8"/>
      <c r="F4439" s="8"/>
    </row>
    <row r="4440" spans="2:6">
      <c r="B4440" s="44"/>
      <c r="D4440" s="8"/>
      <c r="E4440" s="8"/>
      <c r="F4440" s="8"/>
    </row>
    <row r="4441" spans="2:6">
      <c r="B4441" s="44"/>
      <c r="D4441" s="8"/>
      <c r="E4441" s="8"/>
      <c r="F4441" s="8"/>
    </row>
    <row r="4442" spans="2:6">
      <c r="B4442" s="44"/>
      <c r="D4442" s="8"/>
      <c r="E4442" s="8"/>
      <c r="F4442" s="8"/>
    </row>
    <row r="4443" spans="2:6">
      <c r="B4443" s="44"/>
      <c r="D4443" s="8"/>
      <c r="E4443" s="8"/>
      <c r="F4443" s="8"/>
    </row>
    <row r="4444" spans="2:6">
      <c r="B4444" s="44"/>
      <c r="D4444" s="8"/>
      <c r="E4444" s="8"/>
      <c r="F4444" s="8"/>
    </row>
    <row r="4445" spans="2:6">
      <c r="B4445" s="44"/>
      <c r="D4445" s="8"/>
      <c r="E4445" s="8"/>
      <c r="F4445" s="8"/>
    </row>
    <row r="4446" spans="2:6">
      <c r="B4446" s="44"/>
      <c r="D4446" s="8"/>
      <c r="E4446" s="8"/>
      <c r="F4446" s="8"/>
    </row>
    <row r="4447" spans="2:6">
      <c r="B4447" s="44"/>
      <c r="D4447" s="8"/>
      <c r="E4447" s="8"/>
      <c r="F4447" s="8"/>
    </row>
    <row r="4448" spans="2:6">
      <c r="B4448" s="44"/>
      <c r="D4448" s="8"/>
      <c r="E4448" s="8"/>
      <c r="F4448" s="8"/>
    </row>
    <row r="4449" spans="2:6">
      <c r="B4449" s="44"/>
      <c r="D4449" s="8"/>
      <c r="E4449" s="8"/>
      <c r="F4449" s="8"/>
    </row>
    <row r="4450" spans="2:6">
      <c r="B4450" s="44"/>
      <c r="D4450" s="8"/>
      <c r="E4450" s="8"/>
      <c r="F4450" s="8"/>
    </row>
    <row r="4451" spans="2:6">
      <c r="B4451" s="44"/>
      <c r="D4451" s="8"/>
      <c r="E4451" s="8"/>
      <c r="F4451" s="8"/>
    </row>
    <row r="4452" spans="2:6">
      <c r="B4452" s="44"/>
      <c r="D4452" s="8"/>
      <c r="E4452" s="8"/>
      <c r="F4452" s="8"/>
    </row>
    <row r="4453" spans="2:6">
      <c r="B4453" s="44"/>
      <c r="D4453" s="8"/>
      <c r="E4453" s="8"/>
      <c r="F4453" s="8"/>
    </row>
    <row r="4454" spans="2:6">
      <c r="B4454" s="44"/>
      <c r="D4454" s="8"/>
      <c r="E4454" s="8"/>
      <c r="F4454" s="8"/>
    </row>
    <row r="4455" spans="2:6">
      <c r="B4455" s="44"/>
      <c r="D4455" s="8"/>
      <c r="E4455" s="8"/>
      <c r="F4455" s="8"/>
    </row>
    <row r="4456" spans="2:6">
      <c r="B4456" s="44"/>
      <c r="D4456" s="8"/>
      <c r="E4456" s="8"/>
      <c r="F4456" s="8"/>
    </row>
    <row r="4457" spans="2:6">
      <c r="B4457" s="44"/>
      <c r="D4457" s="8"/>
      <c r="E4457" s="8"/>
      <c r="F4457" s="8"/>
    </row>
    <row r="4458" spans="2:6">
      <c r="B4458" s="44"/>
      <c r="D4458" s="8"/>
      <c r="E4458" s="8"/>
      <c r="F4458" s="8"/>
    </row>
    <row r="4459" spans="2:6">
      <c r="B4459" s="44"/>
      <c r="D4459" s="8"/>
      <c r="E4459" s="8"/>
      <c r="F4459" s="8"/>
    </row>
    <row r="4460" spans="2:6">
      <c r="B4460" s="44"/>
      <c r="D4460" s="8"/>
      <c r="E4460" s="8"/>
      <c r="F4460" s="8"/>
    </row>
    <row r="4461" spans="2:6">
      <c r="B4461" s="44"/>
      <c r="D4461" s="8"/>
      <c r="E4461" s="8"/>
      <c r="F4461" s="8"/>
    </row>
    <row r="4462" spans="2:6">
      <c r="B4462" s="44"/>
      <c r="D4462" s="8"/>
      <c r="E4462" s="8"/>
      <c r="F4462" s="8"/>
    </row>
    <row r="4463" spans="2:6">
      <c r="B4463" s="44"/>
      <c r="D4463" s="8"/>
      <c r="E4463" s="8"/>
      <c r="F4463" s="8"/>
    </row>
    <row r="4464" spans="2:6">
      <c r="B4464" s="44"/>
      <c r="D4464" s="8"/>
      <c r="E4464" s="8"/>
      <c r="F4464" s="8"/>
    </row>
    <row r="4465" spans="2:6">
      <c r="B4465" s="44"/>
      <c r="D4465" s="8"/>
      <c r="E4465" s="8"/>
      <c r="F4465" s="8"/>
    </row>
    <row r="4466" spans="2:6">
      <c r="B4466" s="44"/>
      <c r="D4466" s="8"/>
      <c r="E4466" s="8"/>
      <c r="F4466" s="8"/>
    </row>
    <row r="4467" spans="2:6">
      <c r="B4467" s="44"/>
      <c r="D4467" s="8"/>
      <c r="E4467" s="8"/>
      <c r="F4467" s="8"/>
    </row>
    <row r="4468" spans="2:6">
      <c r="B4468" s="44"/>
      <c r="D4468" s="8"/>
      <c r="E4468" s="8"/>
      <c r="F4468" s="8"/>
    </row>
    <row r="4469" spans="2:6">
      <c r="B4469" s="44"/>
      <c r="D4469" s="8"/>
      <c r="E4469" s="8"/>
      <c r="F4469" s="8"/>
    </row>
    <row r="4470" spans="2:6">
      <c r="B4470" s="44"/>
      <c r="D4470" s="8"/>
      <c r="E4470" s="8"/>
      <c r="F4470" s="8"/>
    </row>
    <row r="4471" spans="2:6">
      <c r="B4471" s="44"/>
      <c r="D4471" s="8"/>
      <c r="E4471" s="8"/>
      <c r="F4471" s="8"/>
    </row>
    <row r="4472" spans="2:6">
      <c r="B4472" s="44"/>
      <c r="D4472" s="8"/>
      <c r="E4472" s="8"/>
      <c r="F4472" s="8"/>
    </row>
    <row r="4473" spans="2:6">
      <c r="B4473" s="44"/>
      <c r="D4473" s="8"/>
      <c r="E4473" s="8"/>
      <c r="F4473" s="8"/>
    </row>
    <row r="4474" spans="2:6">
      <c r="B4474" s="44"/>
      <c r="D4474" s="8"/>
      <c r="E4474" s="8"/>
      <c r="F4474" s="8"/>
    </row>
    <row r="4475" spans="2:6">
      <c r="B4475" s="44"/>
      <c r="D4475" s="8"/>
      <c r="E4475" s="8"/>
      <c r="F4475" s="8"/>
    </row>
    <row r="4476" spans="2:6">
      <c r="B4476" s="44"/>
      <c r="D4476" s="8"/>
      <c r="E4476" s="8"/>
      <c r="F4476" s="8"/>
    </row>
    <row r="4477" spans="2:6">
      <c r="B4477" s="44"/>
      <c r="D4477" s="8"/>
      <c r="E4477" s="8"/>
      <c r="F4477" s="8"/>
    </row>
    <row r="4478" spans="2:6">
      <c r="B4478" s="44"/>
      <c r="D4478" s="8"/>
      <c r="E4478" s="8"/>
      <c r="F4478" s="8"/>
    </row>
    <row r="4479" spans="2:6">
      <c r="B4479" s="44"/>
      <c r="D4479" s="8"/>
      <c r="E4479" s="8"/>
      <c r="F4479" s="8"/>
    </row>
    <row r="4480" spans="2:6">
      <c r="B4480" s="44"/>
      <c r="D4480" s="8"/>
      <c r="E4480" s="8"/>
      <c r="F4480" s="8"/>
    </row>
    <row r="4481" spans="2:6">
      <c r="B4481" s="44"/>
      <c r="D4481" s="8"/>
      <c r="E4481" s="8"/>
      <c r="F4481" s="8"/>
    </row>
    <row r="4482" spans="2:6">
      <c r="B4482" s="44"/>
      <c r="D4482" s="8"/>
      <c r="E4482" s="8"/>
      <c r="F4482" s="8"/>
    </row>
    <row r="4483" spans="2:6">
      <c r="B4483" s="44"/>
      <c r="D4483" s="8"/>
      <c r="E4483" s="8"/>
      <c r="F4483" s="8"/>
    </row>
    <row r="4484" spans="2:6">
      <c r="B4484" s="44"/>
      <c r="D4484" s="8"/>
      <c r="E4484" s="8"/>
      <c r="F4484" s="8"/>
    </row>
    <row r="4485" spans="2:6">
      <c r="B4485" s="44"/>
      <c r="D4485" s="8"/>
      <c r="E4485" s="8"/>
      <c r="F4485" s="8"/>
    </row>
    <row r="4486" spans="2:6">
      <c r="B4486" s="44"/>
      <c r="D4486" s="8"/>
      <c r="E4486" s="8"/>
      <c r="F4486" s="8"/>
    </row>
    <row r="4487" spans="2:6">
      <c r="B4487" s="44"/>
      <c r="D4487" s="8"/>
      <c r="E4487" s="8"/>
      <c r="F4487" s="8"/>
    </row>
    <row r="4488" spans="2:6">
      <c r="B4488" s="44"/>
      <c r="D4488" s="8"/>
      <c r="E4488" s="8"/>
      <c r="F4488" s="8"/>
    </row>
    <row r="4489" spans="2:6">
      <c r="B4489" s="44"/>
      <c r="D4489" s="8"/>
      <c r="E4489" s="8"/>
      <c r="F4489" s="8"/>
    </row>
    <row r="4490" spans="2:6">
      <c r="B4490" s="44"/>
      <c r="D4490" s="8"/>
      <c r="E4490" s="8"/>
      <c r="F4490" s="8"/>
    </row>
    <row r="4491" spans="2:6">
      <c r="B4491" s="44"/>
      <c r="D4491" s="8"/>
      <c r="E4491" s="8"/>
      <c r="F4491" s="8"/>
    </row>
    <row r="4492" spans="2:6">
      <c r="B4492" s="44"/>
      <c r="D4492" s="8"/>
      <c r="E4492" s="8"/>
      <c r="F4492" s="8"/>
    </row>
    <row r="4493" spans="2:6">
      <c r="B4493" s="44"/>
      <c r="D4493" s="8"/>
      <c r="E4493" s="8"/>
      <c r="F4493" s="8"/>
    </row>
    <row r="4494" spans="2:6">
      <c r="B4494" s="44"/>
      <c r="D4494" s="8"/>
      <c r="E4494" s="8"/>
      <c r="F4494" s="8"/>
    </row>
    <row r="4495" spans="2:6">
      <c r="B4495" s="44"/>
      <c r="D4495" s="8"/>
      <c r="E4495" s="8"/>
      <c r="F4495" s="8"/>
    </row>
    <row r="4496" spans="2:6">
      <c r="B4496" s="44"/>
      <c r="D4496" s="8"/>
      <c r="E4496" s="8"/>
      <c r="F4496" s="8"/>
    </row>
    <row r="4497" spans="2:6">
      <c r="B4497" s="44"/>
      <c r="D4497" s="8"/>
      <c r="E4497" s="8"/>
      <c r="F4497" s="8"/>
    </row>
    <row r="4498" spans="2:6">
      <c r="B4498" s="44"/>
      <c r="D4498" s="8"/>
      <c r="E4498" s="8"/>
      <c r="F4498" s="8"/>
    </row>
    <row r="4499" spans="2:6">
      <c r="B4499" s="44"/>
      <c r="D4499" s="8"/>
      <c r="E4499" s="8"/>
      <c r="F4499" s="8"/>
    </row>
    <row r="4500" spans="2:6">
      <c r="B4500" s="44"/>
      <c r="D4500" s="8"/>
      <c r="E4500" s="8"/>
      <c r="F4500" s="8"/>
    </row>
    <row r="4501" spans="2:6">
      <c r="B4501" s="44"/>
      <c r="D4501" s="8"/>
      <c r="E4501" s="8"/>
      <c r="F4501" s="8"/>
    </row>
    <row r="4502" spans="2:6">
      <c r="B4502" s="44"/>
      <c r="D4502" s="8"/>
      <c r="E4502" s="8"/>
      <c r="F4502" s="8"/>
    </row>
    <row r="4503" spans="2:6">
      <c r="B4503" s="44"/>
      <c r="D4503" s="8"/>
      <c r="E4503" s="8"/>
      <c r="F4503" s="8"/>
    </row>
    <row r="4504" spans="2:6">
      <c r="B4504" s="44"/>
      <c r="D4504" s="8"/>
      <c r="E4504" s="8"/>
      <c r="F4504" s="8"/>
    </row>
    <row r="4505" spans="2:6">
      <c r="B4505" s="44"/>
      <c r="D4505" s="8"/>
      <c r="E4505" s="8"/>
      <c r="F4505" s="8"/>
    </row>
    <row r="4506" spans="2:6">
      <c r="B4506" s="44"/>
      <c r="D4506" s="8"/>
      <c r="E4506" s="8"/>
      <c r="F4506" s="8"/>
    </row>
    <row r="4507" spans="2:6">
      <c r="B4507" s="44"/>
      <c r="D4507" s="8"/>
      <c r="E4507" s="8"/>
      <c r="F4507" s="8"/>
    </row>
    <row r="4508" spans="2:6">
      <c r="B4508" s="44"/>
      <c r="D4508" s="8"/>
      <c r="E4508" s="8"/>
      <c r="F4508" s="8"/>
    </row>
    <row r="4509" spans="2:6">
      <c r="B4509" s="44"/>
      <c r="D4509" s="8"/>
      <c r="E4509" s="8"/>
      <c r="F4509" s="8"/>
    </row>
    <row r="4510" spans="2:6">
      <c r="B4510" s="44"/>
      <c r="D4510" s="8"/>
      <c r="E4510" s="8"/>
      <c r="F4510" s="8"/>
    </row>
    <row r="4511" spans="2:6">
      <c r="B4511" s="44"/>
      <c r="D4511" s="8"/>
      <c r="E4511" s="8"/>
      <c r="F4511" s="8"/>
    </row>
    <row r="4512" spans="2:6">
      <c r="B4512" s="44"/>
      <c r="D4512" s="8"/>
      <c r="E4512" s="8"/>
      <c r="F4512" s="8"/>
    </row>
    <row r="4513" spans="2:6">
      <c r="B4513" s="44"/>
      <c r="D4513" s="8"/>
      <c r="E4513" s="8"/>
      <c r="F4513" s="8"/>
    </row>
    <row r="4514" spans="2:6">
      <c r="B4514" s="44"/>
      <c r="D4514" s="8"/>
      <c r="E4514" s="8"/>
      <c r="F4514" s="8"/>
    </row>
    <row r="4515" spans="2:6">
      <c r="B4515" s="44"/>
      <c r="D4515" s="8"/>
      <c r="E4515" s="8"/>
      <c r="F4515" s="8"/>
    </row>
    <row r="4516" spans="2:6">
      <c r="B4516" s="44"/>
      <c r="D4516" s="8"/>
      <c r="E4516" s="8"/>
      <c r="F4516" s="8"/>
    </row>
    <row r="4517" spans="2:6">
      <c r="B4517" s="44"/>
      <c r="D4517" s="8"/>
      <c r="E4517" s="8"/>
      <c r="F4517" s="8"/>
    </row>
    <row r="4518" spans="2:6">
      <c r="B4518" s="44"/>
      <c r="D4518" s="8"/>
      <c r="E4518" s="8"/>
      <c r="F4518" s="8"/>
    </row>
    <row r="4519" spans="2:6">
      <c r="B4519" s="44"/>
      <c r="D4519" s="8"/>
      <c r="E4519" s="8"/>
      <c r="F4519" s="8"/>
    </row>
    <row r="4520" spans="2:6">
      <c r="B4520" s="44"/>
      <c r="D4520" s="8"/>
      <c r="E4520" s="8"/>
      <c r="F4520" s="8"/>
    </row>
    <row r="4521" spans="2:6">
      <c r="B4521" s="44"/>
      <c r="D4521" s="8"/>
      <c r="E4521" s="8"/>
      <c r="F4521" s="8"/>
    </row>
    <row r="4522" spans="2:6">
      <c r="B4522" s="44"/>
      <c r="D4522" s="8"/>
      <c r="E4522" s="8"/>
      <c r="F4522" s="8"/>
    </row>
    <row r="4523" spans="2:6">
      <c r="B4523" s="44"/>
      <c r="D4523" s="8"/>
      <c r="E4523" s="8"/>
      <c r="F4523" s="8"/>
    </row>
    <row r="4524" spans="2:6">
      <c r="B4524" s="44"/>
      <c r="D4524" s="8"/>
      <c r="E4524" s="8"/>
      <c r="F4524" s="8"/>
    </row>
    <row r="4525" spans="2:6">
      <c r="B4525" s="44"/>
      <c r="D4525" s="8"/>
      <c r="E4525" s="8"/>
      <c r="F4525" s="8"/>
    </row>
    <row r="4526" spans="2:6">
      <c r="B4526" s="44"/>
      <c r="D4526" s="8"/>
      <c r="E4526" s="8"/>
      <c r="F4526" s="8"/>
    </row>
    <row r="4527" spans="2:6">
      <c r="B4527" s="44"/>
      <c r="D4527" s="8"/>
      <c r="E4527" s="8"/>
      <c r="F4527" s="8"/>
    </row>
    <row r="4528" spans="2:6">
      <c r="B4528" s="44"/>
      <c r="D4528" s="8"/>
      <c r="E4528" s="8"/>
      <c r="F4528" s="8"/>
    </row>
    <row r="4529" spans="2:6">
      <c r="B4529" s="44"/>
      <c r="D4529" s="8"/>
      <c r="E4529" s="8"/>
      <c r="F4529" s="8"/>
    </row>
    <row r="4530" spans="2:6">
      <c r="B4530" s="44"/>
      <c r="D4530" s="8"/>
      <c r="E4530" s="8"/>
      <c r="F4530" s="8"/>
    </row>
    <row r="4531" spans="2:6">
      <c r="B4531" s="44"/>
      <c r="D4531" s="8"/>
      <c r="E4531" s="8"/>
      <c r="F4531" s="8"/>
    </row>
    <row r="4532" spans="2:6">
      <c r="B4532" s="44"/>
      <c r="D4532" s="8"/>
      <c r="E4532" s="8"/>
      <c r="F4532" s="8"/>
    </row>
    <row r="4533" spans="2:6">
      <c r="B4533" s="44"/>
      <c r="D4533" s="8"/>
      <c r="E4533" s="8"/>
      <c r="F4533" s="8"/>
    </row>
    <row r="4534" spans="2:6">
      <c r="B4534" s="44"/>
      <c r="D4534" s="8"/>
      <c r="E4534" s="8"/>
      <c r="F4534" s="8"/>
    </row>
    <row r="4535" spans="2:6">
      <c r="B4535" s="44"/>
      <c r="D4535" s="8"/>
      <c r="E4535" s="8"/>
      <c r="F4535" s="8"/>
    </row>
    <row r="4536" spans="2:6">
      <c r="B4536" s="44"/>
      <c r="D4536" s="8"/>
      <c r="E4536" s="8"/>
      <c r="F4536" s="8"/>
    </row>
    <row r="4537" spans="2:6">
      <c r="B4537" s="44"/>
      <c r="D4537" s="8"/>
      <c r="E4537" s="8"/>
      <c r="F4537" s="8"/>
    </row>
    <row r="4538" spans="2:6">
      <c r="B4538" s="44"/>
      <c r="D4538" s="8"/>
      <c r="E4538" s="8"/>
      <c r="F4538" s="8"/>
    </row>
    <row r="4539" spans="2:6">
      <c r="B4539" s="44"/>
      <c r="D4539" s="8"/>
      <c r="E4539" s="8"/>
      <c r="F4539" s="8"/>
    </row>
    <row r="4540" spans="2:6">
      <c r="B4540" s="44"/>
      <c r="D4540" s="8"/>
      <c r="E4540" s="8"/>
      <c r="F4540" s="8"/>
    </row>
    <row r="4541" spans="2:6">
      <c r="B4541" s="44"/>
      <c r="D4541" s="8"/>
      <c r="E4541" s="8"/>
      <c r="F4541" s="8"/>
    </row>
    <row r="4542" spans="2:6">
      <c r="B4542" s="44"/>
      <c r="D4542" s="8"/>
      <c r="E4542" s="8"/>
      <c r="F4542" s="8"/>
    </row>
    <row r="4543" spans="2:6">
      <c r="B4543" s="44"/>
      <c r="D4543" s="8"/>
      <c r="E4543" s="8"/>
      <c r="F4543" s="8"/>
    </row>
    <row r="4544" spans="2:6">
      <c r="B4544" s="44"/>
      <c r="D4544" s="8"/>
      <c r="E4544" s="8"/>
      <c r="F4544" s="8"/>
    </row>
    <row r="4545" spans="2:6">
      <c r="B4545" s="44"/>
      <c r="D4545" s="8"/>
      <c r="E4545" s="8"/>
      <c r="F4545" s="8"/>
    </row>
    <row r="4546" spans="2:6">
      <c r="B4546" s="44"/>
      <c r="D4546" s="8"/>
      <c r="E4546" s="8"/>
      <c r="F4546" s="8"/>
    </row>
    <row r="4547" spans="2:6">
      <c r="B4547" s="44"/>
      <c r="D4547" s="8"/>
      <c r="E4547" s="8"/>
      <c r="F4547" s="8"/>
    </row>
    <row r="4548" spans="2:6">
      <c r="B4548" s="44"/>
      <c r="D4548" s="8"/>
      <c r="E4548" s="8"/>
      <c r="F4548" s="8"/>
    </row>
    <row r="4549" spans="2:6">
      <c r="B4549" s="44"/>
      <c r="D4549" s="8"/>
      <c r="E4549" s="8"/>
      <c r="F4549" s="8"/>
    </row>
    <row r="4550" spans="2:6">
      <c r="B4550" s="44"/>
      <c r="D4550" s="8"/>
      <c r="E4550" s="8"/>
      <c r="F4550" s="8"/>
    </row>
    <row r="4551" spans="2:6">
      <c r="B4551" s="44"/>
      <c r="D4551" s="8"/>
      <c r="E4551" s="8"/>
      <c r="F4551" s="8"/>
    </row>
    <row r="4552" spans="2:6">
      <c r="B4552" s="44"/>
      <c r="D4552" s="8"/>
      <c r="E4552" s="8"/>
      <c r="F4552" s="8"/>
    </row>
    <row r="4553" spans="2:6">
      <c r="B4553" s="44"/>
      <c r="D4553" s="8"/>
      <c r="E4553" s="8"/>
      <c r="F4553" s="8"/>
    </row>
    <row r="4554" spans="2:6">
      <c r="B4554" s="44"/>
      <c r="D4554" s="8"/>
      <c r="E4554" s="8"/>
      <c r="F4554" s="8"/>
    </row>
    <row r="4555" spans="2:6">
      <c r="B4555" s="44"/>
      <c r="D4555" s="8"/>
      <c r="E4555" s="8"/>
      <c r="F4555" s="8"/>
    </row>
    <row r="4556" spans="2:6">
      <c r="B4556" s="44"/>
      <c r="D4556" s="8"/>
      <c r="E4556" s="8"/>
      <c r="F4556" s="8"/>
    </row>
    <row r="4557" spans="2:6">
      <c r="B4557" s="44"/>
      <c r="D4557" s="8"/>
      <c r="E4557" s="8"/>
      <c r="F4557" s="8"/>
    </row>
    <row r="4558" spans="2:6">
      <c r="B4558" s="44"/>
      <c r="D4558" s="8"/>
      <c r="E4558" s="8"/>
      <c r="F4558" s="8"/>
    </row>
    <row r="4559" spans="2:6">
      <c r="B4559" s="44"/>
      <c r="D4559" s="8"/>
      <c r="E4559" s="8"/>
      <c r="F4559" s="8"/>
    </row>
    <row r="4560" spans="2:6">
      <c r="B4560" s="44"/>
      <c r="D4560" s="8"/>
      <c r="E4560" s="8"/>
      <c r="F4560" s="8"/>
    </row>
    <row r="4561" spans="2:6">
      <c r="B4561" s="44"/>
      <c r="D4561" s="8"/>
      <c r="E4561" s="8"/>
      <c r="F4561" s="8"/>
    </row>
    <row r="4562" spans="2:6">
      <c r="B4562" s="44"/>
      <c r="D4562" s="8"/>
      <c r="E4562" s="8"/>
      <c r="F4562" s="8"/>
    </row>
    <row r="4563" spans="2:6">
      <c r="B4563" s="44"/>
      <c r="D4563" s="8"/>
      <c r="E4563" s="8"/>
      <c r="F4563" s="8"/>
    </row>
    <row r="4564" spans="2:6">
      <c r="B4564" s="44"/>
      <c r="D4564" s="8"/>
      <c r="E4564" s="8"/>
      <c r="F4564" s="8"/>
    </row>
    <row r="4565" spans="2:6">
      <c r="B4565" s="44"/>
      <c r="D4565" s="8"/>
      <c r="E4565" s="8"/>
      <c r="F4565" s="8"/>
    </row>
    <row r="4566" spans="2:6">
      <c r="B4566" s="44"/>
      <c r="D4566" s="8"/>
      <c r="E4566" s="8"/>
      <c r="F4566" s="8"/>
    </row>
    <row r="4567" spans="2:6">
      <c r="B4567" s="44"/>
      <c r="D4567" s="8"/>
      <c r="E4567" s="8"/>
      <c r="F4567" s="8"/>
    </row>
    <row r="4568" spans="2:6">
      <c r="B4568" s="44"/>
      <c r="D4568" s="8"/>
      <c r="E4568" s="8"/>
      <c r="F4568" s="8"/>
    </row>
    <row r="4569" spans="2:6">
      <c r="B4569" s="44"/>
      <c r="D4569" s="8"/>
      <c r="E4569" s="8"/>
      <c r="F4569" s="8"/>
    </row>
    <row r="4570" spans="2:6">
      <c r="B4570" s="44"/>
      <c r="D4570" s="8"/>
      <c r="E4570" s="8"/>
      <c r="F4570" s="8"/>
    </row>
    <row r="4571" spans="2:6">
      <c r="B4571" s="44"/>
      <c r="D4571" s="8"/>
      <c r="E4571" s="8"/>
      <c r="F4571" s="8"/>
    </row>
    <row r="4572" spans="2:6">
      <c r="B4572" s="44"/>
      <c r="D4572" s="8"/>
      <c r="E4572" s="8"/>
      <c r="F4572" s="8"/>
    </row>
    <row r="4573" spans="2:6">
      <c r="B4573" s="44"/>
      <c r="D4573" s="8"/>
      <c r="E4573" s="8"/>
      <c r="F4573" s="8"/>
    </row>
    <row r="4574" spans="2:6">
      <c r="B4574" s="44"/>
      <c r="D4574" s="8"/>
      <c r="E4574" s="8"/>
      <c r="F4574" s="8"/>
    </row>
    <row r="4575" spans="2:6">
      <c r="B4575" s="44"/>
      <c r="D4575" s="8"/>
      <c r="E4575" s="8"/>
      <c r="F4575" s="8"/>
    </row>
    <row r="4576" spans="2:6">
      <c r="B4576" s="44"/>
      <c r="D4576" s="8"/>
      <c r="E4576" s="8"/>
      <c r="F4576" s="8"/>
    </row>
    <row r="4577" spans="2:6">
      <c r="B4577" s="44"/>
      <c r="D4577" s="8"/>
      <c r="E4577" s="8"/>
      <c r="F4577" s="8"/>
    </row>
    <row r="4578" spans="2:6">
      <c r="B4578" s="44"/>
      <c r="D4578" s="8"/>
      <c r="E4578" s="8"/>
      <c r="F4578" s="8"/>
    </row>
    <row r="4579" spans="2:6">
      <c r="B4579" s="44"/>
      <c r="D4579" s="8"/>
      <c r="E4579" s="8"/>
      <c r="F4579" s="8"/>
    </row>
    <row r="4580" spans="2:6">
      <c r="B4580" s="44"/>
      <c r="D4580" s="8"/>
      <c r="E4580" s="8"/>
      <c r="F4580" s="8"/>
    </row>
    <row r="4581" spans="2:6">
      <c r="B4581" s="44"/>
      <c r="D4581" s="8"/>
      <c r="E4581" s="8"/>
      <c r="F4581" s="8"/>
    </row>
    <row r="4582" spans="2:6">
      <c r="B4582" s="44"/>
      <c r="D4582" s="8"/>
      <c r="E4582" s="8"/>
      <c r="F4582" s="8"/>
    </row>
    <row r="4583" spans="2:6">
      <c r="B4583" s="44"/>
      <c r="D4583" s="8"/>
      <c r="E4583" s="8"/>
      <c r="F4583" s="8"/>
    </row>
    <row r="4584" spans="2:6">
      <c r="B4584" s="44"/>
      <c r="D4584" s="8"/>
      <c r="E4584" s="8"/>
      <c r="F4584" s="8"/>
    </row>
    <row r="4585" spans="2:6">
      <c r="B4585" s="44"/>
      <c r="D4585" s="8"/>
      <c r="E4585" s="8"/>
      <c r="F4585" s="8"/>
    </row>
    <row r="4586" spans="2:6">
      <c r="B4586" s="44"/>
      <c r="D4586" s="8"/>
      <c r="E4586" s="8"/>
      <c r="F4586" s="8"/>
    </row>
    <row r="4587" spans="2:6">
      <c r="B4587" s="44"/>
      <c r="D4587" s="8"/>
      <c r="E4587" s="8"/>
      <c r="F4587" s="8"/>
    </row>
    <row r="4588" spans="2:6">
      <c r="B4588" s="44"/>
      <c r="D4588" s="8"/>
      <c r="E4588" s="8"/>
      <c r="F4588" s="8"/>
    </row>
    <row r="4589" spans="2:6">
      <c r="B4589" s="44"/>
      <c r="D4589" s="8"/>
      <c r="E4589" s="8"/>
      <c r="F4589" s="8"/>
    </row>
    <row r="4590" spans="2:6">
      <c r="B4590" s="44"/>
      <c r="D4590" s="8"/>
      <c r="E4590" s="8"/>
      <c r="F4590" s="8"/>
    </row>
    <row r="4591" spans="2:6">
      <c r="B4591" s="44"/>
      <c r="D4591" s="8"/>
      <c r="E4591" s="8"/>
      <c r="F4591" s="8"/>
    </row>
    <row r="4592" spans="2:6">
      <c r="B4592" s="44"/>
      <c r="D4592" s="8"/>
      <c r="E4592" s="8"/>
      <c r="F4592" s="8"/>
    </row>
    <row r="4593" spans="2:6">
      <c r="B4593" s="44"/>
      <c r="D4593" s="8"/>
      <c r="E4593" s="8"/>
      <c r="F4593" s="8"/>
    </row>
    <row r="4594" spans="2:6">
      <c r="B4594" s="44"/>
      <c r="D4594" s="8"/>
      <c r="E4594" s="8"/>
      <c r="F4594" s="8"/>
    </row>
    <row r="4595" spans="2:6">
      <c r="B4595" s="44"/>
      <c r="D4595" s="8"/>
      <c r="E4595" s="8"/>
      <c r="F4595" s="8"/>
    </row>
    <row r="4596" spans="2:6">
      <c r="B4596" s="44"/>
      <c r="D4596" s="8"/>
      <c r="E4596" s="8"/>
      <c r="F4596" s="8"/>
    </row>
    <row r="4597" spans="2:6">
      <c r="B4597" s="44"/>
      <c r="D4597" s="8"/>
      <c r="E4597" s="8"/>
      <c r="F4597" s="8"/>
    </row>
    <row r="4598" spans="2:6">
      <c r="B4598" s="44"/>
      <c r="D4598" s="8"/>
      <c r="E4598" s="8"/>
      <c r="F4598" s="8"/>
    </row>
    <row r="4599" spans="2:6">
      <c r="B4599" s="44"/>
      <c r="D4599" s="8"/>
      <c r="E4599" s="8"/>
      <c r="F4599" s="8"/>
    </row>
    <row r="4600" spans="2:6">
      <c r="B4600" s="44"/>
      <c r="D4600" s="8"/>
      <c r="E4600" s="8"/>
      <c r="F4600" s="8"/>
    </row>
    <row r="4601" spans="2:6">
      <c r="B4601" s="44"/>
      <c r="D4601" s="8"/>
      <c r="E4601" s="8"/>
      <c r="F4601" s="8"/>
    </row>
    <row r="4602" spans="2:6">
      <c r="B4602" s="44"/>
      <c r="D4602" s="8"/>
      <c r="E4602" s="8"/>
      <c r="F4602" s="8"/>
    </row>
    <row r="4603" spans="2:6">
      <c r="B4603" s="44"/>
      <c r="D4603" s="8"/>
      <c r="E4603" s="8"/>
      <c r="F4603" s="8"/>
    </row>
    <row r="4604" spans="2:6">
      <c r="B4604" s="44"/>
      <c r="D4604" s="8"/>
      <c r="E4604" s="8"/>
      <c r="F4604" s="8"/>
    </row>
    <row r="4605" spans="2:6">
      <c r="B4605" s="44"/>
      <c r="D4605" s="8"/>
      <c r="E4605" s="8"/>
      <c r="F4605" s="8"/>
    </row>
    <row r="4606" spans="2:6">
      <c r="B4606" s="44"/>
      <c r="D4606" s="8"/>
      <c r="E4606" s="8"/>
      <c r="F4606" s="8"/>
    </row>
    <row r="4607" spans="2:6">
      <c r="B4607" s="44"/>
      <c r="D4607" s="8"/>
      <c r="E4607" s="8"/>
      <c r="F4607" s="8"/>
    </row>
    <row r="4608" spans="2:6">
      <c r="B4608" s="44"/>
      <c r="D4608" s="8"/>
      <c r="E4608" s="8"/>
      <c r="F4608" s="8"/>
    </row>
    <row r="4609" spans="2:6">
      <c r="B4609" s="44"/>
      <c r="D4609" s="8"/>
      <c r="E4609" s="8"/>
      <c r="F4609" s="8"/>
    </row>
    <row r="4610" spans="2:6">
      <c r="B4610" s="44"/>
      <c r="D4610" s="8"/>
      <c r="E4610" s="8"/>
      <c r="F4610" s="8"/>
    </row>
    <row r="4611" spans="2:6">
      <c r="B4611" s="44"/>
      <c r="D4611" s="8"/>
      <c r="E4611" s="8"/>
      <c r="F4611" s="8"/>
    </row>
    <row r="4612" spans="2:6">
      <c r="B4612" s="44"/>
      <c r="D4612" s="8"/>
      <c r="E4612" s="8"/>
      <c r="F4612" s="8"/>
    </row>
    <row r="4613" spans="2:6">
      <c r="B4613" s="44"/>
      <c r="D4613" s="8"/>
      <c r="E4613" s="8"/>
      <c r="F4613" s="8"/>
    </row>
    <row r="4614" spans="2:6">
      <c r="B4614" s="44"/>
      <c r="D4614" s="8"/>
      <c r="E4614" s="8"/>
      <c r="F4614" s="8"/>
    </row>
    <row r="4615" spans="2:6">
      <c r="B4615" s="44"/>
      <c r="D4615" s="8"/>
      <c r="E4615" s="8"/>
      <c r="F4615" s="8"/>
    </row>
    <row r="4616" spans="2:6">
      <c r="B4616" s="44"/>
      <c r="D4616" s="8"/>
      <c r="E4616" s="8"/>
      <c r="F4616" s="8"/>
    </row>
    <row r="4617" spans="2:6">
      <c r="B4617" s="44"/>
      <c r="D4617" s="8"/>
      <c r="E4617" s="8"/>
      <c r="F4617" s="8"/>
    </row>
    <row r="4618" spans="2:6">
      <c r="B4618" s="44"/>
      <c r="D4618" s="8"/>
      <c r="E4618" s="8"/>
      <c r="F4618" s="8"/>
    </row>
    <row r="4619" spans="2:6">
      <c r="B4619" s="44"/>
      <c r="D4619" s="8"/>
      <c r="E4619" s="8"/>
      <c r="F4619" s="8"/>
    </row>
    <row r="4620" spans="2:6">
      <c r="B4620" s="44"/>
      <c r="D4620" s="8"/>
      <c r="E4620" s="8"/>
      <c r="F4620" s="8"/>
    </row>
    <row r="4621" spans="2:6">
      <c r="B4621" s="44"/>
      <c r="D4621" s="8"/>
      <c r="E4621" s="8"/>
      <c r="F4621" s="8"/>
    </row>
    <row r="4622" spans="2:6">
      <c r="B4622" s="44"/>
      <c r="D4622" s="8"/>
      <c r="E4622" s="8"/>
      <c r="F4622" s="8"/>
    </row>
    <row r="4623" spans="2:6">
      <c r="B4623" s="44"/>
      <c r="D4623" s="8"/>
      <c r="E4623" s="8"/>
      <c r="F4623" s="8"/>
    </row>
    <row r="4624" spans="2:6">
      <c r="B4624" s="44"/>
      <c r="D4624" s="8"/>
      <c r="E4624" s="8"/>
      <c r="F4624" s="8"/>
    </row>
    <row r="4625" spans="2:6">
      <c r="B4625" s="44"/>
      <c r="D4625" s="8"/>
      <c r="E4625" s="8"/>
      <c r="F4625" s="8"/>
    </row>
    <row r="4626" spans="2:6">
      <c r="B4626" s="44"/>
      <c r="D4626" s="8"/>
      <c r="E4626" s="8"/>
      <c r="F4626" s="8"/>
    </row>
    <row r="4627" spans="2:6">
      <c r="B4627" s="44"/>
      <c r="D4627" s="8"/>
      <c r="E4627" s="8"/>
      <c r="F4627" s="8"/>
    </row>
    <row r="4628" spans="2:6">
      <c r="B4628" s="44"/>
      <c r="D4628" s="8"/>
      <c r="E4628" s="8"/>
      <c r="F4628" s="8"/>
    </row>
    <row r="4629" spans="2:6">
      <c r="B4629" s="44"/>
      <c r="D4629" s="8"/>
      <c r="E4629" s="8"/>
      <c r="F4629" s="8"/>
    </row>
    <row r="4630" spans="2:6">
      <c r="B4630" s="44"/>
      <c r="D4630" s="8"/>
      <c r="E4630" s="8"/>
      <c r="F4630" s="8"/>
    </row>
    <row r="4631" spans="2:6">
      <c r="B4631" s="44"/>
      <c r="D4631" s="8"/>
      <c r="E4631" s="8"/>
      <c r="F4631" s="8"/>
    </row>
    <row r="4632" spans="2:6">
      <c r="B4632" s="44"/>
      <c r="D4632" s="8"/>
      <c r="E4632" s="8"/>
      <c r="F4632" s="8"/>
    </row>
    <row r="4633" spans="2:6">
      <c r="B4633" s="44"/>
      <c r="D4633" s="8"/>
      <c r="E4633" s="8"/>
      <c r="F4633" s="8"/>
    </row>
    <row r="4634" spans="2:6">
      <c r="B4634" s="44"/>
      <c r="D4634" s="8"/>
      <c r="E4634" s="8"/>
      <c r="F4634" s="8"/>
    </row>
    <row r="4635" spans="2:6">
      <c r="B4635" s="44"/>
      <c r="D4635" s="8"/>
      <c r="E4635" s="8"/>
      <c r="F4635" s="8"/>
    </row>
    <row r="4636" spans="2:6">
      <c r="B4636" s="44"/>
      <c r="D4636" s="8"/>
      <c r="E4636" s="8"/>
      <c r="F4636" s="8"/>
    </row>
    <row r="4637" spans="2:6">
      <c r="B4637" s="44"/>
      <c r="D4637" s="8"/>
      <c r="E4637" s="8"/>
      <c r="F4637" s="8"/>
    </row>
    <row r="4638" spans="2:6">
      <c r="B4638" s="44"/>
      <c r="D4638" s="8"/>
      <c r="E4638" s="8"/>
      <c r="F4638" s="8"/>
    </row>
    <row r="4639" spans="2:6">
      <c r="B4639" s="44"/>
      <c r="D4639" s="8"/>
      <c r="E4639" s="8"/>
      <c r="F4639" s="8"/>
    </row>
    <row r="4640" spans="2:6">
      <c r="B4640" s="44"/>
      <c r="D4640" s="8"/>
      <c r="E4640" s="8"/>
      <c r="F4640" s="8"/>
    </row>
    <row r="4641" spans="2:6">
      <c r="B4641" s="44"/>
      <c r="D4641" s="8"/>
      <c r="E4641" s="8"/>
      <c r="F4641" s="8"/>
    </row>
    <row r="4642" spans="2:6">
      <c r="B4642" s="44"/>
      <c r="D4642" s="8"/>
      <c r="E4642" s="8"/>
      <c r="F4642" s="8"/>
    </row>
    <row r="4643" spans="2:6">
      <c r="B4643" s="44"/>
      <c r="D4643" s="8"/>
      <c r="E4643" s="8"/>
      <c r="F4643" s="8"/>
    </row>
    <row r="4644" spans="2:6">
      <c r="B4644" s="44"/>
      <c r="D4644" s="8"/>
      <c r="E4644" s="8"/>
      <c r="F4644" s="8"/>
    </row>
    <row r="4645" spans="2:6">
      <c r="B4645" s="44"/>
      <c r="D4645" s="8"/>
      <c r="E4645" s="8"/>
      <c r="F4645" s="8"/>
    </row>
    <row r="4646" spans="2:6">
      <c r="B4646" s="44"/>
      <c r="D4646" s="8"/>
      <c r="E4646" s="8"/>
      <c r="F4646" s="8"/>
    </row>
    <row r="4647" spans="2:6">
      <c r="B4647" s="44"/>
      <c r="D4647" s="8"/>
      <c r="E4647" s="8"/>
      <c r="F4647" s="8"/>
    </row>
    <row r="4648" spans="2:6">
      <c r="B4648" s="44"/>
      <c r="D4648" s="8"/>
      <c r="E4648" s="8"/>
      <c r="F4648" s="8"/>
    </row>
    <row r="4649" spans="2:6">
      <c r="B4649" s="44"/>
      <c r="D4649" s="8"/>
      <c r="E4649" s="8"/>
      <c r="F4649" s="8"/>
    </row>
    <row r="4650" spans="2:6">
      <c r="B4650" s="44"/>
      <c r="D4650" s="8"/>
      <c r="E4650" s="8"/>
      <c r="F4650" s="8"/>
    </row>
    <row r="4651" spans="2:6">
      <c r="B4651" s="44"/>
      <c r="D4651" s="8"/>
      <c r="E4651" s="8"/>
      <c r="F4651" s="8"/>
    </row>
    <row r="4652" spans="2:6">
      <c r="B4652" s="44"/>
      <c r="D4652" s="8"/>
      <c r="E4652" s="8"/>
      <c r="F4652" s="8"/>
    </row>
    <row r="4653" spans="2:6">
      <c r="B4653" s="44"/>
      <c r="D4653" s="8"/>
      <c r="E4653" s="8"/>
      <c r="F4653" s="8"/>
    </row>
    <row r="4654" spans="2:6">
      <c r="B4654" s="44"/>
      <c r="D4654" s="8"/>
      <c r="E4654" s="8"/>
      <c r="F4654" s="8"/>
    </row>
    <row r="4655" spans="2:6">
      <c r="B4655" s="44"/>
      <c r="D4655" s="8"/>
      <c r="E4655" s="8"/>
      <c r="F4655" s="8"/>
    </row>
    <row r="4656" spans="2:6">
      <c r="B4656" s="44"/>
      <c r="D4656" s="8"/>
      <c r="E4656" s="8"/>
      <c r="F4656" s="8"/>
    </row>
    <row r="4657" spans="2:6">
      <c r="B4657" s="44"/>
      <c r="D4657" s="8"/>
      <c r="E4657" s="8"/>
      <c r="F4657" s="8"/>
    </row>
    <row r="4658" spans="2:6">
      <c r="B4658" s="44"/>
      <c r="D4658" s="8"/>
      <c r="E4658" s="8"/>
      <c r="F4658" s="8"/>
    </row>
    <row r="4659" spans="2:6">
      <c r="B4659" s="44"/>
      <c r="D4659" s="8"/>
      <c r="E4659" s="8"/>
      <c r="F4659" s="8"/>
    </row>
    <row r="4660" spans="2:6">
      <c r="B4660" s="44"/>
      <c r="D4660" s="8"/>
      <c r="E4660" s="8"/>
      <c r="F4660" s="8"/>
    </row>
    <row r="4661" spans="2:6">
      <c r="B4661" s="44"/>
      <c r="D4661" s="8"/>
      <c r="E4661" s="8"/>
      <c r="F4661" s="8"/>
    </row>
    <row r="4662" spans="2:6">
      <c r="B4662" s="44"/>
      <c r="D4662" s="8"/>
      <c r="E4662" s="8"/>
      <c r="F4662" s="8"/>
    </row>
    <row r="4663" spans="2:6">
      <c r="B4663" s="44"/>
      <c r="D4663" s="8"/>
      <c r="E4663" s="8"/>
      <c r="F4663" s="8"/>
    </row>
    <row r="4664" spans="2:6">
      <c r="B4664" s="44"/>
      <c r="D4664" s="8"/>
      <c r="E4664" s="8"/>
      <c r="F4664" s="8"/>
    </row>
    <row r="4665" spans="2:6">
      <c r="B4665" s="44"/>
      <c r="D4665" s="8"/>
      <c r="E4665" s="8"/>
      <c r="F4665" s="8"/>
    </row>
    <row r="4666" spans="2:6">
      <c r="B4666" s="44"/>
      <c r="D4666" s="8"/>
      <c r="E4666" s="8"/>
      <c r="F4666" s="8"/>
    </row>
    <row r="4667" spans="2:6">
      <c r="B4667" s="44"/>
      <c r="D4667" s="8"/>
      <c r="E4667" s="8"/>
      <c r="F4667" s="8"/>
    </row>
    <row r="4668" spans="2:6">
      <c r="B4668" s="44"/>
      <c r="D4668" s="8"/>
      <c r="E4668" s="8"/>
      <c r="F4668" s="8"/>
    </row>
    <row r="4669" spans="2:6">
      <c r="B4669" s="44"/>
      <c r="D4669" s="8"/>
      <c r="E4669" s="8"/>
      <c r="F4669" s="8"/>
    </row>
    <row r="4670" spans="2:6">
      <c r="B4670" s="44"/>
      <c r="D4670" s="8"/>
      <c r="E4670" s="8"/>
      <c r="F4670" s="8"/>
    </row>
    <row r="4671" spans="2:6">
      <c r="B4671" s="44"/>
      <c r="D4671" s="8"/>
      <c r="E4671" s="8"/>
      <c r="F4671" s="8"/>
    </row>
    <row r="4672" spans="2:6">
      <c r="B4672" s="44"/>
      <c r="D4672" s="8"/>
      <c r="E4672" s="8"/>
      <c r="F4672" s="8"/>
    </row>
    <row r="4673" spans="2:6">
      <c r="B4673" s="44"/>
      <c r="D4673" s="8"/>
      <c r="E4673" s="8"/>
      <c r="F4673" s="8"/>
    </row>
    <row r="4674" spans="2:6">
      <c r="B4674" s="44"/>
      <c r="D4674" s="8"/>
      <c r="E4674" s="8"/>
      <c r="F4674" s="8"/>
    </row>
    <row r="4675" spans="2:6">
      <c r="B4675" s="44"/>
      <c r="D4675" s="8"/>
      <c r="E4675" s="8"/>
      <c r="F4675" s="8"/>
    </row>
    <row r="4676" spans="2:6">
      <c r="B4676" s="44"/>
      <c r="D4676" s="8"/>
      <c r="E4676" s="8"/>
      <c r="F4676" s="8"/>
    </row>
    <row r="4677" spans="2:6">
      <c r="B4677" s="44"/>
      <c r="D4677" s="8"/>
      <c r="E4677" s="8"/>
      <c r="F4677" s="8"/>
    </row>
    <row r="4678" spans="2:6">
      <c r="B4678" s="44"/>
      <c r="D4678" s="8"/>
      <c r="E4678" s="8"/>
      <c r="F4678" s="8"/>
    </row>
    <row r="4679" spans="2:6">
      <c r="B4679" s="44"/>
      <c r="D4679" s="8"/>
      <c r="E4679" s="8"/>
      <c r="F4679" s="8"/>
    </row>
    <row r="4680" spans="2:6">
      <c r="B4680" s="44"/>
      <c r="D4680" s="8"/>
      <c r="E4680" s="8"/>
      <c r="F4680" s="8"/>
    </row>
    <row r="4681" spans="2:6">
      <c r="B4681" s="44"/>
      <c r="D4681" s="8"/>
      <c r="E4681" s="8"/>
      <c r="F4681" s="8"/>
    </row>
    <row r="4682" spans="2:6">
      <c r="B4682" s="44"/>
      <c r="D4682" s="8"/>
      <c r="E4682" s="8"/>
      <c r="F4682" s="8"/>
    </row>
    <row r="4683" spans="2:6">
      <c r="B4683" s="44"/>
      <c r="D4683" s="8"/>
      <c r="E4683" s="8"/>
      <c r="F4683" s="8"/>
    </row>
    <row r="4684" spans="2:6">
      <c r="B4684" s="44"/>
      <c r="D4684" s="8"/>
      <c r="E4684" s="8"/>
      <c r="F4684" s="8"/>
    </row>
    <row r="4685" spans="2:6">
      <c r="B4685" s="44"/>
      <c r="D4685" s="8"/>
      <c r="E4685" s="8"/>
      <c r="F4685" s="8"/>
    </row>
    <row r="4686" spans="2:6">
      <c r="B4686" s="44"/>
      <c r="D4686" s="8"/>
      <c r="E4686" s="8"/>
      <c r="F4686" s="8"/>
    </row>
    <row r="4687" spans="2:6">
      <c r="B4687" s="44"/>
      <c r="D4687" s="8"/>
      <c r="E4687" s="8"/>
      <c r="F4687" s="8"/>
    </row>
    <row r="4688" spans="2:6">
      <c r="B4688" s="44"/>
      <c r="D4688" s="8"/>
      <c r="E4688" s="8"/>
      <c r="F4688" s="8"/>
    </row>
    <row r="4689" spans="2:6">
      <c r="B4689" s="44"/>
      <c r="D4689" s="8"/>
      <c r="E4689" s="8"/>
      <c r="F4689" s="8"/>
    </row>
    <row r="4690" spans="2:6">
      <c r="B4690" s="44"/>
      <c r="D4690" s="8"/>
      <c r="E4690" s="8"/>
      <c r="F4690" s="8"/>
    </row>
    <row r="4691" spans="2:6">
      <c r="B4691" s="44"/>
      <c r="D4691" s="8"/>
      <c r="E4691" s="8"/>
      <c r="F4691" s="8"/>
    </row>
    <row r="4692" spans="2:6">
      <c r="B4692" s="44"/>
      <c r="D4692" s="8"/>
      <c r="E4692" s="8"/>
      <c r="F4692" s="8"/>
    </row>
    <row r="4693" spans="2:6">
      <c r="B4693" s="44"/>
      <c r="D4693" s="8"/>
      <c r="E4693" s="8"/>
      <c r="F4693" s="8"/>
    </row>
    <row r="4694" spans="2:6">
      <c r="B4694" s="44"/>
      <c r="D4694" s="8"/>
      <c r="E4694" s="8"/>
      <c r="F4694" s="8"/>
    </row>
    <row r="4695" spans="2:6">
      <c r="B4695" s="44"/>
      <c r="D4695" s="8"/>
      <c r="E4695" s="8"/>
      <c r="F4695" s="8"/>
    </row>
    <row r="4696" spans="2:6">
      <c r="B4696" s="44"/>
      <c r="D4696" s="8"/>
      <c r="E4696" s="8"/>
      <c r="F4696" s="8"/>
    </row>
    <row r="4697" spans="2:6">
      <c r="B4697" s="44"/>
      <c r="D4697" s="8"/>
      <c r="E4697" s="8"/>
      <c r="F4697" s="8"/>
    </row>
    <row r="4698" spans="2:6">
      <c r="B4698" s="44"/>
      <c r="D4698" s="8"/>
      <c r="E4698" s="8"/>
      <c r="F4698" s="8"/>
    </row>
    <row r="4699" spans="2:6">
      <c r="B4699" s="44"/>
      <c r="D4699" s="8"/>
      <c r="E4699" s="8"/>
      <c r="F4699" s="8"/>
    </row>
    <row r="4700" spans="2:6">
      <c r="B4700" s="44"/>
      <c r="D4700" s="8"/>
      <c r="E4700" s="8"/>
      <c r="F4700" s="8"/>
    </row>
    <row r="4701" spans="2:6">
      <c r="B4701" s="44"/>
      <c r="D4701" s="8"/>
      <c r="E4701" s="8"/>
      <c r="F4701" s="8"/>
    </row>
    <row r="4702" spans="2:6">
      <c r="B4702" s="44"/>
      <c r="D4702" s="8"/>
      <c r="E4702" s="8"/>
      <c r="F4702" s="8"/>
    </row>
    <row r="4703" spans="2:6">
      <c r="B4703" s="44"/>
      <c r="D4703" s="8"/>
      <c r="E4703" s="8"/>
      <c r="F4703" s="8"/>
    </row>
    <row r="4704" spans="2:6">
      <c r="B4704" s="44"/>
      <c r="D4704" s="8"/>
      <c r="E4704" s="8"/>
      <c r="F4704" s="8"/>
    </row>
    <row r="4705" spans="2:6">
      <c r="B4705" s="44"/>
      <c r="D4705" s="8"/>
      <c r="E4705" s="8"/>
      <c r="F4705" s="8"/>
    </row>
    <row r="4706" spans="2:6">
      <c r="B4706" s="44"/>
      <c r="D4706" s="8"/>
      <c r="E4706" s="8"/>
      <c r="F4706" s="8"/>
    </row>
    <row r="4707" spans="2:6">
      <c r="B4707" s="44"/>
      <c r="D4707" s="8"/>
      <c r="E4707" s="8"/>
      <c r="F4707" s="8"/>
    </row>
    <row r="4708" spans="2:6">
      <c r="B4708" s="44"/>
      <c r="D4708" s="8"/>
      <c r="E4708" s="8"/>
      <c r="F4708" s="8"/>
    </row>
    <row r="4709" spans="2:6">
      <c r="B4709" s="44"/>
      <c r="D4709" s="8"/>
      <c r="E4709" s="8"/>
      <c r="F4709" s="8"/>
    </row>
    <row r="4710" spans="2:6">
      <c r="B4710" s="44"/>
      <c r="D4710" s="8"/>
      <c r="E4710" s="8"/>
      <c r="F4710" s="8"/>
    </row>
    <row r="4711" spans="2:6">
      <c r="B4711" s="44"/>
      <c r="D4711" s="8"/>
      <c r="E4711" s="8"/>
      <c r="F4711" s="8"/>
    </row>
    <row r="4712" spans="2:6">
      <c r="B4712" s="44"/>
      <c r="D4712" s="8"/>
      <c r="E4712" s="8"/>
      <c r="F4712" s="8"/>
    </row>
    <row r="4713" spans="2:6">
      <c r="B4713" s="44"/>
      <c r="D4713" s="8"/>
      <c r="E4713" s="8"/>
      <c r="F4713" s="8"/>
    </row>
    <row r="4714" spans="2:6">
      <c r="B4714" s="44"/>
      <c r="D4714" s="8"/>
      <c r="E4714" s="8"/>
      <c r="F4714" s="8"/>
    </row>
    <row r="4715" spans="2:6">
      <c r="B4715" s="44"/>
      <c r="D4715" s="8"/>
      <c r="E4715" s="8"/>
      <c r="F4715" s="8"/>
    </row>
    <row r="4716" spans="2:6">
      <c r="B4716" s="44"/>
      <c r="D4716" s="8"/>
      <c r="E4716" s="8"/>
      <c r="F4716" s="8"/>
    </row>
    <row r="4717" spans="2:6">
      <c r="B4717" s="44"/>
      <c r="D4717" s="8"/>
      <c r="E4717" s="8"/>
      <c r="F4717" s="8"/>
    </row>
    <row r="4718" spans="2:6">
      <c r="B4718" s="44"/>
      <c r="D4718" s="8"/>
      <c r="E4718" s="8"/>
      <c r="F4718" s="8"/>
    </row>
    <row r="4719" spans="2:6">
      <c r="B4719" s="44"/>
      <c r="D4719" s="8"/>
      <c r="E4719" s="8"/>
      <c r="F4719" s="8"/>
    </row>
    <row r="4720" spans="2:6">
      <c r="B4720" s="44"/>
      <c r="D4720" s="8"/>
      <c r="E4720" s="8"/>
      <c r="F4720" s="8"/>
    </row>
    <row r="4721" spans="2:6">
      <c r="B4721" s="44"/>
      <c r="D4721" s="8"/>
      <c r="E4721" s="8"/>
      <c r="F4721" s="8"/>
    </row>
    <row r="4722" spans="2:6">
      <c r="B4722" s="44"/>
      <c r="D4722" s="8"/>
      <c r="E4722" s="8"/>
      <c r="F4722" s="8"/>
    </row>
    <row r="4723" spans="2:6">
      <c r="B4723" s="44"/>
      <c r="D4723" s="8"/>
      <c r="E4723" s="8"/>
      <c r="F4723" s="8"/>
    </row>
    <row r="4724" spans="2:6">
      <c r="B4724" s="44"/>
      <c r="D4724" s="8"/>
      <c r="E4724" s="8"/>
      <c r="F4724" s="8"/>
    </row>
    <row r="4725" spans="2:6">
      <c r="B4725" s="44"/>
      <c r="D4725" s="8"/>
      <c r="E4725" s="8"/>
      <c r="F4725" s="8"/>
    </row>
    <row r="4726" spans="2:6">
      <c r="B4726" s="44"/>
      <c r="D4726" s="8"/>
      <c r="E4726" s="8"/>
      <c r="F4726" s="8"/>
    </row>
    <row r="4727" spans="2:6">
      <c r="B4727" s="44"/>
      <c r="D4727" s="8"/>
      <c r="E4727" s="8"/>
      <c r="F4727" s="8"/>
    </row>
    <row r="4728" spans="2:6">
      <c r="B4728" s="44"/>
      <c r="D4728" s="8"/>
      <c r="E4728" s="8"/>
      <c r="F4728" s="8"/>
    </row>
    <row r="4729" spans="2:6">
      <c r="B4729" s="44"/>
      <c r="D4729" s="8"/>
      <c r="E4729" s="8"/>
      <c r="F4729" s="8"/>
    </row>
    <row r="4730" spans="2:6">
      <c r="B4730" s="44"/>
      <c r="D4730" s="8"/>
      <c r="E4730" s="8"/>
      <c r="F4730" s="8"/>
    </row>
    <row r="4731" spans="2:6">
      <c r="B4731" s="44"/>
      <c r="D4731" s="8"/>
      <c r="E4731" s="8"/>
      <c r="F4731" s="8"/>
    </row>
    <row r="4732" spans="2:6">
      <c r="B4732" s="44"/>
      <c r="D4732" s="8"/>
      <c r="E4732" s="8"/>
      <c r="F4732" s="8"/>
    </row>
    <row r="4733" spans="2:6">
      <c r="B4733" s="44"/>
      <c r="D4733" s="8"/>
      <c r="E4733" s="8"/>
      <c r="F4733" s="8"/>
    </row>
    <row r="4734" spans="2:6">
      <c r="B4734" s="44"/>
      <c r="D4734" s="8"/>
      <c r="E4734" s="8"/>
      <c r="F4734" s="8"/>
    </row>
    <row r="4735" spans="2:6">
      <c r="B4735" s="44"/>
      <c r="D4735" s="8"/>
      <c r="E4735" s="8"/>
      <c r="F4735" s="8"/>
    </row>
    <row r="4736" spans="2:6">
      <c r="B4736" s="44"/>
      <c r="D4736" s="8"/>
      <c r="E4736" s="8"/>
      <c r="F4736" s="8"/>
    </row>
    <row r="4737" spans="2:6">
      <c r="B4737" s="44"/>
      <c r="D4737" s="8"/>
      <c r="E4737" s="8"/>
      <c r="F4737" s="8"/>
    </row>
    <row r="4738" spans="2:6">
      <c r="B4738" s="44"/>
      <c r="D4738" s="8"/>
      <c r="E4738" s="8"/>
      <c r="F4738" s="8"/>
    </row>
    <row r="4739" spans="2:6">
      <c r="B4739" s="44"/>
      <c r="D4739" s="8"/>
      <c r="E4739" s="8"/>
      <c r="F4739" s="8"/>
    </row>
    <row r="4740" spans="2:6">
      <c r="B4740" s="44"/>
      <c r="D4740" s="8"/>
      <c r="E4740" s="8"/>
      <c r="F4740" s="8"/>
    </row>
    <row r="4741" spans="2:6">
      <c r="B4741" s="44"/>
      <c r="D4741" s="8"/>
      <c r="E4741" s="8"/>
      <c r="F4741" s="8"/>
    </row>
    <row r="4742" spans="2:6">
      <c r="B4742" s="44"/>
      <c r="D4742" s="8"/>
      <c r="E4742" s="8"/>
      <c r="F4742" s="8"/>
    </row>
    <row r="4743" spans="2:6">
      <c r="B4743" s="44"/>
      <c r="D4743" s="8"/>
      <c r="E4743" s="8"/>
      <c r="F4743" s="8"/>
    </row>
    <row r="4744" spans="2:6">
      <c r="B4744" s="44"/>
      <c r="D4744" s="8"/>
      <c r="E4744" s="8"/>
      <c r="F4744" s="8"/>
    </row>
    <row r="4745" spans="2:6">
      <c r="B4745" s="44"/>
      <c r="D4745" s="8"/>
      <c r="E4745" s="8"/>
      <c r="F4745" s="8"/>
    </row>
    <row r="4746" spans="2:6">
      <c r="B4746" s="44"/>
      <c r="D4746" s="8"/>
      <c r="E4746" s="8"/>
      <c r="F4746" s="8"/>
    </row>
    <row r="4747" spans="2:6">
      <c r="B4747" s="44"/>
      <c r="D4747" s="8"/>
      <c r="E4747" s="8"/>
      <c r="F4747" s="8"/>
    </row>
    <row r="4748" spans="2:6">
      <c r="B4748" s="44"/>
      <c r="D4748" s="8"/>
      <c r="E4748" s="8"/>
      <c r="F4748" s="8"/>
    </row>
    <row r="4749" spans="2:6">
      <c r="B4749" s="44"/>
      <c r="D4749" s="8"/>
      <c r="E4749" s="8"/>
      <c r="F4749" s="8"/>
    </row>
    <row r="4750" spans="2:6">
      <c r="B4750" s="44"/>
      <c r="D4750" s="8"/>
      <c r="E4750" s="8"/>
      <c r="F4750" s="8"/>
    </row>
    <row r="4751" spans="2:6">
      <c r="B4751" s="44"/>
      <c r="D4751" s="8"/>
      <c r="E4751" s="8"/>
      <c r="F4751" s="8"/>
    </row>
    <row r="4752" spans="2:6">
      <c r="B4752" s="44"/>
      <c r="D4752" s="8"/>
      <c r="E4752" s="8"/>
      <c r="F4752" s="8"/>
    </row>
    <row r="4753" spans="2:6">
      <c r="B4753" s="44"/>
      <c r="D4753" s="8"/>
      <c r="E4753" s="8"/>
      <c r="F4753" s="8"/>
    </row>
    <row r="4754" spans="2:6">
      <c r="B4754" s="44"/>
      <c r="D4754" s="8"/>
      <c r="E4754" s="8"/>
      <c r="F4754" s="8"/>
    </row>
    <row r="4755" spans="2:6">
      <c r="B4755" s="44"/>
      <c r="D4755" s="8"/>
      <c r="E4755" s="8"/>
      <c r="F4755" s="8"/>
    </row>
    <row r="4756" spans="2:6">
      <c r="B4756" s="44"/>
      <c r="D4756" s="8"/>
      <c r="E4756" s="8"/>
      <c r="F4756" s="8"/>
    </row>
    <row r="4757" spans="2:6">
      <c r="B4757" s="44"/>
      <c r="D4757" s="8"/>
      <c r="E4757" s="8"/>
      <c r="F4757" s="8"/>
    </row>
    <row r="4758" spans="2:6">
      <c r="B4758" s="44"/>
      <c r="D4758" s="8"/>
      <c r="E4758" s="8"/>
      <c r="F4758" s="8"/>
    </row>
    <row r="4759" spans="2:6">
      <c r="B4759" s="44"/>
      <c r="D4759" s="8"/>
      <c r="E4759" s="8"/>
      <c r="F4759" s="8"/>
    </row>
    <row r="4760" spans="2:6">
      <c r="B4760" s="44"/>
      <c r="D4760" s="8"/>
      <c r="E4760" s="8"/>
      <c r="F4760" s="8"/>
    </row>
    <row r="4761" spans="2:6">
      <c r="B4761" s="44"/>
      <c r="D4761" s="8"/>
      <c r="E4761" s="8"/>
      <c r="F4761" s="8"/>
    </row>
    <row r="4762" spans="2:6">
      <c r="B4762" s="44"/>
      <c r="D4762" s="8"/>
      <c r="E4762" s="8"/>
      <c r="F4762" s="8"/>
    </row>
    <row r="4763" spans="2:6">
      <c r="B4763" s="44"/>
      <c r="D4763" s="8"/>
      <c r="E4763" s="8"/>
      <c r="F4763" s="8"/>
    </row>
    <row r="4764" spans="2:6">
      <c r="B4764" s="44"/>
      <c r="D4764" s="8"/>
      <c r="E4764" s="8"/>
      <c r="F4764" s="8"/>
    </row>
    <row r="4765" spans="2:6">
      <c r="B4765" s="44"/>
      <c r="D4765" s="8"/>
      <c r="E4765" s="8"/>
      <c r="F4765" s="8"/>
    </row>
    <row r="4766" spans="2:6">
      <c r="B4766" s="44"/>
      <c r="D4766" s="8"/>
      <c r="E4766" s="8"/>
      <c r="F4766" s="8"/>
    </row>
    <row r="4767" spans="2:6">
      <c r="B4767" s="44"/>
      <c r="D4767" s="8"/>
      <c r="E4767" s="8"/>
      <c r="F4767" s="8"/>
    </row>
    <row r="4768" spans="2:6">
      <c r="B4768" s="44"/>
      <c r="D4768" s="8"/>
      <c r="E4768" s="8"/>
      <c r="F4768" s="8"/>
    </row>
    <row r="4769" spans="2:6">
      <c r="B4769" s="44"/>
      <c r="D4769" s="8"/>
      <c r="E4769" s="8"/>
      <c r="F4769" s="8"/>
    </row>
    <row r="4770" spans="2:6">
      <c r="B4770" s="44"/>
      <c r="D4770" s="8"/>
      <c r="E4770" s="8"/>
      <c r="F4770" s="8"/>
    </row>
    <row r="4771" spans="2:6">
      <c r="B4771" s="44"/>
      <c r="D4771" s="8"/>
      <c r="E4771" s="8"/>
      <c r="F4771" s="8"/>
    </row>
    <row r="4772" spans="2:6">
      <c r="B4772" s="44"/>
      <c r="D4772" s="8"/>
      <c r="E4772" s="8"/>
      <c r="F4772" s="8"/>
    </row>
    <row r="4773" spans="2:6">
      <c r="B4773" s="44"/>
      <c r="D4773" s="8"/>
      <c r="E4773" s="8"/>
      <c r="F4773" s="8"/>
    </row>
    <row r="4774" spans="2:6">
      <c r="B4774" s="44"/>
      <c r="D4774" s="8"/>
      <c r="E4774" s="8"/>
      <c r="F4774" s="8"/>
    </row>
    <row r="4775" spans="2:6">
      <c r="B4775" s="44"/>
      <c r="D4775" s="8"/>
      <c r="E4775" s="8"/>
      <c r="F4775" s="8"/>
    </row>
    <row r="4776" spans="2:6">
      <c r="B4776" s="44"/>
      <c r="D4776" s="8"/>
      <c r="E4776" s="8"/>
      <c r="F4776" s="8"/>
    </row>
    <row r="4777" spans="2:6">
      <c r="B4777" s="44"/>
      <c r="D4777" s="8"/>
      <c r="E4777" s="8"/>
      <c r="F4777" s="8"/>
    </row>
    <row r="4778" spans="2:6">
      <c r="B4778" s="44"/>
      <c r="D4778" s="8"/>
      <c r="E4778" s="8"/>
      <c r="F4778" s="8"/>
    </row>
    <row r="4779" spans="2:6">
      <c r="B4779" s="44"/>
      <c r="D4779" s="8"/>
      <c r="E4779" s="8"/>
      <c r="F4779" s="8"/>
    </row>
    <row r="4780" spans="2:6">
      <c r="B4780" s="44"/>
      <c r="D4780" s="8"/>
      <c r="E4780" s="8"/>
      <c r="F4780" s="8"/>
    </row>
    <row r="4781" spans="2:6">
      <c r="B4781" s="44"/>
      <c r="D4781" s="8"/>
      <c r="E4781" s="8"/>
      <c r="F4781" s="8"/>
    </row>
    <row r="4782" spans="2:6">
      <c r="B4782" s="44"/>
      <c r="D4782" s="8"/>
      <c r="E4782" s="8"/>
      <c r="F4782" s="8"/>
    </row>
    <row r="4783" spans="2:6">
      <c r="B4783" s="44"/>
      <c r="D4783" s="8"/>
      <c r="E4783" s="8"/>
      <c r="F4783" s="8"/>
    </row>
    <row r="4784" spans="2:6">
      <c r="B4784" s="44"/>
      <c r="D4784" s="8"/>
      <c r="E4784" s="8"/>
      <c r="F4784" s="8"/>
    </row>
    <row r="4785" spans="2:6">
      <c r="B4785" s="44"/>
      <c r="D4785" s="8"/>
      <c r="E4785" s="8"/>
      <c r="F4785" s="8"/>
    </row>
    <row r="4786" spans="2:6">
      <c r="B4786" s="44"/>
      <c r="D4786" s="8"/>
      <c r="E4786" s="8"/>
      <c r="F4786" s="8"/>
    </row>
    <row r="4787" spans="2:6">
      <c r="B4787" s="44"/>
      <c r="D4787" s="8"/>
      <c r="E4787" s="8"/>
      <c r="F4787" s="8"/>
    </row>
    <row r="4788" spans="2:6">
      <c r="B4788" s="44"/>
      <c r="D4788" s="8"/>
      <c r="E4788" s="8"/>
      <c r="F4788" s="8"/>
    </row>
    <row r="4789" spans="2:6">
      <c r="B4789" s="44"/>
      <c r="D4789" s="8"/>
      <c r="E4789" s="8"/>
      <c r="F4789" s="8"/>
    </row>
    <row r="4790" spans="2:6">
      <c r="B4790" s="44"/>
      <c r="D4790" s="8"/>
      <c r="E4790" s="8"/>
      <c r="F4790" s="8"/>
    </row>
    <row r="4791" spans="2:6">
      <c r="B4791" s="44"/>
      <c r="D4791" s="8"/>
      <c r="E4791" s="8"/>
      <c r="F4791" s="8"/>
    </row>
    <row r="4792" spans="2:6">
      <c r="B4792" s="44"/>
      <c r="D4792" s="8"/>
      <c r="E4792" s="8"/>
      <c r="F4792" s="8"/>
    </row>
    <row r="4793" spans="2:6">
      <c r="B4793" s="44"/>
      <c r="D4793" s="8"/>
      <c r="E4793" s="8"/>
      <c r="F4793" s="8"/>
    </row>
    <row r="4794" spans="2:6">
      <c r="B4794" s="44"/>
      <c r="D4794" s="8"/>
      <c r="E4794" s="8"/>
      <c r="F4794" s="8"/>
    </row>
    <row r="4795" spans="2:6">
      <c r="B4795" s="44"/>
      <c r="D4795" s="8"/>
      <c r="E4795" s="8"/>
      <c r="F4795" s="8"/>
    </row>
    <row r="4796" spans="2:6">
      <c r="B4796" s="44"/>
      <c r="D4796" s="8"/>
      <c r="E4796" s="8"/>
      <c r="F4796" s="8"/>
    </row>
    <row r="4797" spans="2:6">
      <c r="B4797" s="44"/>
      <c r="D4797" s="8"/>
      <c r="E4797" s="8"/>
      <c r="F4797" s="8"/>
    </row>
    <row r="4798" spans="2:6">
      <c r="B4798" s="44"/>
      <c r="D4798" s="8"/>
      <c r="E4798" s="8"/>
      <c r="F4798" s="8"/>
    </row>
    <row r="4799" spans="2:6">
      <c r="B4799" s="44"/>
      <c r="D4799" s="8"/>
      <c r="E4799" s="8"/>
      <c r="F4799" s="8"/>
    </row>
    <row r="4800" spans="2:6">
      <c r="B4800" s="44"/>
      <c r="D4800" s="8"/>
      <c r="E4800" s="8"/>
      <c r="F4800" s="8"/>
    </row>
    <row r="4801" spans="2:6">
      <c r="B4801" s="44"/>
      <c r="D4801" s="8"/>
      <c r="E4801" s="8"/>
      <c r="F4801" s="8"/>
    </row>
    <row r="4802" spans="2:6">
      <c r="B4802" s="44"/>
      <c r="D4802" s="8"/>
      <c r="E4802" s="8"/>
      <c r="F4802" s="8"/>
    </row>
    <row r="4803" spans="2:6">
      <c r="B4803" s="44"/>
      <c r="D4803" s="8"/>
      <c r="E4803" s="8"/>
      <c r="F4803" s="8"/>
    </row>
    <row r="4804" spans="2:6">
      <c r="B4804" s="44"/>
      <c r="D4804" s="8"/>
      <c r="E4804" s="8"/>
      <c r="F4804" s="8"/>
    </row>
    <row r="4805" spans="2:6">
      <c r="B4805" s="44"/>
      <c r="D4805" s="8"/>
      <c r="E4805" s="8"/>
      <c r="F4805" s="8"/>
    </row>
    <row r="4806" spans="2:6">
      <c r="B4806" s="44"/>
      <c r="D4806" s="8"/>
      <c r="E4806" s="8"/>
      <c r="F4806" s="8"/>
    </row>
    <row r="4807" spans="2:6">
      <c r="B4807" s="44"/>
      <c r="D4807" s="8"/>
      <c r="E4807" s="8"/>
      <c r="F4807" s="8"/>
    </row>
    <row r="4808" spans="2:6">
      <c r="B4808" s="44"/>
      <c r="D4808" s="8"/>
      <c r="E4808" s="8"/>
      <c r="F4808" s="8"/>
    </row>
    <row r="4809" spans="2:6">
      <c r="B4809" s="44"/>
      <c r="D4809" s="8"/>
      <c r="E4809" s="8"/>
      <c r="F4809" s="8"/>
    </row>
    <row r="4810" spans="2:6">
      <c r="B4810" s="44"/>
      <c r="D4810" s="8"/>
      <c r="E4810" s="8"/>
      <c r="F4810" s="8"/>
    </row>
    <row r="4811" spans="2:6">
      <c r="B4811" s="44"/>
      <c r="D4811" s="8"/>
      <c r="E4811" s="8"/>
      <c r="F4811" s="8"/>
    </row>
    <row r="4812" spans="2:6">
      <c r="B4812" s="44"/>
      <c r="D4812" s="8"/>
      <c r="E4812" s="8"/>
      <c r="F4812" s="8"/>
    </row>
    <row r="4813" spans="2:6">
      <c r="B4813" s="44"/>
      <c r="D4813" s="8"/>
      <c r="E4813" s="8"/>
      <c r="F4813" s="8"/>
    </row>
    <row r="4814" spans="2:6">
      <c r="B4814" s="44"/>
      <c r="D4814" s="8"/>
      <c r="E4814" s="8"/>
      <c r="F4814" s="8"/>
    </row>
    <row r="4815" spans="2:6">
      <c r="B4815" s="44"/>
      <c r="D4815" s="8"/>
      <c r="E4815" s="8"/>
      <c r="F4815" s="8"/>
    </row>
    <row r="4816" spans="2:6">
      <c r="B4816" s="44"/>
      <c r="D4816" s="8"/>
      <c r="E4816" s="8"/>
      <c r="F4816" s="8"/>
    </row>
    <row r="4817" spans="2:6">
      <c r="B4817" s="44"/>
      <c r="D4817" s="8"/>
      <c r="E4817" s="8"/>
      <c r="F4817" s="8"/>
    </row>
    <row r="4818" spans="2:6">
      <c r="B4818" s="44"/>
      <c r="D4818" s="8"/>
      <c r="E4818" s="8"/>
      <c r="F4818" s="8"/>
    </row>
    <row r="4819" spans="2:6">
      <c r="B4819" s="44"/>
      <c r="D4819" s="8"/>
      <c r="E4819" s="8"/>
      <c r="F4819" s="8"/>
    </row>
    <row r="4820" spans="2:6">
      <c r="B4820" s="44"/>
      <c r="D4820" s="8"/>
      <c r="E4820" s="8"/>
      <c r="F4820" s="8"/>
    </row>
    <row r="4821" spans="2:6">
      <c r="B4821" s="44"/>
      <c r="D4821" s="8"/>
      <c r="E4821" s="8"/>
      <c r="F4821" s="8"/>
    </row>
    <row r="4822" spans="2:6">
      <c r="B4822" s="44"/>
      <c r="D4822" s="8"/>
      <c r="E4822" s="8"/>
      <c r="F4822" s="8"/>
    </row>
    <row r="4823" spans="2:6">
      <c r="B4823" s="44"/>
      <c r="D4823" s="8"/>
      <c r="E4823" s="8"/>
      <c r="F4823" s="8"/>
    </row>
    <row r="4824" spans="2:6">
      <c r="B4824" s="44"/>
      <c r="D4824" s="8"/>
      <c r="E4824" s="8"/>
      <c r="F4824" s="8"/>
    </row>
    <row r="4825" spans="2:6">
      <c r="B4825" s="44"/>
      <c r="D4825" s="8"/>
      <c r="E4825" s="8"/>
      <c r="F4825" s="8"/>
    </row>
    <row r="4826" spans="2:6">
      <c r="B4826" s="44"/>
      <c r="D4826" s="8"/>
      <c r="E4826" s="8"/>
      <c r="F4826" s="8"/>
    </row>
    <row r="4827" spans="2:6">
      <c r="B4827" s="44"/>
      <c r="D4827" s="8"/>
      <c r="E4827" s="8"/>
      <c r="F4827" s="8"/>
    </row>
    <row r="4828" spans="2:6">
      <c r="B4828" s="44"/>
      <c r="D4828" s="8"/>
      <c r="E4828" s="8"/>
      <c r="F4828" s="8"/>
    </row>
    <row r="4829" spans="2:6">
      <c r="B4829" s="44"/>
      <c r="D4829" s="8"/>
      <c r="E4829" s="8"/>
      <c r="F4829" s="8"/>
    </row>
    <row r="4830" spans="2:6">
      <c r="B4830" s="44"/>
      <c r="D4830" s="8"/>
      <c r="E4830" s="8"/>
      <c r="F4830" s="8"/>
    </row>
    <row r="4831" spans="2:6">
      <c r="B4831" s="44"/>
      <c r="D4831" s="8"/>
      <c r="E4831" s="8"/>
      <c r="F4831" s="8"/>
    </row>
    <row r="4832" spans="2:6">
      <c r="B4832" s="44"/>
      <c r="D4832" s="8"/>
      <c r="E4832" s="8"/>
      <c r="F4832" s="8"/>
    </row>
    <row r="4833" spans="2:6">
      <c r="B4833" s="44"/>
      <c r="D4833" s="8"/>
      <c r="E4833" s="8"/>
      <c r="F4833" s="8"/>
    </row>
    <row r="4834" spans="2:6">
      <c r="B4834" s="44"/>
      <c r="D4834" s="8"/>
      <c r="E4834" s="8"/>
      <c r="F4834" s="8"/>
    </row>
    <row r="4835" spans="2:6">
      <c r="B4835" s="44"/>
      <c r="D4835" s="8"/>
      <c r="E4835" s="8"/>
      <c r="F4835" s="8"/>
    </row>
    <row r="4836" spans="2:6">
      <c r="B4836" s="44"/>
      <c r="D4836" s="8"/>
      <c r="E4836" s="8"/>
      <c r="F4836" s="8"/>
    </row>
    <row r="4837" spans="2:6">
      <c r="B4837" s="44"/>
      <c r="D4837" s="8"/>
      <c r="E4837" s="8"/>
      <c r="F4837" s="8"/>
    </row>
    <row r="4838" spans="2:6">
      <c r="B4838" s="44"/>
      <c r="D4838" s="8"/>
      <c r="E4838" s="8"/>
      <c r="F4838" s="8"/>
    </row>
    <row r="4839" spans="2:6">
      <c r="B4839" s="44"/>
      <c r="D4839" s="8"/>
      <c r="E4839" s="8"/>
      <c r="F4839" s="8"/>
    </row>
    <row r="4840" spans="2:6">
      <c r="B4840" s="44"/>
      <c r="D4840" s="8"/>
      <c r="E4840" s="8"/>
      <c r="F4840" s="8"/>
    </row>
    <row r="4841" spans="2:6">
      <c r="B4841" s="44"/>
      <c r="D4841" s="8"/>
      <c r="E4841" s="8"/>
      <c r="F4841" s="8"/>
    </row>
    <row r="4842" spans="2:6">
      <c r="B4842" s="44"/>
      <c r="D4842" s="8"/>
      <c r="E4842" s="8"/>
      <c r="F4842" s="8"/>
    </row>
    <row r="4843" spans="2:6">
      <c r="B4843" s="44"/>
      <c r="D4843" s="8"/>
      <c r="E4843" s="8"/>
      <c r="F4843" s="8"/>
    </row>
    <row r="4844" spans="2:6">
      <c r="B4844" s="44"/>
      <c r="D4844" s="8"/>
      <c r="E4844" s="8"/>
      <c r="F4844" s="8"/>
    </row>
    <row r="4845" spans="2:6">
      <c r="B4845" s="44"/>
      <c r="D4845" s="8"/>
      <c r="E4845" s="8"/>
      <c r="F4845" s="8"/>
    </row>
    <row r="4846" spans="2:6">
      <c r="B4846" s="44"/>
      <c r="D4846" s="8"/>
      <c r="E4846" s="8"/>
      <c r="F4846" s="8"/>
    </row>
    <row r="4847" spans="2:6">
      <c r="B4847" s="44"/>
      <c r="D4847" s="8"/>
      <c r="E4847" s="8"/>
      <c r="F4847" s="8"/>
    </row>
    <row r="4848" spans="2:6">
      <c r="B4848" s="44"/>
      <c r="D4848" s="8"/>
      <c r="E4848" s="8"/>
      <c r="F4848" s="8"/>
    </row>
    <row r="4849" spans="2:6">
      <c r="B4849" s="44"/>
      <c r="D4849" s="8"/>
      <c r="E4849" s="8"/>
      <c r="F4849" s="8"/>
    </row>
    <row r="4850" spans="2:6">
      <c r="B4850" s="44"/>
      <c r="D4850" s="8"/>
      <c r="E4850" s="8"/>
      <c r="F4850" s="8"/>
    </row>
    <row r="4851" spans="2:6">
      <c r="B4851" s="44"/>
      <c r="D4851" s="8"/>
      <c r="E4851" s="8"/>
      <c r="F4851" s="8"/>
    </row>
    <row r="4852" spans="2:6">
      <c r="B4852" s="44"/>
      <c r="D4852" s="8"/>
      <c r="E4852" s="8"/>
      <c r="F4852" s="8"/>
    </row>
    <row r="4853" spans="2:6">
      <c r="B4853" s="44"/>
      <c r="D4853" s="8"/>
      <c r="E4853" s="8"/>
      <c r="F4853" s="8"/>
    </row>
    <row r="4854" spans="2:6">
      <c r="B4854" s="44"/>
      <c r="D4854" s="8"/>
      <c r="E4854" s="8"/>
      <c r="F4854" s="8"/>
    </row>
    <row r="4855" spans="2:6">
      <c r="B4855" s="44"/>
      <c r="D4855" s="8"/>
      <c r="E4855" s="8"/>
      <c r="F4855" s="8"/>
    </row>
    <row r="4856" spans="2:6">
      <c r="B4856" s="44"/>
      <c r="D4856" s="8"/>
      <c r="E4856" s="8"/>
      <c r="F4856" s="8"/>
    </row>
    <row r="4857" spans="2:6">
      <c r="B4857" s="44"/>
      <c r="D4857" s="8"/>
      <c r="E4857" s="8"/>
      <c r="F4857" s="8"/>
    </row>
    <row r="4858" spans="2:6">
      <c r="B4858" s="44"/>
      <c r="D4858" s="8"/>
      <c r="E4858" s="8"/>
      <c r="F4858" s="8"/>
    </row>
    <row r="4859" spans="2:6">
      <c r="B4859" s="44"/>
      <c r="D4859" s="8"/>
      <c r="E4859" s="8"/>
      <c r="F4859" s="8"/>
    </row>
    <row r="4860" spans="2:6">
      <c r="B4860" s="44"/>
      <c r="D4860" s="8"/>
      <c r="E4860" s="8"/>
      <c r="F4860" s="8"/>
    </row>
    <row r="4861" spans="2:6">
      <c r="B4861" s="44"/>
      <c r="D4861" s="8"/>
      <c r="E4861" s="8"/>
      <c r="F4861" s="8"/>
    </row>
    <row r="4862" spans="2:6">
      <c r="B4862" s="44"/>
      <c r="D4862" s="8"/>
      <c r="E4862" s="8"/>
      <c r="F4862" s="8"/>
    </row>
    <row r="4863" spans="2:6">
      <c r="B4863" s="44"/>
      <c r="D4863" s="8"/>
      <c r="E4863" s="8"/>
      <c r="F4863" s="8"/>
    </row>
    <row r="4864" spans="2:6">
      <c r="B4864" s="44"/>
      <c r="D4864" s="8"/>
      <c r="E4864" s="8"/>
      <c r="F4864" s="8"/>
    </row>
    <row r="4865" spans="2:6">
      <c r="B4865" s="44"/>
      <c r="D4865" s="8"/>
      <c r="E4865" s="8"/>
      <c r="F4865" s="8"/>
    </row>
    <row r="4866" spans="2:6">
      <c r="B4866" s="44"/>
      <c r="D4866" s="8"/>
      <c r="E4866" s="8"/>
      <c r="F4866" s="8"/>
    </row>
    <row r="4867" spans="2:6">
      <c r="B4867" s="44"/>
      <c r="D4867" s="8"/>
      <c r="E4867" s="8"/>
      <c r="F4867" s="8"/>
    </row>
    <row r="4868" spans="2:6">
      <c r="B4868" s="44"/>
      <c r="D4868" s="8"/>
      <c r="E4868" s="8"/>
      <c r="F4868" s="8"/>
    </row>
    <row r="4869" spans="2:6">
      <c r="B4869" s="44"/>
      <c r="D4869" s="8"/>
      <c r="E4869" s="8"/>
      <c r="F4869" s="8"/>
    </row>
    <row r="4870" spans="2:6">
      <c r="B4870" s="44"/>
      <c r="D4870" s="8"/>
      <c r="E4870" s="8"/>
      <c r="F4870" s="8"/>
    </row>
    <row r="4871" spans="2:6">
      <c r="B4871" s="44"/>
      <c r="D4871" s="8"/>
      <c r="E4871" s="8"/>
      <c r="F4871" s="8"/>
    </row>
    <row r="4872" spans="2:6">
      <c r="B4872" s="44"/>
      <c r="D4872" s="8"/>
      <c r="E4872" s="8"/>
      <c r="F4872" s="8"/>
    </row>
    <row r="4873" spans="2:6">
      <c r="B4873" s="44"/>
      <c r="D4873" s="8"/>
      <c r="E4873" s="8"/>
      <c r="F4873" s="8"/>
    </row>
    <row r="4874" spans="2:6">
      <c r="B4874" s="44"/>
      <c r="D4874" s="8"/>
      <c r="E4874" s="8"/>
      <c r="F4874" s="8"/>
    </row>
    <row r="4875" spans="2:6">
      <c r="B4875" s="44"/>
      <c r="D4875" s="8"/>
      <c r="E4875" s="8"/>
      <c r="F4875" s="8"/>
    </row>
    <row r="4876" spans="2:6">
      <c r="B4876" s="44"/>
      <c r="D4876" s="8"/>
      <c r="E4876" s="8"/>
      <c r="F4876" s="8"/>
    </row>
    <row r="4877" spans="2:6">
      <c r="B4877" s="44"/>
      <c r="D4877" s="8"/>
      <c r="E4877" s="8"/>
      <c r="F4877" s="8"/>
    </row>
    <row r="4878" spans="2:6">
      <c r="B4878" s="44"/>
      <c r="D4878" s="8"/>
      <c r="E4878" s="8"/>
      <c r="F4878" s="8"/>
    </row>
    <row r="4879" spans="2:6">
      <c r="B4879" s="44"/>
      <c r="D4879" s="8"/>
      <c r="E4879" s="8"/>
      <c r="F4879" s="8"/>
    </row>
    <row r="4880" spans="2:6">
      <c r="B4880" s="44"/>
      <c r="D4880" s="8"/>
      <c r="E4880" s="8"/>
      <c r="F4880" s="8"/>
    </row>
    <row r="4881" spans="2:6">
      <c r="B4881" s="44"/>
      <c r="D4881" s="8"/>
      <c r="E4881" s="8"/>
      <c r="F4881" s="8"/>
    </row>
    <row r="4882" spans="2:6">
      <c r="B4882" s="44"/>
      <c r="D4882" s="8"/>
      <c r="E4882" s="8"/>
      <c r="F4882" s="8"/>
    </row>
    <row r="4883" spans="2:6">
      <c r="B4883" s="44"/>
      <c r="D4883" s="8"/>
      <c r="E4883" s="8"/>
      <c r="F4883" s="8"/>
    </row>
    <row r="4884" spans="2:6">
      <c r="B4884" s="44"/>
      <c r="D4884" s="8"/>
      <c r="E4884" s="8"/>
      <c r="F4884" s="8"/>
    </row>
    <row r="4885" spans="2:6">
      <c r="B4885" s="44"/>
      <c r="D4885" s="8"/>
      <c r="E4885" s="8"/>
      <c r="F4885" s="8"/>
    </row>
    <row r="4886" spans="2:6">
      <c r="B4886" s="44"/>
      <c r="D4886" s="8"/>
      <c r="E4886" s="8"/>
      <c r="F4886" s="8"/>
    </row>
    <row r="4887" spans="2:6">
      <c r="B4887" s="44"/>
      <c r="D4887" s="8"/>
      <c r="E4887" s="8"/>
      <c r="F4887" s="8"/>
    </row>
    <row r="4888" spans="2:6">
      <c r="B4888" s="44"/>
      <c r="D4888" s="8"/>
      <c r="E4888" s="8"/>
      <c r="F4888" s="8"/>
    </row>
    <row r="4889" spans="2:6">
      <c r="B4889" s="44"/>
      <c r="D4889" s="8"/>
      <c r="E4889" s="8"/>
      <c r="F4889" s="8"/>
    </row>
    <row r="4890" spans="2:6">
      <c r="B4890" s="44"/>
      <c r="D4890" s="8"/>
      <c r="E4890" s="8"/>
      <c r="F4890" s="8"/>
    </row>
    <row r="4891" spans="2:6">
      <c r="B4891" s="44"/>
      <c r="D4891" s="8"/>
      <c r="E4891" s="8"/>
      <c r="F4891" s="8"/>
    </row>
    <row r="4892" spans="2:6">
      <c r="B4892" s="44"/>
      <c r="D4892" s="8"/>
      <c r="E4892" s="8"/>
      <c r="F4892" s="8"/>
    </row>
    <row r="4893" spans="2:6">
      <c r="B4893" s="44"/>
      <c r="D4893" s="8"/>
      <c r="E4893" s="8"/>
      <c r="F4893" s="8"/>
    </row>
    <row r="4894" spans="2:6">
      <c r="B4894" s="44"/>
      <c r="D4894" s="8"/>
      <c r="E4894" s="8"/>
      <c r="F4894" s="8"/>
    </row>
    <row r="4895" spans="2:6">
      <c r="B4895" s="44"/>
      <c r="D4895" s="8"/>
      <c r="E4895" s="8"/>
      <c r="F4895" s="8"/>
    </row>
    <row r="4896" spans="2:6">
      <c r="B4896" s="44"/>
      <c r="D4896" s="8"/>
      <c r="E4896" s="8"/>
      <c r="F4896" s="8"/>
    </row>
    <row r="4897" spans="2:6">
      <c r="B4897" s="44"/>
      <c r="D4897" s="8"/>
      <c r="E4897" s="8"/>
      <c r="F4897" s="8"/>
    </row>
    <row r="4898" spans="2:6">
      <c r="B4898" s="44"/>
      <c r="D4898" s="8"/>
      <c r="E4898" s="8"/>
      <c r="F4898" s="8"/>
    </row>
    <row r="4899" spans="2:6">
      <c r="B4899" s="44"/>
      <c r="D4899" s="8"/>
      <c r="E4899" s="8"/>
      <c r="F4899" s="8"/>
    </row>
    <row r="4900" spans="2:6">
      <c r="B4900" s="44"/>
      <c r="D4900" s="8"/>
      <c r="E4900" s="8"/>
      <c r="F4900" s="8"/>
    </row>
    <row r="4901" spans="2:6">
      <c r="B4901" s="44"/>
      <c r="D4901" s="8"/>
      <c r="E4901" s="8"/>
      <c r="F4901" s="8"/>
    </row>
    <row r="4902" spans="2:6">
      <c r="B4902" s="44"/>
      <c r="D4902" s="8"/>
      <c r="E4902" s="8"/>
      <c r="F4902" s="8"/>
    </row>
    <row r="4903" spans="2:6">
      <c r="B4903" s="44"/>
      <c r="D4903" s="8"/>
      <c r="E4903" s="8"/>
      <c r="F4903" s="8"/>
    </row>
    <row r="4904" spans="2:6">
      <c r="B4904" s="44"/>
      <c r="D4904" s="8"/>
      <c r="E4904" s="8"/>
      <c r="F4904" s="8"/>
    </row>
    <row r="4905" spans="2:6">
      <c r="B4905" s="44"/>
      <c r="D4905" s="8"/>
      <c r="E4905" s="8"/>
      <c r="F4905" s="8"/>
    </row>
    <row r="4906" spans="2:6">
      <c r="B4906" s="44"/>
      <c r="D4906" s="8"/>
      <c r="E4906" s="8"/>
      <c r="F4906" s="8"/>
    </row>
    <row r="4907" spans="2:6">
      <c r="B4907" s="44"/>
      <c r="D4907" s="8"/>
      <c r="E4907" s="8"/>
      <c r="F4907" s="8"/>
    </row>
    <row r="4908" spans="2:6">
      <c r="B4908" s="44"/>
      <c r="D4908" s="8"/>
      <c r="E4908" s="8"/>
      <c r="F4908" s="8"/>
    </row>
    <row r="4909" spans="2:6">
      <c r="B4909" s="44"/>
      <c r="D4909" s="8"/>
      <c r="E4909" s="8"/>
      <c r="F4909" s="8"/>
    </row>
    <row r="4910" spans="2:6">
      <c r="B4910" s="44"/>
      <c r="D4910" s="8"/>
      <c r="E4910" s="8"/>
      <c r="F4910" s="8"/>
    </row>
    <row r="4911" spans="2:6">
      <c r="B4911" s="44"/>
      <c r="D4911" s="8"/>
      <c r="E4911" s="8"/>
      <c r="F4911" s="8"/>
    </row>
    <row r="4912" spans="2:6">
      <c r="B4912" s="44"/>
      <c r="D4912" s="8"/>
      <c r="E4912" s="8"/>
      <c r="F4912" s="8"/>
    </row>
    <row r="4913" spans="2:6">
      <c r="B4913" s="44"/>
      <c r="D4913" s="8"/>
      <c r="E4913" s="8"/>
      <c r="F4913" s="8"/>
    </row>
    <row r="4914" spans="2:6">
      <c r="B4914" s="44"/>
      <c r="D4914" s="8"/>
      <c r="E4914" s="8"/>
      <c r="F4914" s="8"/>
    </row>
    <row r="4915" spans="2:6">
      <c r="B4915" s="44"/>
      <c r="D4915" s="8"/>
      <c r="E4915" s="8"/>
      <c r="F4915" s="8"/>
    </row>
    <row r="4916" spans="2:6">
      <c r="B4916" s="44"/>
      <c r="D4916" s="8"/>
      <c r="E4916" s="8"/>
      <c r="F4916" s="8"/>
    </row>
    <row r="4917" spans="2:6">
      <c r="B4917" s="44"/>
      <c r="D4917" s="8"/>
      <c r="E4917" s="8"/>
      <c r="F4917" s="8"/>
    </row>
    <row r="4918" spans="2:6">
      <c r="B4918" s="44"/>
      <c r="D4918" s="8"/>
      <c r="E4918" s="8"/>
      <c r="F4918" s="8"/>
    </row>
    <row r="4919" spans="2:6">
      <c r="B4919" s="44"/>
      <c r="D4919" s="8"/>
      <c r="E4919" s="8"/>
      <c r="F4919" s="8"/>
    </row>
    <row r="4920" spans="2:6">
      <c r="B4920" s="44"/>
      <c r="D4920" s="8"/>
      <c r="E4920" s="8"/>
      <c r="F4920" s="8"/>
    </row>
    <row r="4921" spans="2:6">
      <c r="B4921" s="44"/>
      <c r="D4921" s="8"/>
      <c r="E4921" s="8"/>
      <c r="F4921" s="8"/>
    </row>
    <row r="4922" spans="2:6">
      <c r="B4922" s="44"/>
      <c r="D4922" s="8"/>
      <c r="E4922" s="8"/>
      <c r="F4922" s="8"/>
    </row>
    <row r="4923" spans="2:6">
      <c r="B4923" s="44"/>
      <c r="D4923" s="8"/>
      <c r="E4923" s="8"/>
      <c r="F4923" s="8"/>
    </row>
    <row r="4924" spans="2:6">
      <c r="B4924" s="44"/>
      <c r="D4924" s="8"/>
      <c r="E4924" s="8"/>
      <c r="F4924" s="8"/>
    </row>
    <row r="4925" spans="2:6">
      <c r="B4925" s="44"/>
      <c r="D4925" s="8"/>
      <c r="E4925" s="8"/>
      <c r="F4925" s="8"/>
    </row>
    <row r="4926" spans="2:6">
      <c r="B4926" s="44"/>
      <c r="D4926" s="8"/>
      <c r="E4926" s="8"/>
      <c r="F4926" s="8"/>
    </row>
    <row r="4927" spans="2:6">
      <c r="B4927" s="44"/>
      <c r="D4927" s="8"/>
      <c r="E4927" s="8"/>
      <c r="F4927" s="8"/>
    </row>
    <row r="4928" spans="2:6">
      <c r="B4928" s="44"/>
      <c r="D4928" s="8"/>
      <c r="E4928" s="8"/>
      <c r="F4928" s="8"/>
    </row>
    <row r="4929" spans="2:6">
      <c r="B4929" s="44"/>
      <c r="D4929" s="8"/>
      <c r="E4929" s="8"/>
      <c r="F4929" s="8"/>
    </row>
    <row r="4930" spans="2:6">
      <c r="B4930" s="44"/>
      <c r="D4930" s="8"/>
      <c r="E4930" s="8"/>
      <c r="F4930" s="8"/>
    </row>
    <row r="4931" spans="2:6">
      <c r="B4931" s="44"/>
      <c r="D4931" s="8"/>
      <c r="E4931" s="8"/>
      <c r="F4931" s="8"/>
    </row>
    <row r="4932" spans="2:6">
      <c r="B4932" s="44"/>
      <c r="D4932" s="8"/>
      <c r="E4932" s="8"/>
      <c r="F4932" s="8"/>
    </row>
    <row r="4933" spans="2:6">
      <c r="B4933" s="44"/>
      <c r="D4933" s="8"/>
      <c r="E4933" s="8"/>
      <c r="F4933" s="8"/>
    </row>
    <row r="4934" spans="2:6">
      <c r="B4934" s="44"/>
      <c r="D4934" s="8"/>
      <c r="E4934" s="8"/>
      <c r="F4934" s="8"/>
    </row>
    <row r="4935" spans="2:6">
      <c r="B4935" s="44"/>
      <c r="D4935" s="8"/>
      <c r="E4935" s="8"/>
      <c r="F4935" s="8"/>
    </row>
    <row r="4936" spans="2:6">
      <c r="B4936" s="44"/>
      <c r="D4936" s="8"/>
      <c r="E4936" s="8"/>
      <c r="F4936" s="8"/>
    </row>
    <row r="4937" spans="2:6">
      <c r="B4937" s="44"/>
      <c r="D4937" s="8"/>
      <c r="E4937" s="8"/>
      <c r="F4937" s="8"/>
    </row>
    <row r="4938" spans="2:6">
      <c r="B4938" s="44"/>
      <c r="D4938" s="8"/>
      <c r="E4938" s="8"/>
      <c r="F4938" s="8"/>
    </row>
    <row r="4939" spans="2:6">
      <c r="B4939" s="44"/>
      <c r="D4939" s="8"/>
      <c r="E4939" s="8"/>
      <c r="F4939" s="8"/>
    </row>
    <row r="4940" spans="2:6">
      <c r="B4940" s="44"/>
      <c r="D4940" s="8"/>
      <c r="E4940" s="8"/>
      <c r="F4940" s="8"/>
    </row>
    <row r="4941" spans="2:6">
      <c r="B4941" s="44"/>
      <c r="D4941" s="8"/>
      <c r="E4941" s="8"/>
      <c r="F4941" s="8"/>
    </row>
    <row r="4942" spans="2:6">
      <c r="B4942" s="44"/>
      <c r="D4942" s="8"/>
      <c r="E4942" s="8"/>
      <c r="F4942" s="8"/>
    </row>
    <row r="4943" spans="2:6">
      <c r="B4943" s="44"/>
      <c r="D4943" s="8"/>
      <c r="E4943" s="8"/>
      <c r="F4943" s="8"/>
    </row>
    <row r="4944" spans="2:6">
      <c r="B4944" s="44"/>
      <c r="D4944" s="8"/>
      <c r="E4944" s="8"/>
      <c r="F4944" s="8"/>
    </row>
    <row r="4945" spans="2:6">
      <c r="B4945" s="44"/>
      <c r="D4945" s="8"/>
      <c r="E4945" s="8"/>
      <c r="F4945" s="8"/>
    </row>
    <row r="4946" spans="2:6">
      <c r="B4946" s="44"/>
      <c r="D4946" s="8"/>
      <c r="E4946" s="8"/>
      <c r="F4946" s="8"/>
    </row>
    <row r="4947" spans="2:6">
      <c r="B4947" s="44"/>
      <c r="D4947" s="8"/>
      <c r="E4947" s="8"/>
      <c r="F4947" s="8"/>
    </row>
    <row r="4948" spans="2:6">
      <c r="B4948" s="44"/>
      <c r="D4948" s="8"/>
      <c r="E4948" s="8"/>
      <c r="F4948" s="8"/>
    </row>
    <row r="4949" spans="2:6">
      <c r="B4949" s="44"/>
      <c r="D4949" s="8"/>
      <c r="E4949" s="8"/>
      <c r="F4949" s="8"/>
    </row>
    <row r="4950" spans="2:6">
      <c r="B4950" s="44"/>
      <c r="D4950" s="8"/>
      <c r="E4950" s="8"/>
      <c r="F4950" s="8"/>
    </row>
    <row r="4951" spans="2:6">
      <c r="B4951" s="44"/>
      <c r="D4951" s="8"/>
      <c r="E4951" s="8"/>
      <c r="F4951" s="8"/>
    </row>
    <row r="4952" spans="2:6">
      <c r="B4952" s="44"/>
      <c r="D4952" s="8"/>
      <c r="E4952" s="8"/>
      <c r="F4952" s="8"/>
    </row>
    <row r="4953" spans="2:6">
      <c r="B4953" s="44"/>
      <c r="D4953" s="8"/>
      <c r="E4953" s="8"/>
      <c r="F4953" s="8"/>
    </row>
    <row r="4954" spans="2:6">
      <c r="B4954" s="44"/>
      <c r="D4954" s="8"/>
      <c r="E4954" s="8"/>
      <c r="F4954" s="8"/>
    </row>
    <row r="4955" spans="2:6">
      <c r="B4955" s="44"/>
      <c r="D4955" s="8"/>
      <c r="E4955" s="8"/>
      <c r="F4955" s="8"/>
    </row>
    <row r="4956" spans="2:6">
      <c r="B4956" s="44"/>
      <c r="D4956" s="8"/>
      <c r="E4956" s="8"/>
      <c r="F4956" s="8"/>
    </row>
    <row r="4957" spans="2:6">
      <c r="B4957" s="44"/>
      <c r="D4957" s="8"/>
      <c r="E4957" s="8"/>
      <c r="F4957" s="8"/>
    </row>
    <row r="4958" spans="2:6">
      <c r="B4958" s="44"/>
      <c r="D4958" s="8"/>
      <c r="E4958" s="8"/>
      <c r="F4958" s="8"/>
    </row>
    <row r="4959" spans="2:6">
      <c r="B4959" s="44"/>
      <c r="D4959" s="8"/>
      <c r="E4959" s="8"/>
      <c r="F4959" s="8"/>
    </row>
    <row r="4960" spans="2:6">
      <c r="B4960" s="44"/>
      <c r="D4960" s="8"/>
      <c r="E4960" s="8"/>
      <c r="F4960" s="8"/>
    </row>
    <row r="4961" spans="2:6">
      <c r="B4961" s="44"/>
      <c r="D4961" s="8"/>
      <c r="E4961" s="8"/>
      <c r="F4961" s="8"/>
    </row>
    <row r="4962" spans="2:6">
      <c r="B4962" s="44"/>
      <c r="D4962" s="8"/>
      <c r="E4962" s="8"/>
      <c r="F4962" s="8"/>
    </row>
    <row r="4963" spans="2:6">
      <c r="B4963" s="44"/>
      <c r="D4963" s="8"/>
      <c r="E4963" s="8"/>
      <c r="F4963" s="8"/>
    </row>
    <row r="4964" spans="2:6">
      <c r="B4964" s="44"/>
      <c r="D4964" s="8"/>
      <c r="E4964" s="8"/>
      <c r="F4964" s="8"/>
    </row>
    <row r="4965" spans="2:6">
      <c r="B4965" s="44"/>
      <c r="D4965" s="8"/>
      <c r="E4965" s="8"/>
      <c r="F4965" s="8"/>
    </row>
    <row r="4966" spans="2:6">
      <c r="B4966" s="44"/>
      <c r="D4966" s="8"/>
      <c r="E4966" s="8"/>
      <c r="F4966" s="8"/>
    </row>
    <row r="4967" spans="2:6">
      <c r="B4967" s="44"/>
      <c r="D4967" s="8"/>
      <c r="E4967" s="8"/>
      <c r="F4967" s="8"/>
    </row>
    <row r="4968" spans="2:6">
      <c r="B4968" s="44"/>
      <c r="D4968" s="8"/>
      <c r="E4968" s="8"/>
      <c r="F4968" s="8"/>
    </row>
    <row r="4969" spans="2:6">
      <c r="B4969" s="44"/>
      <c r="D4969" s="8"/>
      <c r="E4969" s="8"/>
      <c r="F4969" s="8"/>
    </row>
    <row r="4970" spans="2:6">
      <c r="B4970" s="44"/>
      <c r="D4970" s="8"/>
      <c r="E4970" s="8"/>
      <c r="F4970" s="8"/>
    </row>
    <row r="4971" spans="2:6">
      <c r="B4971" s="44"/>
      <c r="D4971" s="8"/>
      <c r="E4971" s="8"/>
      <c r="F4971" s="8"/>
    </row>
    <row r="4972" spans="2:6">
      <c r="B4972" s="44"/>
      <c r="D4972" s="8"/>
      <c r="E4972" s="8"/>
      <c r="F4972" s="8"/>
    </row>
    <row r="4973" spans="2:6">
      <c r="B4973" s="44"/>
      <c r="D4973" s="8"/>
      <c r="E4973" s="8"/>
      <c r="F4973" s="8"/>
    </row>
    <row r="4974" spans="2:6">
      <c r="B4974" s="44"/>
      <c r="D4974" s="8"/>
      <c r="E4974" s="8"/>
      <c r="F4974" s="8"/>
    </row>
    <row r="4975" spans="2:6">
      <c r="B4975" s="44"/>
      <c r="D4975" s="8"/>
      <c r="E4975" s="8"/>
      <c r="F4975" s="8"/>
    </row>
    <row r="4976" spans="2:6">
      <c r="B4976" s="44"/>
      <c r="D4976" s="8"/>
      <c r="E4976" s="8"/>
      <c r="F4976" s="8"/>
    </row>
    <row r="4977" spans="2:6">
      <c r="B4977" s="44"/>
      <c r="D4977" s="8"/>
      <c r="E4977" s="8"/>
      <c r="F4977" s="8"/>
    </row>
    <row r="4978" spans="2:6">
      <c r="B4978" s="44"/>
      <c r="D4978" s="8"/>
      <c r="E4978" s="8"/>
      <c r="F4978" s="8"/>
    </row>
    <row r="4979" spans="2:6">
      <c r="B4979" s="44"/>
      <c r="D4979" s="8"/>
      <c r="E4979" s="8"/>
      <c r="F4979" s="8"/>
    </row>
    <row r="4980" spans="2:6">
      <c r="B4980" s="44"/>
      <c r="D4980" s="8"/>
      <c r="E4980" s="8"/>
      <c r="F4980" s="8"/>
    </row>
    <row r="4981" spans="2:6">
      <c r="B4981" s="44"/>
      <c r="D4981" s="8"/>
      <c r="E4981" s="8"/>
      <c r="F4981" s="8"/>
    </row>
    <row r="4982" spans="2:6">
      <c r="B4982" s="44"/>
      <c r="D4982" s="8"/>
      <c r="E4982" s="8"/>
      <c r="F4982" s="8"/>
    </row>
    <row r="4983" spans="2:6">
      <c r="B4983" s="44"/>
      <c r="D4983" s="8"/>
      <c r="E4983" s="8"/>
      <c r="F4983" s="8"/>
    </row>
    <row r="4984" spans="2:6">
      <c r="B4984" s="44"/>
      <c r="D4984" s="8"/>
      <c r="E4984" s="8"/>
      <c r="F4984" s="8"/>
    </row>
    <row r="4985" spans="2:6">
      <c r="B4985" s="44"/>
      <c r="D4985" s="8"/>
      <c r="E4985" s="8"/>
      <c r="F4985" s="8"/>
    </row>
    <row r="4986" spans="2:6">
      <c r="B4986" s="44"/>
      <c r="D4986" s="8"/>
      <c r="E4986" s="8"/>
      <c r="F4986" s="8"/>
    </row>
    <row r="4987" spans="2:6">
      <c r="B4987" s="44"/>
      <c r="D4987" s="8"/>
      <c r="E4987" s="8"/>
      <c r="F4987" s="8"/>
    </row>
    <row r="4988" spans="2:6">
      <c r="B4988" s="44"/>
      <c r="D4988" s="8"/>
      <c r="E4988" s="8"/>
      <c r="F4988" s="8"/>
    </row>
    <row r="4989" spans="2:6">
      <c r="B4989" s="44"/>
      <c r="D4989" s="8"/>
      <c r="E4989" s="8"/>
      <c r="F4989" s="8"/>
    </row>
    <row r="4990" spans="2:6">
      <c r="B4990" s="44"/>
      <c r="D4990" s="8"/>
      <c r="E4990" s="8"/>
      <c r="F4990" s="8"/>
    </row>
    <row r="4991" spans="2:6">
      <c r="B4991" s="44"/>
      <c r="D4991" s="8"/>
      <c r="E4991" s="8"/>
      <c r="F4991" s="8"/>
    </row>
    <row r="4992" spans="2:6">
      <c r="B4992" s="44"/>
      <c r="D4992" s="8"/>
      <c r="E4992" s="8"/>
      <c r="F4992" s="8"/>
    </row>
    <row r="4993" spans="2:6">
      <c r="B4993" s="44"/>
      <c r="D4993" s="8"/>
      <c r="E4993" s="8"/>
      <c r="F4993" s="8"/>
    </row>
    <row r="4994" spans="2:6">
      <c r="B4994" s="44"/>
      <c r="D4994" s="8"/>
      <c r="E4994" s="8"/>
      <c r="F4994" s="8"/>
    </row>
    <row r="4995" spans="2:6">
      <c r="B4995" s="44"/>
      <c r="D4995" s="8"/>
      <c r="E4995" s="8"/>
      <c r="F4995" s="8"/>
    </row>
    <row r="4996" spans="2:6">
      <c r="B4996" s="44"/>
      <c r="D4996" s="8"/>
      <c r="E4996" s="8"/>
      <c r="F4996" s="8"/>
    </row>
    <row r="4997" spans="2:6">
      <c r="B4997" s="44"/>
      <c r="D4997" s="8"/>
      <c r="E4997" s="8"/>
      <c r="F4997" s="8"/>
    </row>
    <row r="4998" spans="2:6">
      <c r="B4998" s="44"/>
      <c r="D4998" s="8"/>
      <c r="E4998" s="8"/>
      <c r="F4998" s="8"/>
    </row>
    <row r="4999" spans="2:6">
      <c r="B4999" s="44"/>
      <c r="D4999" s="8"/>
      <c r="E4999" s="8"/>
      <c r="F4999" s="8"/>
    </row>
    <row r="5000" spans="2:6">
      <c r="B5000" s="44"/>
      <c r="D5000" s="8"/>
      <c r="E5000" s="8"/>
      <c r="F5000" s="8"/>
    </row>
    <row r="5001" spans="2:6">
      <c r="B5001" s="44"/>
      <c r="D5001" s="8"/>
      <c r="E5001" s="8"/>
      <c r="F5001" s="8"/>
    </row>
    <row r="5002" spans="2:6">
      <c r="B5002" s="44"/>
      <c r="D5002" s="8"/>
      <c r="E5002" s="8"/>
      <c r="F5002" s="8"/>
    </row>
    <row r="5003" spans="2:6">
      <c r="B5003" s="44"/>
      <c r="D5003" s="8"/>
      <c r="E5003" s="8"/>
      <c r="F5003" s="8"/>
    </row>
    <row r="5004" spans="2:6">
      <c r="B5004" s="44"/>
      <c r="D5004" s="8"/>
      <c r="E5004" s="8"/>
      <c r="F5004" s="8"/>
    </row>
    <row r="5005" spans="2:6">
      <c r="B5005" s="44"/>
      <c r="D5005" s="8"/>
      <c r="E5005" s="8"/>
      <c r="F5005" s="8"/>
    </row>
    <row r="5006" spans="2:6">
      <c r="B5006" s="44"/>
      <c r="D5006" s="8"/>
      <c r="E5006" s="8"/>
      <c r="F5006" s="8"/>
    </row>
    <row r="5007" spans="2:6">
      <c r="B5007" s="44"/>
      <c r="D5007" s="8"/>
      <c r="E5007" s="8"/>
      <c r="F5007" s="8"/>
    </row>
    <row r="5008" spans="2:6">
      <c r="B5008" s="44"/>
      <c r="D5008" s="8"/>
      <c r="E5008" s="8"/>
      <c r="F5008" s="8"/>
    </row>
    <row r="5009" spans="2:6">
      <c r="B5009" s="44"/>
      <c r="D5009" s="8"/>
      <c r="E5009" s="8"/>
      <c r="F5009" s="8"/>
    </row>
    <row r="5010" spans="2:6">
      <c r="B5010" s="44"/>
      <c r="D5010" s="8"/>
      <c r="E5010" s="8"/>
      <c r="F5010" s="8"/>
    </row>
    <row r="5011" spans="2:6">
      <c r="B5011" s="44"/>
      <c r="D5011" s="8"/>
      <c r="E5011" s="8"/>
      <c r="F5011" s="8"/>
    </row>
    <row r="5012" spans="2:6">
      <c r="B5012" s="44"/>
      <c r="D5012" s="8"/>
      <c r="E5012" s="8"/>
      <c r="F5012" s="8"/>
    </row>
    <row r="5013" spans="2:6">
      <c r="B5013" s="44"/>
      <c r="D5013" s="8"/>
      <c r="E5013" s="8"/>
      <c r="F5013" s="8"/>
    </row>
    <row r="5014" spans="2:6">
      <c r="B5014" s="44"/>
      <c r="D5014" s="8"/>
      <c r="E5014" s="8"/>
      <c r="F5014" s="8"/>
    </row>
    <row r="5015" spans="2:6">
      <c r="B5015" s="44"/>
      <c r="D5015" s="8"/>
      <c r="E5015" s="8"/>
      <c r="F5015" s="8"/>
    </row>
    <row r="5016" spans="2:6">
      <c r="B5016" s="44"/>
      <c r="D5016" s="8"/>
      <c r="E5016" s="8"/>
      <c r="F5016" s="8"/>
    </row>
    <row r="5017" spans="2:6">
      <c r="B5017" s="44"/>
      <c r="D5017" s="8"/>
      <c r="E5017" s="8"/>
      <c r="F5017" s="8"/>
    </row>
    <row r="5018" spans="2:6">
      <c r="B5018" s="44"/>
      <c r="D5018" s="8"/>
      <c r="E5018" s="8"/>
      <c r="F5018" s="8"/>
    </row>
    <row r="5019" spans="2:6">
      <c r="B5019" s="44"/>
      <c r="D5019" s="8"/>
      <c r="E5019" s="8"/>
      <c r="F5019" s="8"/>
    </row>
    <row r="5020" spans="2:6">
      <c r="B5020" s="44"/>
      <c r="D5020" s="8"/>
      <c r="E5020" s="8"/>
      <c r="F5020" s="8"/>
    </row>
    <row r="5021" spans="2:6">
      <c r="B5021" s="44"/>
      <c r="D5021" s="8"/>
      <c r="E5021" s="8"/>
      <c r="F5021" s="8"/>
    </row>
    <row r="5022" spans="2:6">
      <c r="B5022" s="44"/>
      <c r="D5022" s="8"/>
      <c r="E5022" s="8"/>
      <c r="F5022" s="8"/>
    </row>
    <row r="5023" spans="2:6">
      <c r="B5023" s="44"/>
      <c r="D5023" s="8"/>
      <c r="E5023" s="8"/>
      <c r="F5023" s="8"/>
    </row>
    <row r="5024" spans="2:6">
      <c r="B5024" s="44"/>
      <c r="D5024" s="8"/>
      <c r="E5024" s="8"/>
      <c r="F5024" s="8"/>
    </row>
    <row r="5025" spans="2:6">
      <c r="B5025" s="44"/>
      <c r="D5025" s="8"/>
      <c r="E5025" s="8"/>
      <c r="F5025" s="8"/>
    </row>
    <row r="5026" spans="2:6">
      <c r="B5026" s="44"/>
      <c r="D5026" s="8"/>
      <c r="E5026" s="8"/>
      <c r="F5026" s="8"/>
    </row>
    <row r="5027" spans="2:6">
      <c r="B5027" s="44"/>
      <c r="D5027" s="8"/>
      <c r="E5027" s="8"/>
      <c r="F5027" s="8"/>
    </row>
    <row r="5028" spans="2:6">
      <c r="B5028" s="44"/>
      <c r="D5028" s="8"/>
      <c r="E5028" s="8"/>
      <c r="F5028" s="8"/>
    </row>
    <row r="5029" spans="2:6">
      <c r="B5029" s="44"/>
      <c r="D5029" s="8"/>
      <c r="E5029" s="8"/>
      <c r="F5029" s="8"/>
    </row>
    <row r="5030" spans="2:6">
      <c r="B5030" s="44"/>
      <c r="D5030" s="8"/>
      <c r="E5030" s="8"/>
      <c r="F5030" s="8"/>
    </row>
    <row r="5031" spans="2:6">
      <c r="B5031" s="44"/>
      <c r="D5031" s="8"/>
      <c r="E5031" s="8"/>
      <c r="F5031" s="8"/>
    </row>
    <row r="5032" spans="2:6">
      <c r="B5032" s="44"/>
      <c r="D5032" s="8"/>
      <c r="E5032" s="8"/>
      <c r="F5032" s="8"/>
    </row>
    <row r="5033" spans="2:6">
      <c r="B5033" s="44"/>
      <c r="D5033" s="8"/>
      <c r="E5033" s="8"/>
      <c r="F5033" s="8"/>
    </row>
    <row r="5034" spans="2:6">
      <c r="B5034" s="44"/>
      <c r="D5034" s="8"/>
      <c r="E5034" s="8"/>
      <c r="F5034" s="8"/>
    </row>
    <row r="5035" spans="2:6">
      <c r="B5035" s="44"/>
      <c r="D5035" s="8"/>
      <c r="E5035" s="8"/>
      <c r="F5035" s="8"/>
    </row>
    <row r="5036" spans="2:6">
      <c r="B5036" s="44"/>
      <c r="D5036" s="8"/>
      <c r="E5036" s="8"/>
      <c r="F5036" s="8"/>
    </row>
    <row r="5037" spans="2:6">
      <c r="B5037" s="44"/>
      <c r="D5037" s="8"/>
      <c r="E5037" s="8"/>
      <c r="F5037" s="8"/>
    </row>
    <row r="5038" spans="2:6">
      <c r="B5038" s="44"/>
      <c r="D5038" s="8"/>
      <c r="E5038" s="8"/>
      <c r="F5038" s="8"/>
    </row>
    <row r="5039" spans="2:6">
      <c r="B5039" s="44"/>
      <c r="D5039" s="8"/>
      <c r="E5039" s="8"/>
      <c r="F5039" s="8"/>
    </row>
    <row r="5040" spans="2:6">
      <c r="B5040" s="44"/>
      <c r="D5040" s="8"/>
      <c r="E5040" s="8"/>
      <c r="F5040" s="8"/>
    </row>
    <row r="5041" spans="2:6">
      <c r="B5041" s="44"/>
      <c r="D5041" s="8"/>
      <c r="E5041" s="8"/>
      <c r="F5041" s="8"/>
    </row>
    <row r="5042" spans="2:6">
      <c r="B5042" s="44"/>
      <c r="D5042" s="8"/>
      <c r="E5042" s="8"/>
      <c r="F5042" s="8"/>
    </row>
    <row r="5043" spans="2:6">
      <c r="B5043" s="44"/>
      <c r="D5043" s="8"/>
      <c r="E5043" s="8"/>
      <c r="F5043" s="8"/>
    </row>
    <row r="5044" spans="2:6">
      <c r="B5044" s="44"/>
      <c r="D5044" s="8"/>
      <c r="E5044" s="8"/>
      <c r="F5044" s="8"/>
    </row>
    <row r="5045" spans="2:6">
      <c r="B5045" s="44"/>
      <c r="D5045" s="8"/>
      <c r="E5045" s="8"/>
      <c r="F5045" s="8"/>
    </row>
    <row r="5046" spans="2:6">
      <c r="B5046" s="44"/>
      <c r="D5046" s="8"/>
      <c r="E5046" s="8"/>
      <c r="F5046" s="8"/>
    </row>
    <row r="5047" spans="2:6">
      <c r="B5047" s="44"/>
      <c r="D5047" s="8"/>
      <c r="E5047" s="8"/>
      <c r="F5047" s="8"/>
    </row>
    <row r="5048" spans="2:6">
      <c r="B5048" s="44"/>
      <c r="D5048" s="8"/>
      <c r="E5048" s="8"/>
      <c r="F5048" s="8"/>
    </row>
    <row r="5049" spans="2:6">
      <c r="B5049" s="44"/>
      <c r="D5049" s="8"/>
      <c r="E5049" s="8"/>
      <c r="F5049" s="8"/>
    </row>
    <row r="5050" spans="2:6">
      <c r="B5050" s="44"/>
      <c r="D5050" s="8"/>
      <c r="E5050" s="8"/>
      <c r="F5050" s="8"/>
    </row>
    <row r="5051" spans="2:6">
      <c r="B5051" s="44"/>
      <c r="D5051" s="8"/>
      <c r="E5051" s="8"/>
      <c r="F5051" s="8"/>
    </row>
    <row r="5052" spans="2:6">
      <c r="B5052" s="44"/>
      <c r="D5052" s="8"/>
      <c r="E5052" s="8"/>
      <c r="F5052" s="8"/>
    </row>
    <row r="5053" spans="2:6">
      <c r="B5053" s="44"/>
      <c r="D5053" s="8"/>
      <c r="E5053" s="8"/>
      <c r="F5053" s="8"/>
    </row>
    <row r="5054" spans="2:6">
      <c r="B5054" s="44"/>
      <c r="D5054" s="8"/>
      <c r="E5054" s="8"/>
      <c r="F5054" s="8"/>
    </row>
    <row r="5055" spans="2:6">
      <c r="B5055" s="44"/>
      <c r="D5055" s="8"/>
      <c r="E5055" s="8"/>
      <c r="F5055" s="8"/>
    </row>
    <row r="5056" spans="2:6">
      <c r="B5056" s="44"/>
      <c r="D5056" s="8"/>
      <c r="E5056" s="8"/>
      <c r="F5056" s="8"/>
    </row>
    <row r="5057" spans="2:6">
      <c r="B5057" s="44"/>
      <c r="D5057" s="8"/>
      <c r="E5057" s="8"/>
      <c r="F5057" s="8"/>
    </row>
    <row r="5058" spans="2:6">
      <c r="B5058" s="44"/>
      <c r="D5058" s="8"/>
      <c r="E5058" s="8"/>
      <c r="F5058" s="8"/>
    </row>
    <row r="5059" spans="2:6">
      <c r="B5059" s="44"/>
      <c r="D5059" s="8"/>
      <c r="E5059" s="8"/>
      <c r="F5059" s="8"/>
    </row>
    <row r="5060" spans="2:6">
      <c r="B5060" s="44"/>
      <c r="D5060" s="8"/>
      <c r="E5060" s="8"/>
      <c r="F5060" s="8"/>
    </row>
    <row r="5061" spans="2:6">
      <c r="B5061" s="44"/>
      <c r="D5061" s="8"/>
      <c r="E5061" s="8"/>
      <c r="F5061" s="8"/>
    </row>
    <row r="5062" spans="2:6">
      <c r="B5062" s="44"/>
      <c r="D5062" s="8"/>
      <c r="E5062" s="8"/>
      <c r="F5062" s="8"/>
    </row>
    <row r="5063" spans="2:6">
      <c r="B5063" s="44"/>
      <c r="D5063" s="8"/>
      <c r="E5063" s="8"/>
      <c r="F5063" s="8"/>
    </row>
    <row r="5064" spans="2:6">
      <c r="B5064" s="44"/>
      <c r="D5064" s="8"/>
      <c r="E5064" s="8"/>
      <c r="F5064" s="8"/>
    </row>
    <row r="5065" spans="2:6">
      <c r="B5065" s="44"/>
      <c r="D5065" s="8"/>
      <c r="E5065" s="8"/>
      <c r="F5065" s="8"/>
    </row>
    <row r="5066" spans="2:6">
      <c r="B5066" s="44"/>
      <c r="D5066" s="8"/>
      <c r="E5066" s="8"/>
      <c r="F5066" s="8"/>
    </row>
    <row r="5067" spans="2:6">
      <c r="B5067" s="44"/>
      <c r="D5067" s="8"/>
      <c r="E5067" s="8"/>
      <c r="F5067" s="8"/>
    </row>
    <row r="5068" spans="2:6">
      <c r="B5068" s="44"/>
      <c r="D5068" s="8"/>
      <c r="E5068" s="8"/>
      <c r="F5068" s="8"/>
    </row>
    <row r="5069" spans="2:6">
      <c r="B5069" s="44"/>
      <c r="D5069" s="8"/>
      <c r="E5069" s="8"/>
      <c r="F5069" s="8"/>
    </row>
    <row r="5070" spans="2:6">
      <c r="B5070" s="44"/>
      <c r="D5070" s="8"/>
      <c r="E5070" s="8"/>
      <c r="F5070" s="8"/>
    </row>
    <row r="5071" spans="2:6">
      <c r="B5071" s="44"/>
      <c r="D5071" s="8"/>
      <c r="E5071" s="8"/>
      <c r="F5071" s="8"/>
    </row>
    <row r="5072" spans="2:6">
      <c r="B5072" s="44"/>
      <c r="D5072" s="8"/>
      <c r="E5072" s="8"/>
      <c r="F5072" s="8"/>
    </row>
    <row r="5073" spans="2:6">
      <c r="B5073" s="44"/>
      <c r="D5073" s="8"/>
      <c r="E5073" s="8"/>
      <c r="F5073" s="8"/>
    </row>
    <row r="5074" spans="2:6">
      <c r="B5074" s="44"/>
      <c r="D5074" s="8"/>
      <c r="E5074" s="8"/>
      <c r="F5074" s="8"/>
    </row>
    <row r="5075" spans="2:6">
      <c r="B5075" s="44"/>
      <c r="D5075" s="8"/>
      <c r="E5075" s="8"/>
      <c r="F5075" s="8"/>
    </row>
    <row r="5076" spans="2:6">
      <c r="B5076" s="44"/>
      <c r="D5076" s="8"/>
      <c r="E5076" s="8"/>
      <c r="F5076" s="8"/>
    </row>
    <row r="5077" spans="2:6">
      <c r="B5077" s="44"/>
      <c r="D5077" s="8"/>
      <c r="E5077" s="8"/>
      <c r="F5077" s="8"/>
    </row>
    <row r="5078" spans="2:6">
      <c r="B5078" s="44"/>
      <c r="D5078" s="8"/>
      <c r="E5078" s="8"/>
      <c r="F5078" s="8"/>
    </row>
    <row r="5079" spans="2:6">
      <c r="B5079" s="44"/>
      <c r="D5079" s="8"/>
      <c r="E5079" s="8"/>
      <c r="F5079" s="8"/>
    </row>
    <row r="5080" spans="2:6">
      <c r="B5080" s="44"/>
      <c r="D5080" s="8"/>
      <c r="E5080" s="8"/>
      <c r="F5080" s="8"/>
    </row>
    <row r="5081" spans="2:6">
      <c r="B5081" s="44"/>
      <c r="D5081" s="8"/>
      <c r="E5081" s="8"/>
      <c r="F5081" s="8"/>
    </row>
    <row r="5082" spans="2:6">
      <c r="B5082" s="44"/>
      <c r="D5082" s="8"/>
      <c r="E5082" s="8"/>
      <c r="F5082" s="8"/>
    </row>
    <row r="5083" spans="2:6">
      <c r="B5083" s="44"/>
      <c r="D5083" s="8"/>
      <c r="E5083" s="8"/>
      <c r="F5083" s="8"/>
    </row>
    <row r="5084" spans="2:6">
      <c r="B5084" s="44"/>
      <c r="D5084" s="8"/>
      <c r="E5084" s="8"/>
      <c r="F5084" s="8"/>
    </row>
    <row r="5085" spans="2:6">
      <c r="B5085" s="44"/>
      <c r="D5085" s="8"/>
      <c r="E5085" s="8"/>
      <c r="F5085" s="8"/>
    </row>
    <row r="5086" spans="2:6">
      <c r="B5086" s="44"/>
      <c r="D5086" s="8"/>
      <c r="E5086" s="8"/>
      <c r="F5086" s="8"/>
    </row>
    <row r="5087" spans="2:6">
      <c r="B5087" s="44"/>
      <c r="D5087" s="8"/>
      <c r="E5087" s="8"/>
      <c r="F5087" s="8"/>
    </row>
    <row r="5088" spans="2:6">
      <c r="B5088" s="44"/>
      <c r="D5088" s="8"/>
      <c r="E5088" s="8"/>
      <c r="F5088" s="8"/>
    </row>
    <row r="5089" spans="2:6">
      <c r="B5089" s="44"/>
      <c r="D5089" s="8"/>
      <c r="E5089" s="8"/>
      <c r="F5089" s="8"/>
    </row>
    <row r="5090" spans="2:6">
      <c r="B5090" s="44"/>
      <c r="D5090" s="8"/>
      <c r="E5090" s="8"/>
      <c r="F5090" s="8"/>
    </row>
    <row r="5091" spans="2:6">
      <c r="B5091" s="44"/>
      <c r="D5091" s="8"/>
      <c r="E5091" s="8"/>
      <c r="F5091" s="8"/>
    </row>
    <row r="5092" spans="2:6">
      <c r="B5092" s="44"/>
      <c r="D5092" s="8"/>
      <c r="E5092" s="8"/>
      <c r="F5092" s="8"/>
    </row>
    <row r="5093" spans="2:6">
      <c r="B5093" s="44"/>
      <c r="D5093" s="8"/>
      <c r="E5093" s="8"/>
      <c r="F5093" s="8"/>
    </row>
    <row r="5094" spans="2:6">
      <c r="B5094" s="44"/>
      <c r="D5094" s="8"/>
      <c r="E5094" s="8"/>
      <c r="F5094" s="8"/>
    </row>
    <row r="5095" spans="2:6">
      <c r="B5095" s="44"/>
      <c r="D5095" s="8"/>
      <c r="E5095" s="8"/>
      <c r="F5095" s="8"/>
    </row>
    <row r="5096" spans="2:6">
      <c r="B5096" s="44"/>
      <c r="D5096" s="8"/>
      <c r="E5096" s="8"/>
      <c r="F5096" s="8"/>
    </row>
    <row r="5097" spans="2:6">
      <c r="B5097" s="44"/>
      <c r="D5097" s="8"/>
      <c r="E5097" s="8"/>
      <c r="F5097" s="8"/>
    </row>
    <row r="5098" spans="2:6">
      <c r="B5098" s="44"/>
      <c r="D5098" s="8"/>
      <c r="E5098" s="8"/>
      <c r="F5098" s="8"/>
    </row>
    <row r="5099" spans="2:6">
      <c r="B5099" s="44"/>
      <c r="D5099" s="8"/>
      <c r="E5099" s="8"/>
      <c r="F5099" s="8"/>
    </row>
    <row r="5100" spans="2:6">
      <c r="B5100" s="44"/>
      <c r="D5100" s="8"/>
      <c r="E5100" s="8"/>
      <c r="F5100" s="8"/>
    </row>
    <row r="5101" spans="2:6">
      <c r="B5101" s="44"/>
      <c r="D5101" s="8"/>
      <c r="E5101" s="8"/>
      <c r="F5101" s="8"/>
    </row>
    <row r="5102" spans="2:6">
      <c r="B5102" s="44"/>
      <c r="D5102" s="8"/>
      <c r="E5102" s="8"/>
      <c r="F5102" s="8"/>
    </row>
    <row r="5103" spans="2:6">
      <c r="B5103" s="44"/>
      <c r="D5103" s="8"/>
      <c r="E5103" s="8"/>
      <c r="F5103" s="8"/>
    </row>
    <row r="5104" spans="2:6">
      <c r="B5104" s="44"/>
      <c r="D5104" s="8"/>
      <c r="E5104" s="8"/>
      <c r="F5104" s="8"/>
    </row>
    <row r="5105" spans="2:6">
      <c r="B5105" s="44"/>
      <c r="D5105" s="8"/>
      <c r="E5105" s="8"/>
      <c r="F5105" s="8"/>
    </row>
    <row r="5106" spans="2:6">
      <c r="B5106" s="44"/>
      <c r="D5106" s="8"/>
      <c r="E5106" s="8"/>
      <c r="F5106" s="8"/>
    </row>
    <row r="5107" spans="2:6">
      <c r="B5107" s="44"/>
      <c r="D5107" s="8"/>
      <c r="E5107" s="8"/>
      <c r="F5107" s="8"/>
    </row>
    <row r="5108" spans="2:6">
      <c r="B5108" s="44"/>
      <c r="D5108" s="8"/>
      <c r="E5108" s="8"/>
      <c r="F5108" s="8"/>
    </row>
    <row r="5109" spans="2:6">
      <c r="B5109" s="44"/>
      <c r="D5109" s="8"/>
      <c r="E5109" s="8"/>
      <c r="F5109" s="8"/>
    </row>
    <row r="5110" spans="2:6">
      <c r="B5110" s="44"/>
      <c r="D5110" s="8"/>
      <c r="E5110" s="8"/>
      <c r="F5110" s="8"/>
    </row>
    <row r="5111" spans="2:6">
      <c r="B5111" s="44"/>
      <c r="D5111" s="8"/>
      <c r="E5111" s="8"/>
      <c r="F5111" s="8"/>
    </row>
    <row r="5112" spans="2:6">
      <c r="B5112" s="44"/>
      <c r="D5112" s="8"/>
      <c r="E5112" s="8"/>
      <c r="F5112" s="8"/>
    </row>
    <row r="5113" spans="2:6">
      <c r="B5113" s="44"/>
      <c r="D5113" s="8"/>
      <c r="E5113" s="8"/>
      <c r="F5113" s="8"/>
    </row>
    <row r="5114" spans="2:6">
      <c r="B5114" s="44"/>
      <c r="D5114" s="8"/>
      <c r="E5114" s="8"/>
      <c r="F5114" s="8"/>
    </row>
    <row r="5115" spans="2:6">
      <c r="B5115" s="44"/>
      <c r="D5115" s="8"/>
      <c r="E5115" s="8"/>
      <c r="F5115" s="8"/>
    </row>
    <row r="5116" spans="2:6">
      <c r="B5116" s="44"/>
      <c r="D5116" s="8"/>
      <c r="E5116" s="8"/>
      <c r="F5116" s="8"/>
    </row>
    <row r="5117" spans="2:6">
      <c r="B5117" s="44"/>
      <c r="D5117" s="8"/>
      <c r="E5117" s="8"/>
      <c r="F5117" s="8"/>
    </row>
    <row r="5118" spans="2:6">
      <c r="B5118" s="44"/>
      <c r="D5118" s="8"/>
      <c r="E5118" s="8"/>
      <c r="F5118" s="8"/>
    </row>
    <row r="5119" spans="2:6">
      <c r="B5119" s="44"/>
      <c r="D5119" s="8"/>
      <c r="E5119" s="8"/>
      <c r="F5119" s="8"/>
    </row>
    <row r="5120" spans="2:6">
      <c r="B5120" s="44"/>
      <c r="D5120" s="8"/>
      <c r="E5120" s="8"/>
      <c r="F5120" s="8"/>
    </row>
    <row r="5121" spans="2:6">
      <c r="B5121" s="44"/>
      <c r="D5121" s="8"/>
      <c r="E5121" s="8"/>
      <c r="F5121" s="8"/>
    </row>
    <row r="5122" spans="2:6">
      <c r="B5122" s="44"/>
      <c r="D5122" s="8"/>
      <c r="E5122" s="8"/>
      <c r="F5122" s="8"/>
    </row>
    <row r="5123" spans="2:6">
      <c r="B5123" s="44"/>
      <c r="D5123" s="8"/>
      <c r="E5123" s="8"/>
      <c r="F5123" s="8"/>
    </row>
    <row r="5124" spans="2:6">
      <c r="B5124" s="44"/>
      <c r="D5124" s="8"/>
      <c r="E5124" s="8"/>
      <c r="F5124" s="8"/>
    </row>
    <row r="5125" spans="2:6">
      <c r="B5125" s="44"/>
      <c r="D5125" s="8"/>
      <c r="E5125" s="8"/>
      <c r="F5125" s="8"/>
    </row>
    <row r="5126" spans="2:6">
      <c r="B5126" s="44"/>
      <c r="D5126" s="8"/>
      <c r="E5126" s="8"/>
      <c r="F5126" s="8"/>
    </row>
    <row r="5127" spans="2:6">
      <c r="B5127" s="44"/>
      <c r="D5127" s="8"/>
      <c r="E5127" s="8"/>
      <c r="F5127" s="8"/>
    </row>
    <row r="5128" spans="2:6">
      <c r="B5128" s="44"/>
      <c r="D5128" s="8"/>
      <c r="E5128" s="8"/>
      <c r="F5128" s="8"/>
    </row>
    <row r="5129" spans="2:6">
      <c r="B5129" s="44"/>
      <c r="D5129" s="8"/>
      <c r="E5129" s="8"/>
      <c r="F5129" s="8"/>
    </row>
    <row r="5130" spans="2:6">
      <c r="B5130" s="44"/>
      <c r="D5130" s="8"/>
      <c r="E5130" s="8"/>
      <c r="F5130" s="8"/>
    </row>
    <row r="5131" spans="2:6">
      <c r="B5131" s="44"/>
      <c r="D5131" s="8"/>
      <c r="E5131" s="8"/>
      <c r="F5131" s="8"/>
    </row>
    <row r="5132" spans="2:6">
      <c r="B5132" s="44"/>
      <c r="D5132" s="8"/>
      <c r="E5132" s="8"/>
      <c r="F5132" s="8"/>
    </row>
    <row r="5133" spans="2:6">
      <c r="B5133" s="44"/>
      <c r="D5133" s="8"/>
      <c r="E5133" s="8"/>
      <c r="F5133" s="8"/>
    </row>
    <row r="5134" spans="2:6">
      <c r="B5134" s="44"/>
      <c r="D5134" s="8"/>
      <c r="E5134" s="8"/>
      <c r="F5134" s="8"/>
    </row>
    <row r="5135" spans="2:6">
      <c r="B5135" s="44"/>
      <c r="D5135" s="8"/>
      <c r="E5135" s="8"/>
      <c r="F5135" s="8"/>
    </row>
    <row r="5136" spans="2:6">
      <c r="B5136" s="44"/>
      <c r="D5136" s="8"/>
      <c r="E5136" s="8"/>
      <c r="F5136" s="8"/>
    </row>
    <row r="5137" spans="2:6">
      <c r="B5137" s="44"/>
      <c r="D5137" s="8"/>
      <c r="E5137" s="8"/>
      <c r="F5137" s="8"/>
    </row>
    <row r="5138" spans="2:6">
      <c r="B5138" s="44"/>
      <c r="D5138" s="8"/>
      <c r="E5138" s="8"/>
      <c r="F5138" s="8"/>
    </row>
    <row r="5139" spans="2:6">
      <c r="B5139" s="44"/>
      <c r="D5139" s="8"/>
      <c r="E5139" s="8"/>
      <c r="F5139" s="8"/>
    </row>
    <row r="5140" spans="2:6">
      <c r="B5140" s="44"/>
      <c r="D5140" s="8"/>
      <c r="E5140" s="8"/>
      <c r="F5140" s="8"/>
    </row>
    <row r="5141" spans="2:6">
      <c r="B5141" s="44"/>
      <c r="D5141" s="8"/>
      <c r="E5141" s="8"/>
      <c r="F5141" s="8"/>
    </row>
    <row r="5142" spans="2:6">
      <c r="B5142" s="44"/>
      <c r="D5142" s="8"/>
      <c r="E5142" s="8"/>
      <c r="F5142" s="8"/>
    </row>
    <row r="5143" spans="2:6">
      <c r="B5143" s="44"/>
      <c r="D5143" s="8"/>
      <c r="E5143" s="8"/>
      <c r="F5143" s="8"/>
    </row>
    <row r="5144" spans="2:6">
      <c r="B5144" s="44"/>
      <c r="D5144" s="8"/>
      <c r="E5144" s="8"/>
      <c r="F5144" s="8"/>
    </row>
    <row r="5145" spans="2:6">
      <c r="B5145" s="44"/>
      <c r="D5145" s="8"/>
      <c r="E5145" s="8"/>
      <c r="F5145" s="8"/>
    </row>
    <row r="5146" spans="2:6">
      <c r="B5146" s="44"/>
      <c r="D5146" s="8"/>
      <c r="E5146" s="8"/>
      <c r="F5146" s="8"/>
    </row>
    <row r="5147" spans="2:6">
      <c r="B5147" s="44"/>
      <c r="D5147" s="8"/>
      <c r="E5147" s="8"/>
      <c r="F5147" s="8"/>
    </row>
    <row r="5148" spans="2:6">
      <c r="B5148" s="44"/>
      <c r="D5148" s="8"/>
      <c r="E5148" s="8"/>
      <c r="F5148" s="8"/>
    </row>
    <row r="5149" spans="2:6">
      <c r="B5149" s="44"/>
      <c r="D5149" s="8"/>
      <c r="E5149" s="8"/>
      <c r="F5149" s="8"/>
    </row>
    <row r="5150" spans="2:6">
      <c r="B5150" s="44"/>
      <c r="D5150" s="8"/>
      <c r="E5150" s="8"/>
      <c r="F5150" s="8"/>
    </row>
    <row r="5151" spans="2:6">
      <c r="B5151" s="44"/>
      <c r="D5151" s="8"/>
      <c r="E5151" s="8"/>
      <c r="F5151" s="8"/>
    </row>
    <row r="5152" spans="2:6">
      <c r="B5152" s="44"/>
      <c r="D5152" s="8"/>
      <c r="E5152" s="8"/>
      <c r="F5152" s="8"/>
    </row>
    <row r="5153" spans="2:6">
      <c r="B5153" s="44"/>
      <c r="D5153" s="8"/>
      <c r="E5153" s="8"/>
      <c r="F5153" s="8"/>
    </row>
    <row r="5154" spans="2:6">
      <c r="B5154" s="44"/>
      <c r="D5154" s="8"/>
      <c r="E5154" s="8"/>
      <c r="F5154" s="8"/>
    </row>
    <row r="5155" spans="2:6">
      <c r="B5155" s="44"/>
      <c r="D5155" s="8"/>
      <c r="E5155" s="8"/>
      <c r="F5155" s="8"/>
    </row>
    <row r="5156" spans="2:6">
      <c r="B5156" s="44"/>
      <c r="D5156" s="8"/>
      <c r="E5156" s="8"/>
      <c r="F5156" s="8"/>
    </row>
    <row r="5157" spans="2:6">
      <c r="B5157" s="44"/>
      <c r="D5157" s="8"/>
      <c r="E5157" s="8"/>
      <c r="F5157" s="8"/>
    </row>
    <row r="5158" spans="2:6">
      <c r="B5158" s="44"/>
      <c r="D5158" s="8"/>
      <c r="E5158" s="8"/>
      <c r="F5158" s="8"/>
    </row>
    <row r="5159" spans="2:6">
      <c r="B5159" s="44"/>
      <c r="D5159" s="8"/>
      <c r="E5159" s="8"/>
      <c r="F5159" s="8"/>
    </row>
    <row r="5160" spans="2:6">
      <c r="B5160" s="44"/>
      <c r="D5160" s="8"/>
      <c r="E5160" s="8"/>
      <c r="F5160" s="8"/>
    </row>
    <row r="5161" spans="2:6">
      <c r="B5161" s="44"/>
      <c r="D5161" s="8"/>
      <c r="E5161" s="8"/>
      <c r="F5161" s="8"/>
    </row>
    <row r="5162" spans="2:6">
      <c r="B5162" s="44"/>
      <c r="D5162" s="8"/>
      <c r="E5162" s="8"/>
      <c r="F5162" s="8"/>
    </row>
    <row r="5163" spans="2:6">
      <c r="B5163" s="44"/>
      <c r="D5163" s="8"/>
      <c r="E5163" s="8"/>
      <c r="F5163" s="8"/>
    </row>
    <row r="5164" spans="2:6">
      <c r="B5164" s="44"/>
      <c r="D5164" s="8"/>
      <c r="E5164" s="8"/>
      <c r="F5164" s="8"/>
    </row>
    <row r="5165" spans="2:6">
      <c r="B5165" s="44"/>
      <c r="D5165" s="8"/>
      <c r="E5165" s="8"/>
      <c r="F5165" s="8"/>
    </row>
    <row r="5166" spans="2:6">
      <c r="B5166" s="44"/>
      <c r="D5166" s="8"/>
      <c r="E5166" s="8"/>
      <c r="F5166" s="8"/>
    </row>
    <row r="5167" spans="2:6">
      <c r="B5167" s="44"/>
      <c r="D5167" s="8"/>
      <c r="E5167" s="8"/>
      <c r="F5167" s="8"/>
    </row>
    <row r="5168" spans="2:6">
      <c r="B5168" s="44"/>
      <c r="D5168" s="8"/>
      <c r="E5168" s="8"/>
      <c r="F5168" s="8"/>
    </row>
    <row r="5169" spans="2:6">
      <c r="B5169" s="44"/>
      <c r="D5169" s="8"/>
      <c r="E5169" s="8"/>
      <c r="F5169" s="8"/>
    </row>
    <row r="5170" spans="2:6">
      <c r="B5170" s="44"/>
      <c r="D5170" s="8"/>
      <c r="E5170" s="8"/>
      <c r="F5170" s="8"/>
    </row>
    <row r="5171" spans="2:6">
      <c r="B5171" s="44"/>
      <c r="D5171" s="8"/>
      <c r="E5171" s="8"/>
      <c r="F5171" s="8"/>
    </row>
    <row r="5172" spans="2:6">
      <c r="B5172" s="44"/>
      <c r="D5172" s="8"/>
      <c r="E5172" s="8"/>
      <c r="F5172" s="8"/>
    </row>
    <row r="5173" spans="2:6">
      <c r="B5173" s="44"/>
      <c r="D5173" s="8"/>
      <c r="E5173" s="8"/>
      <c r="F5173" s="8"/>
    </row>
    <row r="5174" spans="2:6">
      <c r="B5174" s="44"/>
      <c r="D5174" s="8"/>
      <c r="E5174" s="8"/>
      <c r="F5174" s="8"/>
    </row>
    <row r="5175" spans="2:6">
      <c r="B5175" s="44"/>
      <c r="D5175" s="8"/>
      <c r="E5175" s="8"/>
      <c r="F5175" s="8"/>
    </row>
    <row r="5176" spans="2:6">
      <c r="B5176" s="44"/>
      <c r="D5176" s="8"/>
      <c r="E5176" s="8"/>
      <c r="F5176" s="8"/>
    </row>
    <row r="5177" spans="2:6">
      <c r="B5177" s="44"/>
      <c r="D5177" s="8"/>
      <c r="E5177" s="8"/>
      <c r="F5177" s="8"/>
    </row>
    <row r="5178" spans="2:6">
      <c r="B5178" s="44"/>
      <c r="D5178" s="8"/>
      <c r="E5178" s="8"/>
      <c r="F5178" s="8"/>
    </row>
    <row r="5179" spans="2:6">
      <c r="B5179" s="44"/>
      <c r="D5179" s="8"/>
      <c r="E5179" s="8"/>
      <c r="F5179" s="8"/>
    </row>
    <row r="5180" spans="2:6">
      <c r="B5180" s="44"/>
      <c r="D5180" s="8"/>
      <c r="E5180" s="8"/>
      <c r="F5180" s="8"/>
    </row>
    <row r="5181" spans="2:6">
      <c r="B5181" s="44"/>
      <c r="D5181" s="8"/>
      <c r="E5181" s="8"/>
      <c r="F5181" s="8"/>
    </row>
    <row r="5182" spans="2:6">
      <c r="B5182" s="44"/>
      <c r="D5182" s="8"/>
      <c r="E5182" s="8"/>
      <c r="F5182" s="8"/>
    </row>
    <row r="5183" spans="2:6">
      <c r="B5183" s="44"/>
      <c r="D5183" s="8"/>
      <c r="E5183" s="8"/>
      <c r="F5183" s="8"/>
    </row>
    <row r="5184" spans="2:6">
      <c r="B5184" s="44"/>
      <c r="D5184" s="8"/>
      <c r="E5184" s="8"/>
      <c r="F5184" s="8"/>
    </row>
    <row r="5185" spans="2:6">
      <c r="B5185" s="44"/>
      <c r="D5185" s="8"/>
      <c r="E5185" s="8"/>
      <c r="F5185" s="8"/>
    </row>
    <row r="5186" spans="2:6">
      <c r="B5186" s="44"/>
      <c r="D5186" s="8"/>
      <c r="E5186" s="8"/>
      <c r="F5186" s="8"/>
    </row>
    <row r="5187" spans="2:6">
      <c r="B5187" s="44"/>
      <c r="D5187" s="8"/>
      <c r="E5187" s="8"/>
      <c r="F5187" s="8"/>
    </row>
    <row r="5188" spans="2:6">
      <c r="B5188" s="44"/>
      <c r="D5188" s="8"/>
      <c r="E5188" s="8"/>
      <c r="F5188" s="8"/>
    </row>
    <row r="5189" spans="2:6">
      <c r="B5189" s="44"/>
      <c r="D5189" s="8"/>
      <c r="E5189" s="8"/>
      <c r="F5189" s="8"/>
    </row>
    <row r="5190" spans="2:6">
      <c r="B5190" s="44"/>
      <c r="D5190" s="8"/>
      <c r="E5190" s="8"/>
      <c r="F5190" s="8"/>
    </row>
    <row r="5191" spans="2:6">
      <c r="B5191" s="44"/>
      <c r="D5191" s="8"/>
      <c r="E5191" s="8"/>
      <c r="F5191" s="8"/>
    </row>
    <row r="5192" spans="2:6">
      <c r="B5192" s="44"/>
      <c r="D5192" s="8"/>
      <c r="E5192" s="8"/>
      <c r="F5192" s="8"/>
    </row>
    <row r="5193" spans="2:6">
      <c r="B5193" s="44"/>
      <c r="D5193" s="8"/>
      <c r="E5193" s="8"/>
      <c r="F5193" s="8"/>
    </row>
    <row r="5194" spans="2:6">
      <c r="B5194" s="44"/>
      <c r="D5194" s="8"/>
      <c r="E5194" s="8"/>
      <c r="F5194" s="8"/>
    </row>
    <row r="5195" spans="2:6">
      <c r="B5195" s="44"/>
      <c r="D5195" s="8"/>
      <c r="E5195" s="8"/>
      <c r="F5195" s="8"/>
    </row>
    <row r="5196" spans="2:6">
      <c r="B5196" s="44"/>
      <c r="D5196" s="8"/>
      <c r="E5196" s="8"/>
      <c r="F5196" s="8"/>
    </row>
    <row r="5197" spans="2:6">
      <c r="B5197" s="44"/>
      <c r="D5197" s="8"/>
      <c r="E5197" s="8"/>
      <c r="F5197" s="8"/>
    </row>
    <row r="5198" spans="2:6">
      <c r="B5198" s="44"/>
      <c r="D5198" s="8"/>
      <c r="E5198" s="8"/>
      <c r="F5198" s="8"/>
    </row>
    <row r="5199" spans="2:6">
      <c r="B5199" s="44"/>
      <c r="D5199" s="8"/>
      <c r="E5199" s="8"/>
      <c r="F5199" s="8"/>
    </row>
    <row r="5200" spans="2:6">
      <c r="B5200" s="44"/>
      <c r="D5200" s="8"/>
      <c r="E5200" s="8"/>
      <c r="F5200" s="8"/>
    </row>
    <row r="5201" spans="2:6">
      <c r="B5201" s="44"/>
      <c r="D5201" s="8"/>
      <c r="E5201" s="8"/>
      <c r="F5201" s="8"/>
    </row>
    <row r="5202" spans="2:6">
      <c r="B5202" s="44"/>
      <c r="D5202" s="8"/>
      <c r="E5202" s="8"/>
      <c r="F5202" s="8"/>
    </row>
    <row r="5203" spans="2:6">
      <c r="B5203" s="44"/>
      <c r="D5203" s="8"/>
      <c r="E5203" s="8"/>
      <c r="F5203" s="8"/>
    </row>
    <row r="5204" spans="2:6">
      <c r="B5204" s="44"/>
      <c r="D5204" s="8"/>
      <c r="E5204" s="8"/>
      <c r="F5204" s="8"/>
    </row>
    <row r="5205" spans="2:6">
      <c r="B5205" s="44"/>
      <c r="D5205" s="8"/>
      <c r="E5205" s="8"/>
      <c r="F5205" s="8"/>
    </row>
    <row r="5206" spans="2:6">
      <c r="B5206" s="44"/>
      <c r="D5206" s="8"/>
      <c r="E5206" s="8"/>
      <c r="F5206" s="8"/>
    </row>
    <row r="5207" spans="2:6">
      <c r="B5207" s="44"/>
      <c r="D5207" s="8"/>
      <c r="E5207" s="8"/>
      <c r="F5207" s="8"/>
    </row>
    <row r="5208" spans="2:6">
      <c r="B5208" s="44"/>
      <c r="D5208" s="8"/>
      <c r="E5208" s="8"/>
      <c r="F5208" s="8"/>
    </row>
    <row r="5209" spans="2:6">
      <c r="B5209" s="44"/>
      <c r="D5209" s="8"/>
      <c r="E5209" s="8"/>
      <c r="F5209" s="8"/>
    </row>
    <row r="5210" spans="2:6">
      <c r="B5210" s="44"/>
      <c r="D5210" s="8"/>
      <c r="E5210" s="8"/>
      <c r="F5210" s="8"/>
    </row>
    <row r="5211" spans="2:6">
      <c r="B5211" s="44"/>
      <c r="D5211" s="8"/>
      <c r="E5211" s="8"/>
      <c r="F5211" s="8"/>
    </row>
    <row r="5212" spans="2:6">
      <c r="B5212" s="44"/>
      <c r="D5212" s="8"/>
      <c r="E5212" s="8"/>
      <c r="F5212" s="8"/>
    </row>
    <row r="5213" spans="2:6">
      <c r="B5213" s="44"/>
      <c r="D5213" s="8"/>
      <c r="E5213" s="8"/>
      <c r="F5213" s="8"/>
    </row>
    <row r="5214" spans="2:6">
      <c r="B5214" s="44"/>
      <c r="D5214" s="8"/>
      <c r="E5214" s="8"/>
      <c r="F5214" s="8"/>
    </row>
    <row r="5215" spans="2:6">
      <c r="B5215" s="44"/>
      <c r="D5215" s="8"/>
      <c r="E5215" s="8"/>
      <c r="F5215" s="8"/>
    </row>
    <row r="5216" spans="2:6">
      <c r="B5216" s="44"/>
      <c r="D5216" s="8"/>
      <c r="E5216" s="8"/>
      <c r="F5216" s="8"/>
    </row>
    <row r="5217" spans="2:6">
      <c r="B5217" s="44"/>
      <c r="D5217" s="8"/>
      <c r="E5217" s="8"/>
      <c r="F5217" s="8"/>
    </row>
    <row r="5218" spans="2:6">
      <c r="B5218" s="44"/>
      <c r="D5218" s="8"/>
      <c r="E5218" s="8"/>
      <c r="F5218" s="8"/>
    </row>
    <row r="5219" spans="2:6">
      <c r="B5219" s="44"/>
      <c r="D5219" s="8"/>
      <c r="E5219" s="8"/>
      <c r="F5219" s="8"/>
    </row>
    <row r="5220" spans="2:6">
      <c r="B5220" s="44"/>
      <c r="D5220" s="8"/>
      <c r="E5220" s="8"/>
      <c r="F5220" s="8"/>
    </row>
    <row r="5221" spans="2:6">
      <c r="B5221" s="44"/>
      <c r="D5221" s="8"/>
      <c r="E5221" s="8"/>
      <c r="F5221" s="8"/>
    </row>
    <row r="5222" spans="2:6">
      <c r="B5222" s="44"/>
      <c r="D5222" s="8"/>
      <c r="E5222" s="8"/>
      <c r="F5222" s="8"/>
    </row>
    <row r="5223" spans="2:6">
      <c r="B5223" s="44"/>
      <c r="D5223" s="8"/>
      <c r="E5223" s="8"/>
      <c r="F5223" s="8"/>
    </row>
    <row r="5224" spans="2:6">
      <c r="B5224" s="44"/>
      <c r="D5224" s="8"/>
      <c r="E5224" s="8"/>
      <c r="F5224" s="8"/>
    </row>
    <row r="5225" spans="2:6">
      <c r="B5225" s="44"/>
      <c r="D5225" s="8"/>
      <c r="E5225" s="8"/>
      <c r="F5225" s="8"/>
    </row>
    <row r="5226" spans="2:6">
      <c r="B5226" s="44"/>
      <c r="D5226" s="8"/>
      <c r="E5226" s="8"/>
      <c r="F5226" s="8"/>
    </row>
    <row r="5227" spans="2:6">
      <c r="B5227" s="44"/>
      <c r="D5227" s="8"/>
      <c r="E5227" s="8"/>
      <c r="F5227" s="8"/>
    </row>
    <row r="5228" spans="2:6">
      <c r="B5228" s="44"/>
      <c r="D5228" s="8"/>
      <c r="E5228" s="8"/>
      <c r="F5228" s="8"/>
    </row>
    <row r="5229" spans="2:6">
      <c r="B5229" s="44"/>
      <c r="D5229" s="8"/>
      <c r="E5229" s="8"/>
      <c r="F5229" s="8"/>
    </row>
    <row r="5230" spans="2:6">
      <c r="B5230" s="44"/>
      <c r="D5230" s="8"/>
      <c r="E5230" s="8"/>
      <c r="F5230" s="8"/>
    </row>
    <row r="5231" spans="2:6">
      <c r="B5231" s="44"/>
      <c r="D5231" s="8"/>
      <c r="E5231" s="8"/>
      <c r="F5231" s="8"/>
    </row>
    <row r="5232" spans="2:6">
      <c r="B5232" s="44"/>
      <c r="D5232" s="8"/>
      <c r="E5232" s="8"/>
      <c r="F5232" s="8"/>
    </row>
    <row r="5233" spans="2:6">
      <c r="B5233" s="44"/>
      <c r="D5233" s="8"/>
      <c r="E5233" s="8"/>
      <c r="F5233" s="8"/>
    </row>
    <row r="5234" spans="2:6">
      <c r="B5234" s="44"/>
      <c r="D5234" s="8"/>
      <c r="E5234" s="8"/>
      <c r="F5234" s="8"/>
    </row>
    <row r="5235" spans="2:6">
      <c r="B5235" s="44"/>
      <c r="D5235" s="8"/>
      <c r="E5235" s="8"/>
      <c r="F5235" s="8"/>
    </row>
    <row r="5236" spans="2:6">
      <c r="B5236" s="44"/>
      <c r="D5236" s="8"/>
      <c r="E5236" s="8"/>
      <c r="F5236" s="8"/>
    </row>
    <row r="5237" spans="2:6">
      <c r="B5237" s="44"/>
      <c r="D5237" s="8"/>
      <c r="E5237" s="8"/>
      <c r="F5237" s="8"/>
    </row>
    <row r="5238" spans="2:6">
      <c r="B5238" s="44"/>
      <c r="D5238" s="8"/>
      <c r="E5238" s="8"/>
      <c r="F5238" s="8"/>
    </row>
    <row r="5239" spans="2:6">
      <c r="B5239" s="44"/>
      <c r="D5239" s="8"/>
      <c r="E5239" s="8"/>
      <c r="F5239" s="8"/>
    </row>
    <row r="5240" spans="2:6">
      <c r="B5240" s="44"/>
      <c r="D5240" s="8"/>
      <c r="E5240" s="8"/>
      <c r="F5240" s="8"/>
    </row>
    <row r="5241" spans="2:6">
      <c r="B5241" s="44"/>
      <c r="D5241" s="8"/>
      <c r="E5241" s="8"/>
      <c r="F5241" s="8"/>
    </row>
    <row r="5242" spans="2:6">
      <c r="B5242" s="44"/>
      <c r="D5242" s="8"/>
      <c r="E5242" s="8"/>
      <c r="F5242" s="8"/>
    </row>
    <row r="5243" spans="2:6">
      <c r="B5243" s="44"/>
      <c r="D5243" s="8"/>
      <c r="E5243" s="8"/>
      <c r="F5243" s="8"/>
    </row>
    <row r="5244" spans="2:6">
      <c r="B5244" s="44"/>
      <c r="D5244" s="8"/>
      <c r="E5244" s="8"/>
      <c r="F5244" s="8"/>
    </row>
    <row r="5245" spans="2:6">
      <c r="B5245" s="44"/>
      <c r="D5245" s="8"/>
      <c r="E5245" s="8"/>
      <c r="F5245" s="8"/>
    </row>
    <row r="5246" spans="2:6">
      <c r="B5246" s="44"/>
      <c r="D5246" s="8"/>
      <c r="E5246" s="8"/>
      <c r="F5246" s="8"/>
    </row>
    <row r="5247" spans="2:6">
      <c r="B5247" s="44"/>
      <c r="D5247" s="8"/>
      <c r="E5247" s="8"/>
      <c r="F5247" s="8"/>
    </row>
    <row r="5248" spans="2:6">
      <c r="B5248" s="44"/>
      <c r="D5248" s="8"/>
      <c r="E5248" s="8"/>
      <c r="F5248" s="8"/>
    </row>
    <row r="5249" spans="2:6">
      <c r="B5249" s="44"/>
      <c r="D5249" s="8"/>
      <c r="E5249" s="8"/>
      <c r="F5249" s="8"/>
    </row>
    <row r="5250" spans="2:6">
      <c r="B5250" s="44"/>
      <c r="D5250" s="8"/>
      <c r="E5250" s="8"/>
      <c r="F5250" s="8"/>
    </row>
    <row r="5251" spans="2:6">
      <c r="B5251" s="44"/>
      <c r="D5251" s="8"/>
      <c r="E5251" s="8"/>
      <c r="F5251" s="8"/>
    </row>
    <row r="5252" spans="2:6">
      <c r="B5252" s="44"/>
      <c r="D5252" s="8"/>
      <c r="E5252" s="8"/>
      <c r="F5252" s="8"/>
    </row>
    <row r="5253" spans="2:6">
      <c r="B5253" s="44"/>
      <c r="D5253" s="8"/>
      <c r="E5253" s="8"/>
      <c r="F5253" s="8"/>
    </row>
    <row r="5254" spans="2:6">
      <c r="B5254" s="44"/>
      <c r="D5254" s="8"/>
      <c r="E5254" s="8"/>
      <c r="F5254" s="8"/>
    </row>
    <row r="5255" spans="2:6">
      <c r="B5255" s="44"/>
      <c r="D5255" s="8"/>
      <c r="E5255" s="8"/>
      <c r="F5255" s="8"/>
    </row>
    <row r="5256" spans="2:6">
      <c r="B5256" s="44"/>
      <c r="D5256" s="8"/>
      <c r="E5256" s="8"/>
      <c r="F5256" s="8"/>
    </row>
    <row r="5257" spans="2:6">
      <c r="B5257" s="44"/>
      <c r="D5257" s="8"/>
      <c r="E5257" s="8"/>
      <c r="F5257" s="8"/>
    </row>
    <row r="5258" spans="2:6">
      <c r="B5258" s="44"/>
      <c r="D5258" s="8"/>
      <c r="E5258" s="8"/>
      <c r="F5258" s="8"/>
    </row>
    <row r="5259" spans="2:6">
      <c r="B5259" s="44"/>
      <c r="D5259" s="8"/>
      <c r="E5259" s="8"/>
      <c r="F5259" s="8"/>
    </row>
    <row r="5260" spans="2:6">
      <c r="B5260" s="44"/>
      <c r="D5260" s="8"/>
      <c r="E5260" s="8"/>
      <c r="F5260" s="8"/>
    </row>
    <row r="5261" spans="2:6">
      <c r="B5261" s="44"/>
      <c r="D5261" s="8"/>
      <c r="E5261" s="8"/>
      <c r="F5261" s="8"/>
    </row>
    <row r="5262" spans="2:6">
      <c r="B5262" s="44"/>
      <c r="D5262" s="8"/>
      <c r="E5262" s="8"/>
      <c r="F5262" s="8"/>
    </row>
    <row r="5263" spans="2:6">
      <c r="B5263" s="44"/>
      <c r="D5263" s="8"/>
      <c r="E5263" s="8"/>
      <c r="F5263" s="8"/>
    </row>
    <row r="5264" spans="2:6">
      <c r="B5264" s="44"/>
      <c r="D5264" s="8"/>
      <c r="E5264" s="8"/>
      <c r="F5264" s="8"/>
    </row>
    <row r="5265" spans="2:6">
      <c r="B5265" s="44"/>
      <c r="D5265" s="8"/>
      <c r="E5265" s="8"/>
      <c r="F5265" s="8"/>
    </row>
    <row r="5266" spans="2:6">
      <c r="B5266" s="44"/>
      <c r="D5266" s="8"/>
      <c r="E5266" s="8"/>
      <c r="F5266" s="8"/>
    </row>
    <row r="5267" spans="2:6">
      <c r="B5267" s="44"/>
      <c r="D5267" s="8"/>
      <c r="E5267" s="8"/>
      <c r="F5267" s="8"/>
    </row>
    <row r="5268" spans="2:6">
      <c r="B5268" s="44"/>
      <c r="D5268" s="8"/>
      <c r="E5268" s="8"/>
      <c r="F5268" s="8"/>
    </row>
    <row r="5269" spans="2:6">
      <c r="B5269" s="44"/>
      <c r="D5269" s="8"/>
      <c r="E5269" s="8"/>
      <c r="F5269" s="8"/>
    </row>
    <row r="5270" spans="2:6">
      <c r="B5270" s="44"/>
      <c r="D5270" s="8"/>
      <c r="E5270" s="8"/>
      <c r="F5270" s="8"/>
    </row>
    <row r="5271" spans="2:6">
      <c r="B5271" s="44"/>
      <c r="D5271" s="8"/>
      <c r="E5271" s="8"/>
      <c r="F5271" s="8"/>
    </row>
    <row r="5272" spans="2:6">
      <c r="B5272" s="44"/>
      <c r="D5272" s="8"/>
      <c r="E5272" s="8"/>
      <c r="F5272" s="8"/>
    </row>
    <row r="5273" spans="2:6">
      <c r="B5273" s="44"/>
      <c r="D5273" s="8"/>
      <c r="E5273" s="8"/>
      <c r="F5273" s="8"/>
    </row>
    <row r="5274" spans="2:6">
      <c r="B5274" s="44"/>
      <c r="D5274" s="8"/>
      <c r="E5274" s="8"/>
      <c r="F5274" s="8"/>
    </row>
    <row r="5275" spans="2:6">
      <c r="B5275" s="44"/>
      <c r="D5275" s="8"/>
      <c r="E5275" s="8"/>
      <c r="F5275" s="8"/>
    </row>
    <row r="5276" spans="2:6">
      <c r="B5276" s="44"/>
      <c r="D5276" s="8"/>
      <c r="E5276" s="8"/>
      <c r="F5276" s="8"/>
    </row>
    <row r="5277" spans="2:6">
      <c r="B5277" s="44"/>
      <c r="D5277" s="8"/>
      <c r="E5277" s="8"/>
      <c r="F5277" s="8"/>
    </row>
    <row r="5278" spans="2:6">
      <c r="B5278" s="44"/>
      <c r="D5278" s="8"/>
      <c r="E5278" s="8"/>
      <c r="F5278" s="8"/>
    </row>
    <row r="5279" spans="2:6">
      <c r="B5279" s="44"/>
      <c r="D5279" s="8"/>
      <c r="E5279" s="8"/>
      <c r="F5279" s="8"/>
    </row>
    <row r="5280" spans="2:6">
      <c r="B5280" s="44"/>
      <c r="D5280" s="8"/>
      <c r="E5280" s="8"/>
      <c r="F5280" s="8"/>
    </row>
    <row r="5281" spans="2:6">
      <c r="B5281" s="44"/>
      <c r="D5281" s="8"/>
      <c r="E5281" s="8"/>
      <c r="F5281" s="8"/>
    </row>
    <row r="5282" spans="2:6">
      <c r="B5282" s="44"/>
      <c r="D5282" s="8"/>
      <c r="E5282" s="8"/>
      <c r="F5282" s="8"/>
    </row>
    <row r="5283" spans="2:6">
      <c r="B5283" s="44"/>
      <c r="D5283" s="8"/>
      <c r="E5283" s="8"/>
      <c r="F5283" s="8"/>
    </row>
    <row r="5284" spans="2:6">
      <c r="B5284" s="44"/>
      <c r="D5284" s="8"/>
      <c r="E5284" s="8"/>
      <c r="F5284" s="8"/>
    </row>
    <row r="5285" spans="2:6">
      <c r="B5285" s="44"/>
      <c r="D5285" s="8"/>
      <c r="E5285" s="8"/>
      <c r="F5285" s="8"/>
    </row>
    <row r="5286" spans="2:6">
      <c r="B5286" s="44"/>
      <c r="D5286" s="8"/>
      <c r="E5286" s="8"/>
      <c r="F5286" s="8"/>
    </row>
    <row r="5287" spans="2:6">
      <c r="B5287" s="44"/>
      <c r="D5287" s="8"/>
      <c r="E5287" s="8"/>
      <c r="F5287" s="8"/>
    </row>
    <row r="5288" spans="2:6">
      <c r="B5288" s="44"/>
      <c r="D5288" s="8"/>
      <c r="E5288" s="8"/>
      <c r="F5288" s="8"/>
    </row>
    <row r="5289" spans="2:6">
      <c r="B5289" s="44"/>
      <c r="D5289" s="8"/>
      <c r="E5289" s="8"/>
      <c r="F5289" s="8"/>
    </row>
    <row r="5290" spans="2:6">
      <c r="B5290" s="44"/>
      <c r="D5290" s="8"/>
      <c r="E5290" s="8"/>
      <c r="F5290" s="8"/>
    </row>
    <row r="5291" spans="2:6">
      <c r="B5291" s="44"/>
      <c r="D5291" s="8"/>
      <c r="E5291" s="8"/>
      <c r="F5291" s="8"/>
    </row>
    <row r="5292" spans="2:6">
      <c r="B5292" s="44"/>
      <c r="D5292" s="8"/>
      <c r="E5292" s="8"/>
      <c r="F5292" s="8"/>
    </row>
    <row r="5293" spans="2:6">
      <c r="B5293" s="44"/>
      <c r="D5293" s="8"/>
      <c r="E5293" s="8"/>
      <c r="F5293" s="8"/>
    </row>
    <row r="5294" spans="2:6">
      <c r="B5294" s="44"/>
      <c r="D5294" s="8"/>
      <c r="E5294" s="8"/>
      <c r="F5294" s="8"/>
    </row>
    <row r="5295" spans="2:6">
      <c r="B5295" s="44"/>
      <c r="D5295" s="8"/>
      <c r="E5295" s="8"/>
      <c r="F5295" s="8"/>
    </row>
    <row r="5296" spans="2:6">
      <c r="B5296" s="44"/>
      <c r="D5296" s="8"/>
      <c r="E5296" s="8"/>
      <c r="F5296" s="8"/>
    </row>
    <row r="5297" spans="2:6">
      <c r="B5297" s="44"/>
      <c r="D5297" s="8"/>
      <c r="E5297" s="8"/>
      <c r="F5297" s="8"/>
    </row>
    <row r="5298" spans="2:6">
      <c r="B5298" s="44"/>
      <c r="D5298" s="8"/>
      <c r="E5298" s="8"/>
      <c r="F5298" s="8"/>
    </row>
    <row r="5299" spans="2:6">
      <c r="B5299" s="44"/>
      <c r="D5299" s="8"/>
      <c r="E5299" s="8"/>
      <c r="F5299" s="8"/>
    </row>
    <row r="5300" spans="2:6">
      <c r="B5300" s="44"/>
      <c r="D5300" s="8"/>
      <c r="E5300" s="8"/>
      <c r="F5300" s="8"/>
    </row>
    <row r="5301" spans="2:6">
      <c r="B5301" s="44"/>
      <c r="D5301" s="8"/>
      <c r="E5301" s="8"/>
      <c r="F5301" s="8"/>
    </row>
    <row r="5302" spans="2:6">
      <c r="B5302" s="44"/>
      <c r="D5302" s="8"/>
      <c r="E5302" s="8"/>
      <c r="F5302" s="8"/>
    </row>
    <row r="5303" spans="2:6">
      <c r="B5303" s="44"/>
      <c r="D5303" s="8"/>
      <c r="E5303" s="8"/>
      <c r="F5303" s="8"/>
    </row>
    <row r="5304" spans="2:6">
      <c r="B5304" s="44"/>
      <c r="D5304" s="8"/>
      <c r="E5304" s="8"/>
      <c r="F5304" s="8"/>
    </row>
    <row r="5305" spans="2:6">
      <c r="B5305" s="44"/>
      <c r="D5305" s="8"/>
      <c r="E5305" s="8"/>
      <c r="F5305" s="8"/>
    </row>
    <row r="5306" spans="2:6">
      <c r="B5306" s="44"/>
      <c r="D5306" s="8"/>
      <c r="E5306" s="8"/>
      <c r="F5306" s="8"/>
    </row>
    <row r="5307" spans="2:6">
      <c r="B5307" s="44"/>
      <c r="D5307" s="8"/>
      <c r="E5307" s="8"/>
      <c r="F5307" s="8"/>
    </row>
    <row r="5308" spans="2:6">
      <c r="B5308" s="44"/>
      <c r="D5308" s="8"/>
      <c r="E5308" s="8"/>
      <c r="F5308" s="8"/>
    </row>
    <row r="5309" spans="2:6">
      <c r="B5309" s="44"/>
      <c r="D5309" s="8"/>
      <c r="E5309" s="8"/>
      <c r="F5309" s="8"/>
    </row>
    <row r="5310" spans="2:6">
      <c r="B5310" s="44"/>
      <c r="D5310" s="8"/>
      <c r="E5310" s="8"/>
      <c r="F5310" s="8"/>
    </row>
    <row r="5311" spans="2:6">
      <c r="B5311" s="44"/>
      <c r="D5311" s="8"/>
      <c r="E5311" s="8"/>
      <c r="F5311" s="8"/>
    </row>
    <row r="5312" spans="2:6">
      <c r="B5312" s="44"/>
      <c r="D5312" s="8"/>
      <c r="E5312" s="8"/>
      <c r="F5312" s="8"/>
    </row>
    <row r="5313" spans="2:6">
      <c r="B5313" s="44"/>
      <c r="D5313" s="8"/>
      <c r="E5313" s="8"/>
      <c r="F5313" s="8"/>
    </row>
    <row r="5314" spans="2:6">
      <c r="B5314" s="44"/>
      <c r="D5314" s="8"/>
      <c r="E5314" s="8"/>
      <c r="F5314" s="8"/>
    </row>
    <row r="5315" spans="2:6">
      <c r="B5315" s="44"/>
      <c r="D5315" s="8"/>
      <c r="E5315" s="8"/>
      <c r="F5315" s="8"/>
    </row>
    <row r="5316" spans="2:6">
      <c r="B5316" s="44"/>
      <c r="D5316" s="8"/>
      <c r="E5316" s="8"/>
      <c r="F5316" s="8"/>
    </row>
    <row r="5317" spans="2:6">
      <c r="B5317" s="44"/>
      <c r="D5317" s="8"/>
      <c r="E5317" s="8"/>
      <c r="F5317" s="8"/>
    </row>
    <row r="5318" spans="2:6">
      <c r="B5318" s="44"/>
      <c r="D5318" s="8"/>
      <c r="E5318" s="8"/>
      <c r="F5318" s="8"/>
    </row>
    <row r="5319" spans="2:6">
      <c r="B5319" s="44"/>
      <c r="D5319" s="8"/>
      <c r="E5319" s="8"/>
      <c r="F5319" s="8"/>
    </row>
    <row r="5320" spans="2:6">
      <c r="B5320" s="44"/>
      <c r="D5320" s="8"/>
      <c r="E5320" s="8"/>
      <c r="F5320" s="8"/>
    </row>
    <row r="5321" spans="2:6">
      <c r="B5321" s="44"/>
      <c r="D5321" s="8"/>
      <c r="E5321" s="8"/>
      <c r="F5321" s="8"/>
    </row>
    <row r="5322" spans="2:6">
      <c r="B5322" s="44"/>
      <c r="D5322" s="8"/>
      <c r="E5322" s="8"/>
      <c r="F5322" s="8"/>
    </row>
    <row r="5323" spans="2:6">
      <c r="B5323" s="44"/>
      <c r="D5323" s="8"/>
      <c r="E5323" s="8"/>
      <c r="F5323" s="8"/>
    </row>
    <row r="5324" spans="2:6">
      <c r="B5324" s="44"/>
      <c r="D5324" s="8"/>
      <c r="E5324" s="8"/>
      <c r="F5324" s="8"/>
    </row>
    <row r="5325" spans="2:6">
      <c r="B5325" s="44"/>
      <c r="D5325" s="8"/>
      <c r="E5325" s="8"/>
      <c r="F5325" s="8"/>
    </row>
    <row r="5326" spans="2:6">
      <c r="B5326" s="44"/>
      <c r="D5326" s="8"/>
      <c r="E5326" s="8"/>
      <c r="F5326" s="8"/>
    </row>
    <row r="5327" spans="2:6">
      <c r="B5327" s="44"/>
      <c r="D5327" s="8"/>
      <c r="E5327" s="8"/>
      <c r="F5327" s="8"/>
    </row>
    <row r="5328" spans="2:6">
      <c r="B5328" s="44"/>
      <c r="D5328" s="8"/>
      <c r="E5328" s="8"/>
      <c r="F5328" s="8"/>
    </row>
    <row r="5329" spans="2:6">
      <c r="B5329" s="44"/>
      <c r="D5329" s="8"/>
      <c r="E5329" s="8"/>
      <c r="F5329" s="8"/>
    </row>
    <row r="5330" spans="2:6">
      <c r="B5330" s="44"/>
      <c r="D5330" s="8"/>
      <c r="E5330" s="8"/>
      <c r="F5330" s="8"/>
    </row>
    <row r="5331" spans="2:6">
      <c r="B5331" s="44"/>
      <c r="D5331" s="8"/>
      <c r="E5331" s="8"/>
      <c r="F5331" s="8"/>
    </row>
    <row r="5332" spans="2:6">
      <c r="B5332" s="44"/>
      <c r="D5332" s="8"/>
      <c r="E5332" s="8"/>
      <c r="F5332" s="8"/>
    </row>
    <row r="5333" spans="2:6">
      <c r="B5333" s="44"/>
      <c r="D5333" s="8"/>
      <c r="E5333" s="8"/>
      <c r="F5333" s="8"/>
    </row>
    <row r="5334" spans="2:6">
      <c r="B5334" s="44"/>
      <c r="D5334" s="8"/>
      <c r="E5334" s="8"/>
      <c r="F5334" s="8"/>
    </row>
    <row r="5335" spans="2:6">
      <c r="B5335" s="44"/>
      <c r="D5335" s="8"/>
      <c r="E5335" s="8"/>
      <c r="F5335" s="8"/>
    </row>
    <row r="5336" spans="2:6">
      <c r="B5336" s="44"/>
      <c r="D5336" s="8"/>
      <c r="E5336" s="8"/>
      <c r="F5336" s="8"/>
    </row>
    <row r="5337" spans="2:6">
      <c r="B5337" s="44"/>
      <c r="D5337" s="8"/>
      <c r="E5337" s="8"/>
      <c r="F5337" s="8"/>
    </row>
    <row r="5338" spans="2:6">
      <c r="B5338" s="44"/>
      <c r="D5338" s="8"/>
      <c r="E5338" s="8"/>
      <c r="F5338" s="8"/>
    </row>
    <row r="5339" spans="2:6">
      <c r="B5339" s="44"/>
      <c r="D5339" s="8"/>
      <c r="E5339" s="8"/>
      <c r="F5339" s="8"/>
    </row>
    <row r="5340" spans="2:6">
      <c r="B5340" s="44"/>
      <c r="D5340" s="8"/>
      <c r="E5340" s="8"/>
      <c r="F5340" s="8"/>
    </row>
    <row r="5341" spans="2:6">
      <c r="B5341" s="44"/>
      <c r="D5341" s="8"/>
      <c r="E5341" s="8"/>
      <c r="F5341" s="8"/>
    </row>
    <row r="5342" spans="2:6">
      <c r="B5342" s="44"/>
      <c r="D5342" s="8"/>
      <c r="E5342" s="8"/>
      <c r="F5342" s="8"/>
    </row>
    <row r="5343" spans="2:6">
      <c r="B5343" s="44"/>
      <c r="D5343" s="8"/>
      <c r="E5343" s="8"/>
      <c r="F5343" s="8"/>
    </row>
    <row r="5344" spans="2:6">
      <c r="B5344" s="44"/>
      <c r="D5344" s="8"/>
      <c r="E5344" s="8"/>
      <c r="F5344" s="8"/>
    </row>
    <row r="5345" spans="2:6">
      <c r="B5345" s="44"/>
      <c r="D5345" s="8"/>
      <c r="E5345" s="8"/>
      <c r="F5345" s="8"/>
    </row>
    <row r="5346" spans="2:6">
      <c r="B5346" s="44"/>
      <c r="D5346" s="8"/>
      <c r="E5346" s="8"/>
      <c r="F5346" s="8"/>
    </row>
    <row r="5347" spans="2:6">
      <c r="B5347" s="44"/>
      <c r="D5347" s="8"/>
      <c r="E5347" s="8"/>
      <c r="F5347" s="8"/>
    </row>
    <row r="5348" spans="2:6">
      <c r="B5348" s="44"/>
      <c r="D5348" s="8"/>
      <c r="E5348" s="8"/>
      <c r="F5348" s="8"/>
    </row>
    <row r="5349" spans="2:6">
      <c r="B5349" s="44"/>
      <c r="D5349" s="8"/>
      <c r="E5349" s="8"/>
      <c r="F5349" s="8"/>
    </row>
    <row r="5350" spans="2:6">
      <c r="B5350" s="44"/>
      <c r="D5350" s="8"/>
      <c r="E5350" s="8"/>
      <c r="F5350" s="8"/>
    </row>
    <row r="5351" spans="2:6">
      <c r="B5351" s="44"/>
      <c r="D5351" s="8"/>
      <c r="E5351" s="8"/>
      <c r="F5351" s="8"/>
    </row>
    <row r="5352" spans="2:6">
      <c r="B5352" s="44"/>
      <c r="D5352" s="8"/>
      <c r="E5352" s="8"/>
      <c r="F5352" s="8"/>
    </row>
    <row r="5353" spans="2:6">
      <c r="B5353" s="44"/>
      <c r="D5353" s="8"/>
      <c r="E5353" s="8"/>
      <c r="F5353" s="8"/>
    </row>
    <row r="5354" spans="2:6">
      <c r="B5354" s="44"/>
      <c r="D5354" s="8"/>
      <c r="E5354" s="8"/>
      <c r="F5354" s="8"/>
    </row>
    <row r="5355" spans="2:6">
      <c r="B5355" s="44"/>
      <c r="D5355" s="8"/>
      <c r="E5355" s="8"/>
      <c r="F5355" s="8"/>
    </row>
    <row r="5356" spans="2:6">
      <c r="B5356" s="44"/>
      <c r="D5356" s="8"/>
      <c r="E5356" s="8"/>
      <c r="F5356" s="8"/>
    </row>
    <row r="5357" spans="2:6">
      <c r="B5357" s="44"/>
      <c r="D5357" s="8"/>
      <c r="E5357" s="8"/>
      <c r="F5357" s="8"/>
    </row>
    <row r="5358" spans="2:6">
      <c r="B5358" s="44"/>
      <c r="D5358" s="8"/>
      <c r="E5358" s="8"/>
      <c r="F5358" s="8"/>
    </row>
    <row r="5359" spans="2:6">
      <c r="B5359" s="44"/>
      <c r="D5359" s="8"/>
      <c r="E5359" s="8"/>
      <c r="F5359" s="8"/>
    </row>
    <row r="5360" spans="2:6">
      <c r="B5360" s="44"/>
      <c r="D5360" s="8"/>
      <c r="E5360" s="8"/>
      <c r="F5360" s="8"/>
    </row>
    <row r="5361" spans="2:6">
      <c r="B5361" s="44"/>
      <c r="D5361" s="8"/>
      <c r="E5361" s="8"/>
      <c r="F5361" s="8"/>
    </row>
    <row r="5362" spans="2:6">
      <c r="B5362" s="44"/>
      <c r="D5362" s="8"/>
      <c r="E5362" s="8"/>
      <c r="F5362" s="8"/>
    </row>
    <row r="5363" spans="2:6">
      <c r="B5363" s="44"/>
      <c r="D5363" s="8"/>
      <c r="E5363" s="8"/>
      <c r="F5363" s="8"/>
    </row>
    <row r="5364" spans="2:6">
      <c r="B5364" s="44"/>
      <c r="D5364" s="8"/>
      <c r="E5364" s="8"/>
      <c r="F5364" s="8"/>
    </row>
    <row r="5365" spans="2:6">
      <c r="B5365" s="44"/>
      <c r="D5365" s="8"/>
      <c r="E5365" s="8"/>
      <c r="F5365" s="8"/>
    </row>
    <row r="5366" spans="2:6">
      <c r="B5366" s="44"/>
      <c r="D5366" s="8"/>
      <c r="E5366" s="8"/>
      <c r="F5366" s="8"/>
    </row>
    <row r="5367" spans="2:6">
      <c r="B5367" s="44"/>
      <c r="D5367" s="8"/>
      <c r="E5367" s="8"/>
      <c r="F5367" s="8"/>
    </row>
    <row r="5368" spans="2:6">
      <c r="B5368" s="44"/>
      <c r="D5368" s="8"/>
      <c r="E5368" s="8"/>
      <c r="F5368" s="8"/>
    </row>
    <row r="5369" spans="2:6">
      <c r="B5369" s="44"/>
      <c r="D5369" s="8"/>
      <c r="E5369" s="8"/>
      <c r="F5369" s="8"/>
    </row>
    <row r="5370" spans="2:6">
      <c r="B5370" s="44"/>
      <c r="D5370" s="8"/>
      <c r="E5370" s="8"/>
      <c r="F5370" s="8"/>
    </row>
    <row r="5371" spans="2:6">
      <c r="B5371" s="44"/>
      <c r="D5371" s="8"/>
      <c r="E5371" s="8"/>
      <c r="F5371" s="8"/>
    </row>
    <row r="5372" spans="2:6">
      <c r="B5372" s="44"/>
      <c r="D5372" s="8"/>
      <c r="E5372" s="8"/>
      <c r="F5372" s="8"/>
    </row>
    <row r="5373" spans="2:6">
      <c r="B5373" s="44"/>
      <c r="D5373" s="8"/>
      <c r="E5373" s="8"/>
      <c r="F5373" s="8"/>
    </row>
    <row r="5374" spans="2:6">
      <c r="B5374" s="44"/>
      <c r="D5374" s="8"/>
      <c r="E5374" s="8"/>
      <c r="F5374" s="8"/>
    </row>
    <row r="5375" spans="2:6">
      <c r="B5375" s="44"/>
      <c r="D5375" s="8"/>
      <c r="E5375" s="8"/>
      <c r="F5375" s="8"/>
    </row>
    <row r="5376" spans="2:6">
      <c r="B5376" s="44"/>
      <c r="D5376" s="8"/>
      <c r="E5376" s="8"/>
      <c r="F5376" s="8"/>
    </row>
    <row r="5377" spans="2:6">
      <c r="B5377" s="44"/>
      <c r="D5377" s="8"/>
      <c r="E5377" s="8"/>
      <c r="F5377" s="8"/>
    </row>
    <row r="5378" spans="2:6">
      <c r="B5378" s="44"/>
      <c r="D5378" s="8"/>
      <c r="E5378" s="8"/>
      <c r="F5378" s="8"/>
    </row>
    <row r="5379" spans="2:6">
      <c r="B5379" s="44"/>
      <c r="D5379" s="8"/>
      <c r="E5379" s="8"/>
      <c r="F5379" s="8"/>
    </row>
    <row r="5380" spans="2:6">
      <c r="B5380" s="44"/>
      <c r="D5380" s="8"/>
      <c r="E5380" s="8"/>
      <c r="F5380" s="8"/>
    </row>
    <row r="5381" spans="2:6">
      <c r="B5381" s="44"/>
      <c r="D5381" s="8"/>
      <c r="E5381" s="8"/>
      <c r="F5381" s="8"/>
    </row>
    <row r="5382" spans="2:6">
      <c r="B5382" s="44"/>
      <c r="D5382" s="8"/>
      <c r="E5382" s="8"/>
      <c r="F5382" s="8"/>
    </row>
    <row r="5383" spans="2:6">
      <c r="B5383" s="44"/>
      <c r="D5383" s="8"/>
      <c r="E5383" s="8"/>
      <c r="F5383" s="8"/>
    </row>
    <row r="5384" spans="2:6">
      <c r="B5384" s="44"/>
      <c r="D5384" s="8"/>
      <c r="E5384" s="8"/>
      <c r="F5384" s="8"/>
    </row>
    <row r="5385" spans="2:6">
      <c r="B5385" s="44"/>
      <c r="D5385" s="8"/>
      <c r="E5385" s="8"/>
      <c r="F5385" s="8"/>
    </row>
    <row r="5386" spans="2:6">
      <c r="B5386" s="44"/>
      <c r="D5386" s="8"/>
      <c r="E5386" s="8"/>
      <c r="F5386" s="8"/>
    </row>
    <row r="5387" spans="2:6">
      <c r="B5387" s="44"/>
      <c r="D5387" s="8"/>
      <c r="E5387" s="8"/>
      <c r="F5387" s="8"/>
    </row>
    <row r="5388" spans="2:6">
      <c r="B5388" s="44"/>
      <c r="D5388" s="8"/>
      <c r="E5388" s="8"/>
      <c r="F5388" s="8"/>
    </row>
    <row r="5389" spans="2:6">
      <c r="B5389" s="44"/>
      <c r="D5389" s="8"/>
      <c r="E5389" s="8"/>
      <c r="F5389" s="8"/>
    </row>
    <row r="5390" spans="2:6">
      <c r="B5390" s="44"/>
      <c r="D5390" s="8"/>
      <c r="E5390" s="8"/>
      <c r="F5390" s="8"/>
    </row>
    <row r="5391" spans="2:6">
      <c r="B5391" s="44"/>
      <c r="D5391" s="8"/>
      <c r="E5391" s="8"/>
      <c r="F5391" s="8"/>
    </row>
    <row r="5392" spans="2:6">
      <c r="B5392" s="44"/>
      <c r="D5392" s="8"/>
      <c r="E5392" s="8"/>
      <c r="F5392" s="8"/>
    </row>
    <row r="5393" spans="2:6">
      <c r="B5393" s="44"/>
      <c r="D5393" s="8"/>
      <c r="E5393" s="8"/>
      <c r="F5393" s="8"/>
    </row>
    <row r="5394" spans="2:6">
      <c r="B5394" s="44"/>
      <c r="D5394" s="8"/>
      <c r="E5394" s="8"/>
      <c r="F5394" s="8"/>
    </row>
    <row r="5395" spans="2:6">
      <c r="B5395" s="44"/>
      <c r="D5395" s="8"/>
      <c r="E5395" s="8"/>
      <c r="F5395" s="8"/>
    </row>
    <row r="5396" spans="2:6">
      <c r="B5396" s="44"/>
      <c r="D5396" s="8"/>
      <c r="E5396" s="8"/>
      <c r="F5396" s="8"/>
    </row>
    <row r="5397" spans="2:6">
      <c r="B5397" s="44"/>
      <c r="D5397" s="8"/>
      <c r="E5397" s="8"/>
      <c r="F5397" s="8"/>
    </row>
    <row r="5398" spans="2:6">
      <c r="B5398" s="44"/>
      <c r="D5398" s="8"/>
      <c r="E5398" s="8"/>
      <c r="F5398" s="8"/>
    </row>
    <row r="5399" spans="2:6">
      <c r="B5399" s="44"/>
      <c r="D5399" s="8"/>
      <c r="E5399" s="8"/>
      <c r="F5399" s="8"/>
    </row>
    <row r="5400" spans="2:6">
      <c r="B5400" s="44"/>
      <c r="D5400" s="8"/>
      <c r="E5400" s="8"/>
      <c r="F5400" s="8"/>
    </row>
    <row r="5401" spans="2:6">
      <c r="B5401" s="44"/>
      <c r="D5401" s="8"/>
      <c r="E5401" s="8"/>
      <c r="F5401" s="8"/>
    </row>
    <row r="5402" spans="2:6">
      <c r="B5402" s="44"/>
      <c r="D5402" s="8"/>
      <c r="E5402" s="8"/>
      <c r="F5402" s="8"/>
    </row>
    <row r="5403" spans="2:6">
      <c r="B5403" s="44"/>
      <c r="D5403" s="8"/>
      <c r="E5403" s="8"/>
      <c r="F5403" s="8"/>
    </row>
    <row r="5404" spans="2:6">
      <c r="B5404" s="44"/>
      <c r="D5404" s="8"/>
      <c r="E5404" s="8"/>
      <c r="F5404" s="8"/>
    </row>
    <row r="5405" spans="2:6">
      <c r="B5405" s="44"/>
      <c r="D5405" s="8"/>
      <c r="E5405" s="8"/>
      <c r="F5405" s="8"/>
    </row>
    <row r="5406" spans="2:6">
      <c r="B5406" s="44"/>
      <c r="D5406" s="8"/>
      <c r="E5406" s="8"/>
      <c r="F5406" s="8"/>
    </row>
    <row r="5407" spans="2:6">
      <c r="B5407" s="44"/>
      <c r="D5407" s="8"/>
      <c r="E5407" s="8"/>
      <c r="F5407" s="8"/>
    </row>
    <row r="5408" spans="2:6">
      <c r="B5408" s="44"/>
      <c r="D5408" s="8"/>
      <c r="E5408" s="8"/>
      <c r="F5408" s="8"/>
    </row>
    <row r="5409" spans="2:6">
      <c r="B5409" s="44"/>
      <c r="D5409" s="8"/>
      <c r="E5409" s="8"/>
      <c r="F5409" s="8"/>
    </row>
    <row r="5410" spans="2:6">
      <c r="B5410" s="44"/>
      <c r="D5410" s="8"/>
      <c r="E5410" s="8"/>
      <c r="F5410" s="8"/>
    </row>
    <row r="5411" spans="2:6">
      <c r="B5411" s="44"/>
      <c r="D5411" s="8"/>
      <c r="E5411" s="8"/>
      <c r="F5411" s="8"/>
    </row>
    <row r="5412" spans="2:6">
      <c r="B5412" s="44"/>
      <c r="D5412" s="8"/>
      <c r="E5412" s="8"/>
      <c r="F5412" s="8"/>
    </row>
    <row r="5413" spans="2:6">
      <c r="B5413" s="44"/>
      <c r="D5413" s="8"/>
      <c r="E5413" s="8"/>
      <c r="F5413" s="8"/>
    </row>
    <row r="5414" spans="2:6">
      <c r="B5414" s="44"/>
      <c r="D5414" s="8"/>
      <c r="E5414" s="8"/>
      <c r="F5414" s="8"/>
    </row>
    <row r="5415" spans="2:6">
      <c r="B5415" s="44"/>
      <c r="D5415" s="8"/>
      <c r="E5415" s="8"/>
      <c r="F5415" s="8"/>
    </row>
    <row r="5416" spans="2:6">
      <c r="B5416" s="44"/>
      <c r="D5416" s="8"/>
      <c r="E5416" s="8"/>
      <c r="F5416" s="8"/>
    </row>
    <row r="5417" spans="2:6">
      <c r="B5417" s="44"/>
      <c r="D5417" s="8"/>
      <c r="E5417" s="8"/>
      <c r="F5417" s="8"/>
    </row>
    <row r="5418" spans="2:6">
      <c r="B5418" s="44"/>
      <c r="D5418" s="8"/>
      <c r="E5418" s="8"/>
      <c r="F5418" s="8"/>
    </row>
    <row r="5419" spans="2:6">
      <c r="B5419" s="44"/>
      <c r="D5419" s="8"/>
      <c r="E5419" s="8"/>
      <c r="F5419" s="8"/>
    </row>
    <row r="5420" spans="2:6">
      <c r="B5420" s="44"/>
      <c r="D5420" s="8"/>
      <c r="E5420" s="8"/>
      <c r="F5420" s="8"/>
    </row>
    <row r="5421" spans="2:6">
      <c r="B5421" s="44"/>
      <c r="D5421" s="8"/>
      <c r="E5421" s="8"/>
      <c r="F5421" s="8"/>
    </row>
    <row r="5422" spans="2:6">
      <c r="B5422" s="44"/>
      <c r="D5422" s="8"/>
      <c r="E5422" s="8"/>
      <c r="F5422" s="8"/>
    </row>
    <row r="5423" spans="2:6">
      <c r="B5423" s="44"/>
      <c r="D5423" s="8"/>
      <c r="E5423" s="8"/>
      <c r="F5423" s="8"/>
    </row>
    <row r="5424" spans="2:6">
      <c r="B5424" s="44"/>
      <c r="D5424" s="8"/>
      <c r="E5424" s="8"/>
      <c r="F5424" s="8"/>
    </row>
    <row r="5425" spans="2:6">
      <c r="B5425" s="44"/>
      <c r="D5425" s="8"/>
      <c r="E5425" s="8"/>
      <c r="F5425" s="8"/>
    </row>
    <row r="5426" spans="2:6">
      <c r="B5426" s="44"/>
      <c r="D5426" s="8"/>
      <c r="E5426" s="8"/>
      <c r="F5426" s="8"/>
    </row>
    <row r="5427" spans="2:6">
      <c r="B5427" s="44"/>
      <c r="D5427" s="8"/>
      <c r="E5427" s="8"/>
      <c r="F5427" s="8"/>
    </row>
    <row r="5428" spans="2:6">
      <c r="B5428" s="44"/>
      <c r="D5428" s="8"/>
      <c r="E5428" s="8"/>
      <c r="F5428" s="8"/>
    </row>
    <row r="5429" spans="2:6">
      <c r="B5429" s="44"/>
      <c r="D5429" s="8"/>
      <c r="E5429" s="8"/>
      <c r="F5429" s="8"/>
    </row>
    <row r="5430" spans="2:6">
      <c r="B5430" s="44"/>
      <c r="D5430" s="8"/>
      <c r="E5430" s="8"/>
      <c r="F5430" s="8"/>
    </row>
    <row r="5431" spans="2:6">
      <c r="B5431" s="44"/>
      <c r="D5431" s="8"/>
      <c r="E5431" s="8"/>
      <c r="F5431" s="8"/>
    </row>
    <row r="5432" spans="2:6">
      <c r="B5432" s="44"/>
      <c r="D5432" s="8"/>
      <c r="E5432" s="8"/>
      <c r="F5432" s="8"/>
    </row>
    <row r="5433" spans="2:6">
      <c r="B5433" s="44"/>
      <c r="D5433" s="8"/>
      <c r="E5433" s="8"/>
      <c r="F5433" s="8"/>
    </row>
    <row r="5434" spans="2:6">
      <c r="B5434" s="44"/>
      <c r="D5434" s="8"/>
      <c r="E5434" s="8"/>
      <c r="F5434" s="8"/>
    </row>
    <row r="5435" spans="2:6">
      <c r="B5435" s="44"/>
      <c r="D5435" s="8"/>
      <c r="E5435" s="8"/>
      <c r="F5435" s="8"/>
    </row>
    <row r="5436" spans="2:6">
      <c r="B5436" s="44"/>
      <c r="D5436" s="8"/>
      <c r="E5436" s="8"/>
      <c r="F5436" s="8"/>
    </row>
    <row r="5437" spans="2:6">
      <c r="B5437" s="44"/>
      <c r="D5437" s="8"/>
      <c r="E5437" s="8"/>
      <c r="F5437" s="8"/>
    </row>
    <row r="5438" spans="2:6">
      <c r="B5438" s="44"/>
      <c r="D5438" s="8"/>
      <c r="E5438" s="8"/>
      <c r="F5438" s="8"/>
    </row>
    <row r="5439" spans="2:6">
      <c r="B5439" s="44"/>
      <c r="D5439" s="8"/>
      <c r="E5439" s="8"/>
      <c r="F5439" s="8"/>
    </row>
    <row r="5440" spans="2:6">
      <c r="B5440" s="44"/>
      <c r="D5440" s="8"/>
      <c r="E5440" s="8"/>
      <c r="F5440" s="8"/>
    </row>
    <row r="5441" spans="2:6">
      <c r="B5441" s="44"/>
      <c r="D5441" s="8"/>
      <c r="E5441" s="8"/>
      <c r="F5441" s="8"/>
    </row>
    <row r="5442" spans="2:6">
      <c r="B5442" s="44"/>
      <c r="D5442" s="8"/>
      <c r="E5442" s="8"/>
      <c r="F5442" s="8"/>
    </row>
    <row r="5443" spans="2:6">
      <c r="B5443" s="44"/>
      <c r="D5443" s="8"/>
      <c r="E5443" s="8"/>
      <c r="F5443" s="8"/>
    </row>
    <row r="5444" spans="2:6">
      <c r="B5444" s="44"/>
      <c r="D5444" s="8"/>
      <c r="E5444" s="8"/>
      <c r="F5444" s="8"/>
    </row>
    <row r="5445" spans="2:6">
      <c r="B5445" s="44"/>
      <c r="D5445" s="8"/>
      <c r="E5445" s="8"/>
      <c r="F5445" s="8"/>
    </row>
    <row r="5446" spans="2:6">
      <c r="B5446" s="44"/>
      <c r="D5446" s="8"/>
      <c r="E5446" s="8"/>
      <c r="F5446" s="8"/>
    </row>
    <row r="5447" spans="2:6">
      <c r="B5447" s="44"/>
      <c r="D5447" s="8"/>
      <c r="E5447" s="8"/>
      <c r="F5447" s="8"/>
    </row>
    <row r="5448" spans="2:6">
      <c r="B5448" s="44"/>
      <c r="D5448" s="8"/>
      <c r="E5448" s="8"/>
      <c r="F5448" s="8"/>
    </row>
    <row r="5449" spans="2:6">
      <c r="B5449" s="44"/>
      <c r="D5449" s="8"/>
      <c r="E5449" s="8"/>
      <c r="F5449" s="8"/>
    </row>
    <row r="5450" spans="2:6">
      <c r="B5450" s="44"/>
      <c r="D5450" s="8"/>
      <c r="E5450" s="8"/>
      <c r="F5450" s="8"/>
    </row>
    <row r="5451" spans="2:6">
      <c r="B5451" s="44"/>
      <c r="D5451" s="8"/>
      <c r="E5451" s="8"/>
      <c r="F5451" s="8"/>
    </row>
    <row r="5452" spans="2:6">
      <c r="B5452" s="44"/>
      <c r="D5452" s="8"/>
      <c r="E5452" s="8"/>
      <c r="F5452" s="8"/>
    </row>
    <row r="5453" spans="2:6">
      <c r="B5453" s="44"/>
      <c r="D5453" s="8"/>
      <c r="E5453" s="8"/>
      <c r="F5453" s="8"/>
    </row>
    <row r="5454" spans="2:6">
      <c r="B5454" s="44"/>
      <c r="D5454" s="8"/>
      <c r="E5454" s="8"/>
      <c r="F5454" s="8"/>
    </row>
    <row r="5455" spans="2:6">
      <c r="B5455" s="44"/>
      <c r="D5455" s="8"/>
      <c r="E5455" s="8"/>
      <c r="F5455" s="8"/>
    </row>
    <row r="5456" spans="2:6">
      <c r="B5456" s="44"/>
      <c r="D5456" s="8"/>
      <c r="E5456" s="8"/>
      <c r="F5456" s="8"/>
    </row>
    <row r="5457" spans="2:6">
      <c r="B5457" s="44"/>
      <c r="D5457" s="8"/>
      <c r="E5457" s="8"/>
      <c r="F5457" s="8"/>
    </row>
    <row r="5458" spans="2:6">
      <c r="B5458" s="44"/>
      <c r="D5458" s="8"/>
      <c r="E5458" s="8"/>
      <c r="F5458" s="8"/>
    </row>
    <row r="5459" spans="2:6">
      <c r="B5459" s="44"/>
      <c r="D5459" s="8"/>
      <c r="E5459" s="8"/>
      <c r="F5459" s="8"/>
    </row>
    <row r="5460" spans="2:6">
      <c r="B5460" s="44"/>
      <c r="D5460" s="8"/>
      <c r="E5460" s="8"/>
      <c r="F5460" s="8"/>
    </row>
    <row r="5461" spans="2:6">
      <c r="B5461" s="44"/>
      <c r="D5461" s="8"/>
      <c r="E5461" s="8"/>
      <c r="F5461" s="8"/>
    </row>
    <row r="5462" spans="2:6">
      <c r="B5462" s="44"/>
      <c r="D5462" s="8"/>
      <c r="E5462" s="8"/>
      <c r="F5462" s="8"/>
    </row>
    <row r="5463" spans="2:6">
      <c r="B5463" s="44"/>
      <c r="D5463" s="8"/>
      <c r="E5463" s="8"/>
      <c r="F5463" s="8"/>
    </row>
    <row r="5464" spans="2:6">
      <c r="B5464" s="44"/>
      <c r="D5464" s="8"/>
      <c r="E5464" s="8"/>
      <c r="F5464" s="8"/>
    </row>
    <row r="5465" spans="2:6">
      <c r="B5465" s="44"/>
      <c r="D5465" s="8"/>
      <c r="E5465" s="8"/>
      <c r="F5465" s="8"/>
    </row>
    <row r="5466" spans="2:6">
      <c r="B5466" s="44"/>
      <c r="D5466" s="8"/>
      <c r="E5466" s="8"/>
      <c r="F5466" s="8"/>
    </row>
    <row r="5467" spans="2:6">
      <c r="B5467" s="44"/>
      <c r="D5467" s="8"/>
      <c r="E5467" s="8"/>
      <c r="F5467" s="8"/>
    </row>
    <row r="5468" spans="2:6">
      <c r="B5468" s="44"/>
      <c r="D5468" s="8"/>
      <c r="E5468" s="8"/>
      <c r="F5468" s="8"/>
    </row>
    <row r="5469" spans="2:6">
      <c r="B5469" s="44"/>
      <c r="D5469" s="8"/>
      <c r="E5469" s="8"/>
      <c r="F5469" s="8"/>
    </row>
    <row r="5470" spans="2:6">
      <c r="B5470" s="44"/>
      <c r="D5470" s="8"/>
      <c r="E5470" s="8"/>
      <c r="F5470" s="8"/>
    </row>
    <row r="5471" spans="2:6">
      <c r="B5471" s="44"/>
      <c r="D5471" s="8"/>
      <c r="E5471" s="8"/>
      <c r="F5471" s="8"/>
    </row>
    <row r="5472" spans="2:6">
      <c r="B5472" s="44"/>
      <c r="D5472" s="8"/>
      <c r="E5472" s="8"/>
      <c r="F5472" s="8"/>
    </row>
    <row r="5473" spans="2:6">
      <c r="B5473" s="44"/>
      <c r="D5473" s="8"/>
      <c r="E5473" s="8"/>
      <c r="F5473" s="8"/>
    </row>
    <row r="5474" spans="2:6">
      <c r="B5474" s="44"/>
      <c r="D5474" s="8"/>
      <c r="E5474" s="8"/>
      <c r="F5474" s="8"/>
    </row>
    <row r="5475" spans="2:6">
      <c r="B5475" s="44"/>
      <c r="D5475" s="8"/>
      <c r="E5475" s="8"/>
      <c r="F5475" s="8"/>
    </row>
    <row r="5476" spans="2:6">
      <c r="B5476" s="44"/>
      <c r="D5476" s="8"/>
      <c r="E5476" s="8"/>
      <c r="F5476" s="8"/>
    </row>
    <row r="5477" spans="2:6">
      <c r="B5477" s="44"/>
      <c r="D5477" s="8"/>
      <c r="E5477" s="8"/>
      <c r="F5477" s="8"/>
    </row>
    <row r="5478" spans="2:6">
      <c r="B5478" s="44"/>
      <c r="D5478" s="8"/>
      <c r="E5478" s="8"/>
      <c r="F5478" s="8"/>
    </row>
    <row r="5479" spans="2:6">
      <c r="B5479" s="44"/>
      <c r="D5479" s="8"/>
      <c r="E5479" s="8"/>
      <c r="F5479" s="8"/>
    </row>
    <row r="5480" spans="2:6">
      <c r="B5480" s="44"/>
      <c r="D5480" s="8"/>
      <c r="E5480" s="8"/>
      <c r="F5480" s="8"/>
    </row>
    <row r="5481" spans="2:6">
      <c r="B5481" s="44"/>
      <c r="D5481" s="8"/>
      <c r="E5481" s="8"/>
      <c r="F5481" s="8"/>
    </row>
    <row r="5482" spans="2:6">
      <c r="B5482" s="44"/>
      <c r="D5482" s="8"/>
      <c r="E5482" s="8"/>
      <c r="F5482" s="8"/>
    </row>
    <row r="5483" spans="2:6">
      <c r="B5483" s="44"/>
      <c r="D5483" s="8"/>
      <c r="E5483" s="8"/>
      <c r="F5483" s="8"/>
    </row>
    <row r="5484" spans="2:6">
      <c r="B5484" s="44"/>
      <c r="D5484" s="8"/>
      <c r="E5484" s="8"/>
      <c r="F5484" s="8"/>
    </row>
    <row r="5485" spans="2:6">
      <c r="B5485" s="44"/>
      <c r="D5485" s="8"/>
      <c r="E5485" s="8"/>
      <c r="F5485" s="8"/>
    </row>
    <row r="5486" spans="2:6">
      <c r="B5486" s="44"/>
      <c r="D5486" s="8"/>
      <c r="E5486" s="8"/>
      <c r="F5486" s="8"/>
    </row>
    <row r="5487" spans="2:6">
      <c r="B5487" s="44"/>
      <c r="D5487" s="8"/>
      <c r="E5487" s="8"/>
      <c r="F5487" s="8"/>
    </row>
    <row r="5488" spans="2:6">
      <c r="B5488" s="44"/>
      <c r="D5488" s="8"/>
      <c r="E5488" s="8"/>
      <c r="F5488" s="8"/>
    </row>
    <row r="5489" spans="2:6">
      <c r="B5489" s="44"/>
      <c r="D5489" s="8"/>
      <c r="E5489" s="8"/>
      <c r="F5489" s="8"/>
    </row>
    <row r="5490" spans="2:6">
      <c r="B5490" s="44"/>
      <c r="D5490" s="8"/>
      <c r="E5490" s="8"/>
      <c r="F5490" s="8"/>
    </row>
    <row r="5491" spans="2:6">
      <c r="B5491" s="44"/>
      <c r="D5491" s="8"/>
      <c r="E5491" s="8"/>
      <c r="F5491" s="8"/>
    </row>
    <row r="5492" spans="2:6">
      <c r="B5492" s="44"/>
      <c r="D5492" s="8"/>
      <c r="E5492" s="8"/>
      <c r="F5492" s="8"/>
    </row>
    <row r="5493" spans="2:6">
      <c r="B5493" s="44"/>
      <c r="D5493" s="8"/>
      <c r="E5493" s="8"/>
      <c r="F5493" s="8"/>
    </row>
    <row r="5494" spans="2:6">
      <c r="B5494" s="44"/>
      <c r="D5494" s="8"/>
      <c r="E5494" s="8"/>
      <c r="F5494" s="8"/>
    </row>
    <row r="5495" spans="2:6">
      <c r="B5495" s="44"/>
      <c r="D5495" s="8"/>
      <c r="E5495" s="8"/>
      <c r="F5495" s="8"/>
    </row>
    <row r="5496" spans="2:6">
      <c r="B5496" s="44"/>
      <c r="D5496" s="8"/>
      <c r="E5496" s="8"/>
      <c r="F5496" s="8"/>
    </row>
    <row r="5497" spans="2:6">
      <c r="B5497" s="44"/>
      <c r="D5497" s="8"/>
      <c r="E5497" s="8"/>
      <c r="F5497" s="8"/>
    </row>
    <row r="5498" spans="2:6">
      <c r="B5498" s="44"/>
      <c r="D5498" s="8"/>
      <c r="E5498" s="8"/>
      <c r="F5498" s="8"/>
    </row>
    <row r="5499" spans="2:6">
      <c r="B5499" s="44"/>
      <c r="D5499" s="8"/>
      <c r="E5499" s="8"/>
      <c r="F5499" s="8"/>
    </row>
    <row r="5500" spans="2:6">
      <c r="B5500" s="44"/>
      <c r="D5500" s="8"/>
      <c r="E5500" s="8"/>
      <c r="F5500" s="8"/>
    </row>
    <row r="5501" spans="2:6">
      <c r="B5501" s="44"/>
      <c r="D5501" s="8"/>
      <c r="E5501" s="8"/>
      <c r="F5501" s="8"/>
    </row>
    <row r="5502" spans="2:6">
      <c r="B5502" s="44"/>
      <c r="D5502" s="8"/>
      <c r="E5502" s="8"/>
      <c r="F5502" s="8"/>
    </row>
    <row r="5503" spans="2:6">
      <c r="B5503" s="44"/>
      <c r="D5503" s="8"/>
      <c r="E5503" s="8"/>
      <c r="F5503" s="8"/>
    </row>
    <row r="5504" spans="2:6">
      <c r="B5504" s="44"/>
      <c r="D5504" s="8"/>
      <c r="E5504" s="8"/>
      <c r="F5504" s="8"/>
    </row>
    <row r="5505" spans="2:6">
      <c r="B5505" s="44"/>
      <c r="D5505" s="8"/>
      <c r="E5505" s="8"/>
      <c r="F5505" s="8"/>
    </row>
    <row r="5506" spans="2:6">
      <c r="B5506" s="44"/>
      <c r="D5506" s="8"/>
      <c r="E5506" s="8"/>
      <c r="F5506" s="8"/>
    </row>
    <row r="5507" spans="2:6">
      <c r="B5507" s="44"/>
      <c r="D5507" s="8"/>
      <c r="E5507" s="8"/>
      <c r="F5507" s="8"/>
    </row>
    <row r="5508" spans="2:6">
      <c r="B5508" s="44"/>
      <c r="D5508" s="8"/>
      <c r="E5508" s="8"/>
      <c r="F5508" s="8"/>
    </row>
    <row r="5509" spans="2:6">
      <c r="B5509" s="44"/>
      <c r="D5509" s="8"/>
      <c r="E5509" s="8"/>
      <c r="F5509" s="8"/>
    </row>
    <row r="5510" spans="2:6">
      <c r="B5510" s="44"/>
      <c r="D5510" s="8"/>
      <c r="E5510" s="8"/>
      <c r="F5510" s="8"/>
    </row>
    <row r="5511" spans="2:6">
      <c r="B5511" s="44"/>
      <c r="D5511" s="8"/>
      <c r="E5511" s="8"/>
      <c r="F5511" s="8"/>
    </row>
    <row r="5512" spans="2:6">
      <c r="B5512" s="44"/>
      <c r="D5512" s="8"/>
      <c r="E5512" s="8"/>
      <c r="F5512" s="8"/>
    </row>
    <row r="5513" spans="2:6">
      <c r="B5513" s="44"/>
      <c r="D5513" s="8"/>
      <c r="E5513" s="8"/>
      <c r="F5513" s="8"/>
    </row>
    <row r="5514" spans="2:6">
      <c r="B5514" s="44"/>
      <c r="D5514" s="8"/>
      <c r="E5514" s="8"/>
      <c r="F5514" s="8"/>
    </row>
    <row r="5515" spans="2:6">
      <c r="B5515" s="44"/>
      <c r="D5515" s="8"/>
      <c r="E5515" s="8"/>
      <c r="F5515" s="8"/>
    </row>
    <row r="5516" spans="2:6">
      <c r="B5516" s="44"/>
      <c r="D5516" s="8"/>
      <c r="E5516" s="8"/>
      <c r="F5516" s="8"/>
    </row>
    <row r="5517" spans="2:6">
      <c r="B5517" s="44"/>
      <c r="D5517" s="8"/>
      <c r="E5517" s="8"/>
      <c r="F5517" s="8"/>
    </row>
    <row r="5518" spans="2:6">
      <c r="B5518" s="44"/>
      <c r="D5518" s="8"/>
      <c r="E5518" s="8"/>
      <c r="F5518" s="8"/>
    </row>
    <row r="5519" spans="2:6">
      <c r="B5519" s="44"/>
      <c r="D5519" s="8"/>
      <c r="E5519" s="8"/>
      <c r="F5519" s="8"/>
    </row>
    <row r="5520" spans="2:6">
      <c r="B5520" s="44"/>
      <c r="D5520" s="8"/>
      <c r="E5520" s="8"/>
      <c r="F5520" s="8"/>
    </row>
    <row r="5521" spans="2:6">
      <c r="B5521" s="44"/>
      <c r="D5521" s="8"/>
      <c r="E5521" s="8"/>
      <c r="F5521" s="8"/>
    </row>
    <row r="5522" spans="2:6">
      <c r="B5522" s="44"/>
      <c r="D5522" s="8"/>
      <c r="E5522" s="8"/>
      <c r="F5522" s="8"/>
    </row>
    <row r="5523" spans="2:6">
      <c r="B5523" s="44"/>
      <c r="D5523" s="8"/>
      <c r="E5523" s="8"/>
      <c r="F5523" s="8"/>
    </row>
    <row r="5524" spans="2:6">
      <c r="B5524" s="44"/>
      <c r="D5524" s="8"/>
      <c r="E5524" s="8"/>
      <c r="F5524" s="8"/>
    </row>
    <row r="5525" spans="2:6">
      <c r="B5525" s="44"/>
      <c r="D5525" s="8"/>
      <c r="E5525" s="8"/>
      <c r="F5525" s="8"/>
    </row>
    <row r="5526" spans="2:6">
      <c r="B5526" s="44"/>
      <c r="D5526" s="8"/>
      <c r="E5526" s="8"/>
      <c r="F5526" s="8"/>
    </row>
    <row r="5527" spans="2:6">
      <c r="B5527" s="44"/>
      <c r="D5527" s="8"/>
      <c r="E5527" s="8"/>
      <c r="F5527" s="8"/>
    </row>
    <row r="5528" spans="2:6">
      <c r="B5528" s="44"/>
      <c r="D5528" s="8"/>
      <c r="E5528" s="8"/>
      <c r="F5528" s="8"/>
    </row>
    <row r="5529" spans="2:6">
      <c r="B5529" s="44"/>
      <c r="D5529" s="8"/>
      <c r="E5529" s="8"/>
      <c r="F5529" s="8"/>
    </row>
    <row r="5530" spans="2:6">
      <c r="B5530" s="44"/>
      <c r="D5530" s="8"/>
      <c r="E5530" s="8"/>
      <c r="F5530" s="8"/>
    </row>
    <row r="5531" spans="2:6">
      <c r="B5531" s="44"/>
      <c r="D5531" s="8"/>
      <c r="E5531" s="8"/>
      <c r="F5531" s="8"/>
    </row>
    <row r="5532" spans="2:6">
      <c r="B5532" s="44"/>
      <c r="D5532" s="8"/>
      <c r="E5532" s="8"/>
      <c r="F5532" s="8"/>
    </row>
    <row r="5533" spans="2:6">
      <c r="B5533" s="44"/>
      <c r="D5533" s="8"/>
      <c r="E5533" s="8"/>
      <c r="F5533" s="8"/>
    </row>
    <row r="5534" spans="2:6">
      <c r="B5534" s="44"/>
      <c r="D5534" s="8"/>
      <c r="E5534" s="8"/>
      <c r="F5534" s="8"/>
    </row>
    <row r="5535" spans="2:6">
      <c r="B5535" s="44"/>
      <c r="D5535" s="8"/>
      <c r="E5535" s="8"/>
      <c r="F5535" s="8"/>
    </row>
    <row r="5536" spans="2:6">
      <c r="B5536" s="44"/>
      <c r="D5536" s="8"/>
      <c r="E5536" s="8"/>
      <c r="F5536" s="8"/>
    </row>
    <row r="5537" spans="2:6">
      <c r="B5537" s="44"/>
      <c r="D5537" s="8"/>
      <c r="E5537" s="8"/>
      <c r="F5537" s="8"/>
    </row>
    <row r="5538" spans="2:6">
      <c r="B5538" s="44"/>
      <c r="D5538" s="8"/>
      <c r="E5538" s="8"/>
      <c r="F5538" s="8"/>
    </row>
    <row r="5539" spans="2:6">
      <c r="B5539" s="44"/>
      <c r="D5539" s="8"/>
      <c r="E5539" s="8"/>
      <c r="F5539" s="8"/>
    </row>
    <row r="5540" spans="2:6">
      <c r="B5540" s="44"/>
      <c r="D5540" s="8"/>
      <c r="E5540" s="8"/>
      <c r="F5540" s="8"/>
    </row>
    <row r="5541" spans="2:6">
      <c r="B5541" s="44"/>
      <c r="D5541" s="8"/>
      <c r="E5541" s="8"/>
      <c r="F5541" s="8"/>
    </row>
    <row r="5542" spans="2:6">
      <c r="B5542" s="44"/>
      <c r="D5542" s="8"/>
      <c r="E5542" s="8"/>
      <c r="F5542" s="8"/>
    </row>
    <row r="5543" spans="2:6">
      <c r="B5543" s="44"/>
      <c r="D5543" s="8"/>
      <c r="E5543" s="8"/>
      <c r="F5543" s="8"/>
    </row>
    <row r="5544" spans="2:6">
      <c r="B5544" s="44"/>
      <c r="D5544" s="8"/>
      <c r="E5544" s="8"/>
      <c r="F5544" s="8"/>
    </row>
    <row r="5545" spans="2:6">
      <c r="B5545" s="44"/>
      <c r="D5545" s="8"/>
      <c r="E5545" s="8"/>
      <c r="F5545" s="8"/>
    </row>
    <row r="5546" spans="2:6">
      <c r="B5546" s="44"/>
      <c r="D5546" s="8"/>
      <c r="E5546" s="8"/>
      <c r="F5546" s="8"/>
    </row>
    <row r="5547" spans="2:6">
      <c r="B5547" s="44"/>
      <c r="D5547" s="8"/>
      <c r="E5547" s="8"/>
      <c r="F5547" s="8"/>
    </row>
    <row r="5548" spans="2:6">
      <c r="B5548" s="44"/>
      <c r="D5548" s="8"/>
      <c r="E5548" s="8"/>
      <c r="F5548" s="8"/>
    </row>
    <row r="5549" spans="2:6">
      <c r="B5549" s="44"/>
      <c r="D5549" s="8"/>
      <c r="E5549" s="8"/>
      <c r="F5549" s="8"/>
    </row>
    <row r="5550" spans="2:6">
      <c r="B5550" s="44"/>
      <c r="D5550" s="8"/>
      <c r="E5550" s="8"/>
      <c r="F5550" s="8"/>
    </row>
    <row r="5551" spans="2:6">
      <c r="B5551" s="44"/>
      <c r="D5551" s="8"/>
      <c r="E5551" s="8"/>
      <c r="F5551" s="8"/>
    </row>
    <row r="5552" spans="2:6">
      <c r="B5552" s="44"/>
      <c r="D5552" s="8"/>
      <c r="E5552" s="8"/>
      <c r="F5552" s="8"/>
    </row>
    <row r="5553" spans="2:6">
      <c r="B5553" s="44"/>
      <c r="D5553" s="8"/>
      <c r="E5553" s="8"/>
      <c r="F5553" s="8"/>
    </row>
    <row r="5554" spans="2:6">
      <c r="B5554" s="44"/>
      <c r="D5554" s="8"/>
      <c r="E5554" s="8"/>
      <c r="F5554" s="8"/>
    </row>
    <row r="5555" spans="2:6">
      <c r="B5555" s="44"/>
      <c r="D5555" s="8"/>
      <c r="E5555" s="8"/>
      <c r="F5555" s="8"/>
    </row>
    <row r="5556" spans="2:6">
      <c r="B5556" s="44"/>
      <c r="D5556" s="8"/>
      <c r="E5556" s="8"/>
      <c r="F5556" s="8"/>
    </row>
    <row r="5557" spans="2:6">
      <c r="B5557" s="44"/>
      <c r="D5557" s="8"/>
      <c r="E5557" s="8"/>
      <c r="F5557" s="8"/>
    </row>
    <row r="5558" spans="2:6">
      <c r="B5558" s="44"/>
      <c r="D5558" s="8"/>
      <c r="E5558" s="8"/>
      <c r="F5558" s="8"/>
    </row>
    <row r="5559" spans="2:6">
      <c r="B5559" s="44"/>
      <c r="D5559" s="8"/>
      <c r="E5559" s="8"/>
      <c r="F5559" s="8"/>
    </row>
    <row r="5560" spans="2:6">
      <c r="B5560" s="44"/>
      <c r="D5560" s="8"/>
      <c r="E5560" s="8"/>
      <c r="F5560" s="8"/>
    </row>
    <row r="5561" spans="2:6">
      <c r="B5561" s="44"/>
      <c r="D5561" s="8"/>
      <c r="E5561" s="8"/>
      <c r="F5561" s="8"/>
    </row>
    <row r="5562" spans="2:6">
      <c r="B5562" s="44"/>
      <c r="D5562" s="8"/>
      <c r="E5562" s="8"/>
      <c r="F5562" s="8"/>
    </row>
    <row r="5563" spans="2:6">
      <c r="B5563" s="44"/>
      <c r="D5563" s="8"/>
      <c r="E5563" s="8"/>
      <c r="F5563" s="8"/>
    </row>
    <row r="5564" spans="2:6">
      <c r="B5564" s="44"/>
      <c r="D5564" s="8"/>
      <c r="E5564" s="8"/>
      <c r="F5564" s="8"/>
    </row>
    <row r="5565" spans="2:6">
      <c r="B5565" s="44"/>
      <c r="D5565" s="8"/>
      <c r="E5565" s="8"/>
      <c r="F5565" s="8"/>
    </row>
    <row r="5566" spans="2:6">
      <c r="B5566" s="44"/>
      <c r="D5566" s="8"/>
      <c r="E5566" s="8"/>
      <c r="F5566" s="8"/>
    </row>
    <row r="5567" spans="2:6">
      <c r="B5567" s="44"/>
      <c r="D5567" s="8"/>
      <c r="E5567" s="8"/>
      <c r="F5567" s="8"/>
    </row>
    <row r="5568" spans="2:6">
      <c r="B5568" s="44"/>
      <c r="D5568" s="8"/>
      <c r="E5568" s="8"/>
      <c r="F5568" s="8"/>
    </row>
    <row r="5569" spans="2:6">
      <c r="B5569" s="44"/>
      <c r="D5569" s="8"/>
      <c r="E5569" s="8"/>
      <c r="F5569" s="8"/>
    </row>
    <row r="5570" spans="2:6">
      <c r="B5570" s="44"/>
      <c r="D5570" s="8"/>
      <c r="E5570" s="8"/>
      <c r="F5570" s="8"/>
    </row>
    <row r="5571" spans="2:6">
      <c r="B5571" s="44"/>
      <c r="D5571" s="8"/>
      <c r="E5571" s="8"/>
      <c r="F5571" s="8"/>
    </row>
    <row r="5572" spans="2:6">
      <c r="B5572" s="44"/>
      <c r="D5572" s="8"/>
      <c r="E5572" s="8"/>
      <c r="F5572" s="8"/>
    </row>
    <row r="5573" spans="2:6">
      <c r="B5573" s="44"/>
      <c r="D5573" s="8"/>
      <c r="E5573" s="8"/>
      <c r="F5573" s="8"/>
    </row>
    <row r="5574" spans="2:6">
      <c r="B5574" s="44"/>
      <c r="D5574" s="8"/>
      <c r="E5574" s="8"/>
      <c r="F5574" s="8"/>
    </row>
    <row r="5575" spans="2:6">
      <c r="B5575" s="44"/>
      <c r="D5575" s="8"/>
      <c r="E5575" s="8"/>
      <c r="F5575" s="8"/>
    </row>
    <row r="5576" spans="2:6">
      <c r="B5576" s="44"/>
      <c r="D5576" s="8"/>
      <c r="E5576" s="8"/>
      <c r="F5576" s="8"/>
    </row>
    <row r="5577" spans="2:6">
      <c r="B5577" s="44"/>
      <c r="D5577" s="8"/>
      <c r="E5577" s="8"/>
      <c r="F5577" s="8"/>
    </row>
    <row r="5578" spans="2:6">
      <c r="B5578" s="44"/>
      <c r="D5578" s="8"/>
      <c r="E5578" s="8"/>
      <c r="F5578" s="8"/>
    </row>
    <row r="5579" spans="2:6">
      <c r="B5579" s="44"/>
      <c r="D5579" s="8"/>
      <c r="E5579" s="8"/>
      <c r="F5579" s="8"/>
    </row>
    <row r="5580" spans="2:6">
      <c r="B5580" s="44"/>
      <c r="D5580" s="8"/>
      <c r="E5580" s="8"/>
      <c r="F5580" s="8"/>
    </row>
    <row r="5581" spans="2:6">
      <c r="B5581" s="44"/>
      <c r="D5581" s="8"/>
      <c r="E5581" s="8"/>
      <c r="F5581" s="8"/>
    </row>
    <row r="5582" spans="2:6">
      <c r="B5582" s="44"/>
      <c r="D5582" s="8"/>
      <c r="E5582" s="8"/>
      <c r="F5582" s="8"/>
    </row>
    <row r="5583" spans="2:6">
      <c r="B5583" s="44"/>
      <c r="D5583" s="8"/>
      <c r="E5583" s="8"/>
      <c r="F5583" s="8"/>
    </row>
    <row r="5584" spans="2:6">
      <c r="B5584" s="44"/>
      <c r="D5584" s="8"/>
      <c r="E5584" s="8"/>
      <c r="F5584" s="8"/>
    </row>
    <row r="5585" spans="2:6">
      <c r="B5585" s="44"/>
      <c r="D5585" s="8"/>
      <c r="E5585" s="8"/>
      <c r="F5585" s="8"/>
    </row>
    <row r="5586" spans="2:6">
      <c r="B5586" s="44"/>
      <c r="D5586" s="8"/>
      <c r="E5586" s="8"/>
      <c r="F5586" s="8"/>
    </row>
    <row r="5587" spans="2:6">
      <c r="B5587" s="44"/>
      <c r="D5587" s="8"/>
      <c r="E5587" s="8"/>
      <c r="F5587" s="8"/>
    </row>
    <row r="5588" spans="2:6">
      <c r="B5588" s="44"/>
      <c r="D5588" s="8"/>
      <c r="E5588" s="8"/>
      <c r="F5588" s="8"/>
    </row>
    <row r="5589" spans="2:6">
      <c r="B5589" s="44"/>
      <c r="D5589" s="8"/>
      <c r="E5589" s="8"/>
      <c r="F5589" s="8"/>
    </row>
    <row r="5590" spans="2:6">
      <c r="B5590" s="44"/>
      <c r="D5590" s="8"/>
      <c r="E5590" s="8"/>
      <c r="F5590" s="8"/>
    </row>
    <row r="5591" spans="2:6">
      <c r="B5591" s="44"/>
      <c r="D5591" s="8"/>
      <c r="E5591" s="8"/>
      <c r="F5591" s="8"/>
    </row>
    <row r="5592" spans="2:6">
      <c r="B5592" s="44"/>
      <c r="D5592" s="8"/>
      <c r="E5592" s="8"/>
      <c r="F5592" s="8"/>
    </row>
    <row r="5593" spans="2:6">
      <c r="B5593" s="44"/>
      <c r="D5593" s="8"/>
      <c r="E5593" s="8"/>
      <c r="F5593" s="8"/>
    </row>
    <row r="5594" spans="2:6">
      <c r="B5594" s="44"/>
      <c r="D5594" s="8"/>
      <c r="E5594" s="8"/>
      <c r="F5594" s="8"/>
    </row>
    <row r="5595" spans="2:6">
      <c r="B5595" s="44"/>
      <c r="D5595" s="8"/>
      <c r="E5595" s="8"/>
      <c r="F5595" s="8"/>
    </row>
    <row r="5596" spans="2:6">
      <c r="B5596" s="44"/>
      <c r="D5596" s="8"/>
      <c r="E5596" s="8"/>
      <c r="F5596" s="8"/>
    </row>
    <row r="5597" spans="2:6">
      <c r="B5597" s="44"/>
      <c r="D5597" s="8"/>
      <c r="E5597" s="8"/>
      <c r="F5597" s="8"/>
    </row>
    <row r="5598" spans="2:6">
      <c r="B5598" s="44"/>
      <c r="D5598" s="8"/>
      <c r="E5598" s="8"/>
      <c r="F5598" s="8"/>
    </row>
    <row r="5599" spans="2:6">
      <c r="B5599" s="44"/>
      <c r="D5599" s="8"/>
      <c r="E5599" s="8"/>
      <c r="F5599" s="8"/>
    </row>
    <row r="5600" spans="2:6">
      <c r="B5600" s="44"/>
      <c r="D5600" s="8"/>
      <c r="E5600" s="8"/>
      <c r="F5600" s="8"/>
    </row>
    <row r="5601" spans="2:6">
      <c r="B5601" s="44"/>
      <c r="D5601" s="8"/>
      <c r="E5601" s="8"/>
      <c r="F5601" s="8"/>
    </row>
    <row r="5602" spans="2:6">
      <c r="B5602" s="44"/>
      <c r="D5602" s="8"/>
      <c r="E5602" s="8"/>
      <c r="F5602" s="8"/>
    </row>
    <row r="5603" spans="2:6">
      <c r="B5603" s="44"/>
      <c r="D5603" s="8"/>
      <c r="E5603" s="8"/>
      <c r="F5603" s="8"/>
    </row>
    <row r="5604" spans="2:6">
      <c r="B5604" s="44"/>
      <c r="D5604" s="8"/>
      <c r="E5604" s="8"/>
      <c r="F5604" s="8"/>
    </row>
    <row r="5605" spans="2:6">
      <c r="B5605" s="44"/>
      <c r="D5605" s="8"/>
      <c r="E5605" s="8"/>
      <c r="F5605" s="8"/>
    </row>
    <row r="5606" spans="2:6">
      <c r="B5606" s="44"/>
      <c r="D5606" s="8"/>
      <c r="E5606" s="8"/>
      <c r="F5606" s="8"/>
    </row>
    <row r="5607" spans="2:6">
      <c r="B5607" s="44"/>
      <c r="D5607" s="8"/>
      <c r="E5607" s="8"/>
      <c r="F5607" s="8"/>
    </row>
    <row r="5608" spans="2:6">
      <c r="B5608" s="44"/>
      <c r="D5608" s="8"/>
      <c r="E5608" s="8"/>
      <c r="F5608" s="8"/>
    </row>
    <row r="5609" spans="2:6">
      <c r="B5609" s="44"/>
      <c r="D5609" s="8"/>
      <c r="E5609" s="8"/>
      <c r="F5609" s="8"/>
    </row>
    <row r="5610" spans="2:6">
      <c r="B5610" s="44"/>
      <c r="D5610" s="8"/>
      <c r="E5610" s="8"/>
      <c r="F5610" s="8"/>
    </row>
    <row r="5611" spans="2:6">
      <c r="B5611" s="44"/>
      <c r="D5611" s="8"/>
      <c r="E5611" s="8"/>
      <c r="F5611" s="8"/>
    </row>
    <row r="5612" spans="2:6">
      <c r="B5612" s="44"/>
      <c r="D5612" s="8"/>
      <c r="E5612" s="8"/>
      <c r="F5612" s="8"/>
    </row>
    <row r="5613" spans="2:6">
      <c r="B5613" s="44"/>
      <c r="D5613" s="8"/>
      <c r="E5613" s="8"/>
      <c r="F5613" s="8"/>
    </row>
    <row r="5614" spans="2:6">
      <c r="B5614" s="44"/>
      <c r="D5614" s="8"/>
      <c r="E5614" s="8"/>
      <c r="F5614" s="8"/>
    </row>
    <row r="5615" spans="2:6">
      <c r="B5615" s="44"/>
      <c r="D5615" s="8"/>
      <c r="E5615" s="8"/>
      <c r="F5615" s="8"/>
    </row>
    <row r="5616" spans="2:6">
      <c r="B5616" s="44"/>
      <c r="D5616" s="8"/>
      <c r="E5616" s="8"/>
      <c r="F5616" s="8"/>
    </row>
    <row r="5617" spans="2:6">
      <c r="B5617" s="44"/>
      <c r="D5617" s="8"/>
      <c r="E5617" s="8"/>
      <c r="F5617" s="8"/>
    </row>
    <row r="5618" spans="2:6">
      <c r="B5618" s="44"/>
      <c r="D5618" s="8"/>
      <c r="E5618" s="8"/>
      <c r="F5618" s="8"/>
    </row>
    <row r="5619" spans="2:6">
      <c r="B5619" s="44"/>
      <c r="D5619" s="8"/>
      <c r="E5619" s="8"/>
      <c r="F5619" s="8"/>
    </row>
    <row r="5620" spans="2:6">
      <c r="B5620" s="44"/>
      <c r="D5620" s="8"/>
      <c r="E5620" s="8"/>
      <c r="F5620" s="8"/>
    </row>
    <row r="5621" spans="2:6">
      <c r="B5621" s="44"/>
      <c r="D5621" s="8"/>
      <c r="E5621" s="8"/>
      <c r="F5621" s="8"/>
    </row>
    <row r="5622" spans="2:6">
      <c r="B5622" s="44"/>
      <c r="D5622" s="8"/>
      <c r="E5622" s="8"/>
      <c r="F5622" s="8"/>
    </row>
    <row r="5623" spans="2:6">
      <c r="B5623" s="44"/>
      <c r="D5623" s="8"/>
      <c r="E5623" s="8"/>
      <c r="F5623" s="8"/>
    </row>
    <row r="5624" spans="2:6">
      <c r="B5624" s="44"/>
      <c r="D5624" s="8"/>
      <c r="E5624" s="8"/>
      <c r="F5624" s="8"/>
    </row>
    <row r="5625" spans="2:6">
      <c r="B5625" s="44"/>
      <c r="D5625" s="8"/>
      <c r="E5625" s="8"/>
      <c r="F5625" s="8"/>
    </row>
    <row r="5626" spans="2:6">
      <c r="B5626" s="44"/>
      <c r="D5626" s="8"/>
      <c r="E5626" s="8"/>
      <c r="F5626" s="8"/>
    </row>
    <row r="5627" spans="2:6">
      <c r="B5627" s="44"/>
      <c r="D5627" s="8"/>
      <c r="E5627" s="8"/>
      <c r="F5627" s="8"/>
    </row>
    <row r="5628" spans="2:6">
      <c r="B5628" s="44"/>
      <c r="D5628" s="8"/>
      <c r="E5628" s="8"/>
      <c r="F5628" s="8"/>
    </row>
    <row r="5629" spans="2:6">
      <c r="B5629" s="44"/>
      <c r="D5629" s="8"/>
      <c r="E5629" s="8"/>
      <c r="F5629" s="8"/>
    </row>
    <row r="5630" spans="2:6">
      <c r="B5630" s="44"/>
      <c r="D5630" s="8"/>
      <c r="E5630" s="8"/>
      <c r="F5630" s="8"/>
    </row>
    <row r="5631" spans="2:6">
      <c r="B5631" s="44"/>
      <c r="D5631" s="8"/>
      <c r="E5631" s="8"/>
      <c r="F5631" s="8"/>
    </row>
    <row r="5632" spans="2:6">
      <c r="B5632" s="44"/>
      <c r="D5632" s="8"/>
      <c r="E5632" s="8"/>
      <c r="F5632" s="8"/>
    </row>
    <row r="5633" spans="2:6">
      <c r="B5633" s="44"/>
      <c r="D5633" s="8"/>
      <c r="E5633" s="8"/>
      <c r="F5633" s="8"/>
    </row>
    <row r="5634" spans="2:6">
      <c r="B5634" s="44"/>
      <c r="D5634" s="8"/>
      <c r="E5634" s="8"/>
      <c r="F5634" s="8"/>
    </row>
    <row r="5635" spans="2:6">
      <c r="B5635" s="44"/>
      <c r="D5635" s="8"/>
      <c r="E5635" s="8"/>
      <c r="F5635" s="8"/>
    </row>
    <row r="5636" spans="2:6">
      <c r="B5636" s="44"/>
      <c r="D5636" s="8"/>
      <c r="E5636" s="8"/>
      <c r="F5636" s="8"/>
    </row>
    <row r="5637" spans="2:6">
      <c r="B5637" s="44"/>
      <c r="D5637" s="8"/>
      <c r="E5637" s="8"/>
      <c r="F5637" s="8"/>
    </row>
    <row r="5638" spans="2:6">
      <c r="B5638" s="44"/>
      <c r="D5638" s="8"/>
      <c r="E5638" s="8"/>
      <c r="F5638" s="8"/>
    </row>
    <row r="5639" spans="2:6">
      <c r="B5639" s="44"/>
      <c r="D5639" s="8"/>
      <c r="E5639" s="8"/>
      <c r="F5639" s="8"/>
    </row>
    <row r="5640" spans="2:6">
      <c r="B5640" s="44"/>
      <c r="D5640" s="8"/>
      <c r="E5640" s="8"/>
      <c r="F5640" s="8"/>
    </row>
    <row r="5641" spans="2:6">
      <c r="B5641" s="44"/>
      <c r="D5641" s="8"/>
      <c r="E5641" s="8"/>
      <c r="F5641" s="8"/>
    </row>
    <row r="5642" spans="2:6">
      <c r="B5642" s="44"/>
      <c r="D5642" s="8"/>
      <c r="E5642" s="8"/>
      <c r="F5642" s="8"/>
    </row>
    <row r="5643" spans="2:6">
      <c r="B5643" s="44"/>
      <c r="D5643" s="8"/>
      <c r="E5643" s="8"/>
      <c r="F5643" s="8"/>
    </row>
    <row r="5644" spans="2:6">
      <c r="B5644" s="44"/>
      <c r="D5644" s="8"/>
      <c r="E5644" s="8"/>
      <c r="F5644" s="8"/>
    </row>
    <row r="5645" spans="2:6">
      <c r="B5645" s="44"/>
      <c r="D5645" s="8"/>
      <c r="E5645" s="8"/>
      <c r="F5645" s="8"/>
    </row>
    <row r="5646" spans="2:6">
      <c r="B5646" s="44"/>
      <c r="D5646" s="8"/>
      <c r="E5646" s="8"/>
      <c r="F5646" s="8"/>
    </row>
    <row r="5647" spans="2:6">
      <c r="B5647" s="44"/>
      <c r="D5647" s="8"/>
      <c r="E5647" s="8"/>
      <c r="F5647" s="8"/>
    </row>
    <row r="5648" spans="2:6">
      <c r="B5648" s="44"/>
      <c r="D5648" s="8"/>
      <c r="E5648" s="8"/>
      <c r="F5648" s="8"/>
    </row>
    <row r="5649" spans="2:6">
      <c r="B5649" s="44"/>
      <c r="D5649" s="8"/>
      <c r="E5649" s="8"/>
      <c r="F5649" s="8"/>
    </row>
    <row r="5650" spans="2:6">
      <c r="B5650" s="44"/>
      <c r="D5650" s="8"/>
      <c r="E5650" s="8"/>
      <c r="F5650" s="8"/>
    </row>
    <row r="5651" spans="2:6">
      <c r="B5651" s="44"/>
      <c r="D5651" s="8"/>
      <c r="E5651" s="8"/>
      <c r="F5651" s="8"/>
    </row>
    <row r="5652" spans="2:6">
      <c r="B5652" s="44"/>
      <c r="D5652" s="8"/>
      <c r="E5652" s="8"/>
      <c r="F5652" s="8"/>
    </row>
    <row r="5653" spans="2:6">
      <c r="B5653" s="44"/>
      <c r="D5653" s="8"/>
      <c r="E5653" s="8"/>
      <c r="F5653" s="8"/>
    </row>
    <row r="5654" spans="2:6">
      <c r="B5654" s="44"/>
      <c r="D5654" s="8"/>
      <c r="E5654" s="8"/>
      <c r="F5654" s="8"/>
    </row>
    <row r="5655" spans="2:6">
      <c r="B5655" s="44"/>
      <c r="D5655" s="8"/>
      <c r="E5655" s="8"/>
      <c r="F5655" s="8"/>
    </row>
    <row r="5656" spans="2:6">
      <c r="B5656" s="44"/>
      <c r="D5656" s="8"/>
      <c r="E5656" s="8"/>
      <c r="F5656" s="8"/>
    </row>
    <row r="5657" spans="2:6">
      <c r="B5657" s="44"/>
      <c r="D5657" s="8"/>
      <c r="E5657" s="8"/>
      <c r="F5657" s="8"/>
    </row>
    <row r="5658" spans="2:6">
      <c r="B5658" s="44"/>
      <c r="D5658" s="8"/>
      <c r="E5658" s="8"/>
      <c r="F5658" s="8"/>
    </row>
    <row r="5659" spans="2:6">
      <c r="B5659" s="44"/>
      <c r="D5659" s="8"/>
      <c r="E5659" s="8"/>
      <c r="F5659" s="8"/>
    </row>
    <row r="5660" spans="2:6">
      <c r="B5660" s="44"/>
      <c r="D5660" s="8"/>
      <c r="E5660" s="8"/>
      <c r="F5660" s="8"/>
    </row>
    <row r="5661" spans="2:6">
      <c r="B5661" s="44"/>
      <c r="D5661" s="8"/>
      <c r="E5661" s="8"/>
      <c r="F5661" s="8"/>
    </row>
    <row r="5662" spans="2:6">
      <c r="B5662" s="44"/>
      <c r="D5662" s="8"/>
      <c r="E5662" s="8"/>
      <c r="F5662" s="8"/>
    </row>
    <row r="5663" spans="2:6">
      <c r="B5663" s="44"/>
      <c r="D5663" s="8"/>
      <c r="E5663" s="8"/>
      <c r="F5663" s="8"/>
    </row>
    <row r="5664" spans="2:6">
      <c r="B5664" s="44"/>
      <c r="D5664" s="8"/>
      <c r="E5664" s="8"/>
      <c r="F5664" s="8"/>
    </row>
    <row r="5665" spans="2:6">
      <c r="B5665" s="44"/>
      <c r="D5665" s="8"/>
      <c r="E5665" s="8"/>
      <c r="F5665" s="8"/>
    </row>
    <row r="5666" spans="2:6">
      <c r="B5666" s="44"/>
      <c r="D5666" s="8"/>
      <c r="E5666" s="8"/>
      <c r="F5666" s="8"/>
    </row>
    <row r="5667" spans="2:6">
      <c r="B5667" s="44"/>
      <c r="D5667" s="8"/>
      <c r="E5667" s="8"/>
      <c r="F5667" s="8"/>
    </row>
    <row r="5668" spans="2:6">
      <c r="B5668" s="44"/>
      <c r="D5668" s="8"/>
      <c r="E5668" s="8"/>
      <c r="F5668" s="8"/>
    </row>
    <row r="5669" spans="2:6">
      <c r="B5669" s="44"/>
      <c r="D5669" s="8"/>
      <c r="E5669" s="8"/>
      <c r="F5669" s="8"/>
    </row>
    <row r="5670" spans="2:6">
      <c r="B5670" s="44"/>
      <c r="D5670" s="8"/>
      <c r="E5670" s="8"/>
      <c r="F5670" s="8"/>
    </row>
    <row r="5671" spans="2:6">
      <c r="B5671" s="44"/>
      <c r="D5671" s="8"/>
      <c r="E5671" s="8"/>
      <c r="F5671" s="8"/>
    </row>
    <row r="5672" spans="2:6">
      <c r="B5672" s="44"/>
      <c r="D5672" s="8"/>
      <c r="E5672" s="8"/>
      <c r="F5672" s="8"/>
    </row>
    <row r="5673" spans="2:6">
      <c r="B5673" s="44"/>
      <c r="D5673" s="8"/>
      <c r="E5673" s="8"/>
      <c r="F5673" s="8"/>
    </row>
    <row r="5674" spans="2:6">
      <c r="B5674" s="44"/>
      <c r="D5674" s="8"/>
      <c r="E5674" s="8"/>
      <c r="F5674" s="8"/>
    </row>
    <row r="5675" spans="2:6">
      <c r="B5675" s="44"/>
      <c r="D5675" s="8"/>
      <c r="E5675" s="8"/>
      <c r="F5675" s="8"/>
    </row>
    <row r="5676" spans="2:6">
      <c r="B5676" s="44"/>
      <c r="D5676" s="8"/>
      <c r="E5676" s="8"/>
      <c r="F5676" s="8"/>
    </row>
    <row r="5677" spans="2:6">
      <c r="B5677" s="44"/>
      <c r="D5677" s="8"/>
      <c r="E5677" s="8"/>
      <c r="F5677" s="8"/>
    </row>
    <row r="5678" spans="2:6">
      <c r="B5678" s="44"/>
      <c r="D5678" s="8"/>
      <c r="E5678" s="8"/>
      <c r="F5678" s="8"/>
    </row>
    <row r="5679" spans="2:6">
      <c r="B5679" s="44"/>
      <c r="D5679" s="8"/>
      <c r="E5679" s="8"/>
      <c r="F5679" s="8"/>
    </row>
    <row r="5680" spans="2:6">
      <c r="B5680" s="44"/>
      <c r="D5680" s="8"/>
      <c r="E5680" s="8"/>
      <c r="F5680" s="8"/>
    </row>
    <row r="5681" spans="2:6">
      <c r="B5681" s="44"/>
      <c r="D5681" s="8"/>
      <c r="E5681" s="8"/>
      <c r="F5681" s="8"/>
    </row>
    <row r="5682" spans="2:6">
      <c r="B5682" s="44"/>
      <c r="D5682" s="8"/>
      <c r="E5682" s="8"/>
      <c r="F5682" s="8"/>
    </row>
    <row r="5683" spans="2:6">
      <c r="B5683" s="44"/>
      <c r="D5683" s="8"/>
      <c r="E5683" s="8"/>
      <c r="F5683" s="8"/>
    </row>
    <row r="5684" spans="2:6">
      <c r="B5684" s="44"/>
      <c r="D5684" s="8"/>
      <c r="E5684" s="8"/>
      <c r="F5684" s="8"/>
    </row>
    <row r="5685" spans="2:6">
      <c r="B5685" s="44"/>
      <c r="D5685" s="8"/>
      <c r="E5685" s="8"/>
      <c r="F5685" s="8"/>
    </row>
    <row r="5686" spans="2:6">
      <c r="B5686" s="44"/>
      <c r="D5686" s="8"/>
      <c r="E5686" s="8"/>
      <c r="F5686" s="8"/>
    </row>
    <row r="5687" spans="2:6">
      <c r="B5687" s="44"/>
      <c r="D5687" s="8"/>
      <c r="E5687" s="8"/>
      <c r="F5687" s="8"/>
    </row>
    <row r="5688" spans="2:6">
      <c r="B5688" s="44"/>
      <c r="D5688" s="8"/>
      <c r="E5688" s="8"/>
      <c r="F5688" s="8"/>
    </row>
    <row r="5689" spans="2:6">
      <c r="B5689" s="44"/>
      <c r="D5689" s="8"/>
      <c r="E5689" s="8"/>
      <c r="F5689" s="8"/>
    </row>
    <row r="5690" spans="2:6">
      <c r="B5690" s="44"/>
      <c r="D5690" s="8"/>
      <c r="E5690" s="8"/>
      <c r="F5690" s="8"/>
    </row>
    <row r="5691" spans="2:6">
      <c r="B5691" s="44"/>
      <c r="D5691" s="8"/>
      <c r="E5691" s="8"/>
      <c r="F5691" s="8"/>
    </row>
    <row r="5692" spans="2:6">
      <c r="B5692" s="44"/>
      <c r="D5692" s="8"/>
      <c r="E5692" s="8"/>
      <c r="F5692" s="8"/>
    </row>
    <row r="5693" spans="2:6">
      <c r="B5693" s="44"/>
      <c r="D5693" s="8"/>
      <c r="E5693" s="8"/>
      <c r="F5693" s="8"/>
    </row>
    <row r="5694" spans="2:6">
      <c r="B5694" s="44"/>
      <c r="D5694" s="8"/>
      <c r="E5694" s="8"/>
      <c r="F5694" s="8"/>
    </row>
    <row r="5695" spans="2:6">
      <c r="B5695" s="44"/>
      <c r="D5695" s="8"/>
      <c r="E5695" s="8"/>
      <c r="F5695" s="8"/>
    </row>
    <row r="5696" spans="2:6">
      <c r="B5696" s="44"/>
      <c r="D5696" s="8"/>
      <c r="E5696" s="8"/>
      <c r="F5696" s="8"/>
    </row>
    <row r="5697" spans="2:6">
      <c r="B5697" s="44"/>
      <c r="D5697" s="8"/>
      <c r="E5697" s="8"/>
      <c r="F5697" s="8"/>
    </row>
    <row r="5698" spans="2:6">
      <c r="B5698" s="44"/>
      <c r="D5698" s="8"/>
      <c r="E5698" s="8"/>
      <c r="F5698" s="8"/>
    </row>
    <row r="5699" spans="2:6">
      <c r="B5699" s="44"/>
      <c r="D5699" s="8"/>
      <c r="E5699" s="8"/>
      <c r="F5699" s="8"/>
    </row>
    <row r="5700" spans="2:6">
      <c r="B5700" s="44"/>
      <c r="D5700" s="8"/>
      <c r="E5700" s="8"/>
      <c r="F5700" s="8"/>
    </row>
    <row r="5701" spans="2:6">
      <c r="B5701" s="44"/>
      <c r="D5701" s="8"/>
      <c r="E5701" s="8"/>
      <c r="F5701" s="8"/>
    </row>
    <row r="5702" spans="2:6">
      <c r="B5702" s="44"/>
      <c r="D5702" s="8"/>
      <c r="E5702" s="8"/>
      <c r="F5702" s="8"/>
    </row>
    <row r="5703" spans="2:6">
      <c r="B5703" s="44"/>
      <c r="D5703" s="8"/>
      <c r="E5703" s="8"/>
      <c r="F5703" s="8"/>
    </row>
    <row r="5704" spans="2:6">
      <c r="B5704" s="44"/>
      <c r="D5704" s="8"/>
      <c r="E5704" s="8"/>
      <c r="F5704" s="8"/>
    </row>
    <row r="5705" spans="2:6">
      <c r="B5705" s="44"/>
      <c r="D5705" s="8"/>
      <c r="E5705" s="8"/>
      <c r="F5705" s="8"/>
    </row>
    <row r="5706" spans="2:6">
      <c r="B5706" s="44"/>
      <c r="D5706" s="8"/>
      <c r="E5706" s="8"/>
      <c r="F5706" s="8"/>
    </row>
    <row r="5707" spans="2:6">
      <c r="B5707" s="44"/>
      <c r="D5707" s="8"/>
      <c r="E5707" s="8"/>
      <c r="F5707" s="8"/>
    </row>
    <row r="5708" spans="2:6">
      <c r="B5708" s="44"/>
      <c r="D5708" s="8"/>
      <c r="E5708" s="8"/>
      <c r="F5708" s="8"/>
    </row>
    <row r="5709" spans="2:6">
      <c r="B5709" s="44"/>
      <c r="D5709" s="8"/>
      <c r="E5709" s="8"/>
      <c r="F5709" s="8"/>
    </row>
    <row r="5710" spans="2:6">
      <c r="B5710" s="44"/>
      <c r="D5710" s="8"/>
      <c r="E5710" s="8"/>
      <c r="F5710" s="8"/>
    </row>
    <row r="5711" spans="2:6">
      <c r="B5711" s="44"/>
      <c r="D5711" s="8"/>
      <c r="E5711" s="8"/>
      <c r="F5711" s="8"/>
    </row>
    <row r="5712" spans="2:6">
      <c r="B5712" s="44"/>
      <c r="D5712" s="8"/>
      <c r="E5712" s="8"/>
      <c r="F5712" s="8"/>
    </row>
    <row r="5713" spans="2:6">
      <c r="B5713" s="44"/>
      <c r="D5713" s="8"/>
      <c r="E5713" s="8"/>
      <c r="F5713" s="8"/>
    </row>
    <row r="5714" spans="2:6">
      <c r="B5714" s="44"/>
      <c r="D5714" s="8"/>
      <c r="E5714" s="8"/>
      <c r="F5714" s="8"/>
    </row>
    <row r="5715" spans="2:6">
      <c r="B5715" s="44"/>
      <c r="D5715" s="8"/>
      <c r="E5715" s="8"/>
      <c r="F5715" s="8"/>
    </row>
    <row r="5716" spans="2:6">
      <c r="B5716" s="44"/>
      <c r="D5716" s="8"/>
      <c r="E5716" s="8"/>
      <c r="F5716" s="8"/>
    </row>
    <row r="5717" spans="2:6">
      <c r="B5717" s="44"/>
      <c r="D5717" s="8"/>
      <c r="E5717" s="8"/>
      <c r="F5717" s="8"/>
    </row>
    <row r="5718" spans="2:6">
      <c r="B5718" s="44"/>
      <c r="D5718" s="8"/>
      <c r="E5718" s="8"/>
      <c r="F5718" s="8"/>
    </row>
    <row r="5719" spans="2:6">
      <c r="B5719" s="44"/>
      <c r="D5719" s="8"/>
      <c r="E5719" s="8"/>
      <c r="F5719" s="8"/>
    </row>
    <row r="5720" spans="2:6">
      <c r="B5720" s="44"/>
      <c r="D5720" s="8"/>
      <c r="E5720" s="8"/>
      <c r="F5720" s="8"/>
    </row>
    <row r="5721" spans="2:6">
      <c r="B5721" s="44"/>
      <c r="D5721" s="8"/>
      <c r="E5721" s="8"/>
      <c r="F5721" s="8"/>
    </row>
    <row r="5722" spans="2:6">
      <c r="B5722" s="44"/>
      <c r="D5722" s="8"/>
      <c r="E5722" s="8"/>
      <c r="F5722" s="8"/>
    </row>
    <row r="5723" spans="2:6">
      <c r="B5723" s="44"/>
      <c r="D5723" s="8"/>
      <c r="E5723" s="8"/>
      <c r="F5723" s="8"/>
    </row>
    <row r="5724" spans="2:6">
      <c r="B5724" s="44"/>
      <c r="D5724" s="8"/>
      <c r="E5724" s="8"/>
      <c r="F5724" s="8"/>
    </row>
    <row r="5725" spans="2:6">
      <c r="B5725" s="44"/>
      <c r="D5725" s="8"/>
      <c r="E5725" s="8"/>
      <c r="F5725" s="8"/>
    </row>
    <row r="5726" spans="2:6">
      <c r="B5726" s="44"/>
      <c r="D5726" s="8"/>
      <c r="E5726" s="8"/>
      <c r="F5726" s="8"/>
    </row>
    <row r="5727" spans="2:6">
      <c r="B5727" s="44"/>
      <c r="D5727" s="8"/>
      <c r="E5727" s="8"/>
      <c r="F5727" s="8"/>
    </row>
    <row r="5728" spans="2:6">
      <c r="B5728" s="44"/>
      <c r="D5728" s="8"/>
      <c r="E5728" s="8"/>
      <c r="F5728" s="8"/>
    </row>
    <row r="5729" spans="2:6">
      <c r="B5729" s="44"/>
      <c r="D5729" s="8"/>
      <c r="E5729" s="8"/>
      <c r="F5729" s="8"/>
    </row>
    <row r="5730" spans="2:6">
      <c r="B5730" s="44"/>
      <c r="D5730" s="8"/>
      <c r="E5730" s="8"/>
      <c r="F5730" s="8"/>
    </row>
    <row r="5731" spans="2:6">
      <c r="B5731" s="44"/>
      <c r="D5731" s="8"/>
      <c r="E5731" s="8"/>
      <c r="F5731" s="8"/>
    </row>
    <row r="5732" spans="2:6">
      <c r="B5732" s="44"/>
      <c r="D5732" s="8"/>
      <c r="E5732" s="8"/>
      <c r="F5732" s="8"/>
    </row>
    <row r="5733" spans="2:6">
      <c r="B5733" s="44"/>
      <c r="D5733" s="8"/>
      <c r="E5733" s="8"/>
      <c r="F5733" s="8"/>
    </row>
    <row r="5734" spans="2:6">
      <c r="B5734" s="44"/>
      <c r="D5734" s="8"/>
      <c r="E5734" s="8"/>
      <c r="F5734" s="8"/>
    </row>
    <row r="5735" spans="2:6">
      <c r="B5735" s="44"/>
      <c r="D5735" s="8"/>
      <c r="E5735" s="8"/>
      <c r="F5735" s="8"/>
    </row>
    <row r="5736" spans="2:6">
      <c r="B5736" s="44"/>
      <c r="D5736" s="8"/>
      <c r="E5736" s="8"/>
      <c r="F5736" s="8"/>
    </row>
    <row r="5737" spans="2:6">
      <c r="B5737" s="44"/>
      <c r="D5737" s="8"/>
      <c r="E5737" s="8"/>
      <c r="F5737" s="8"/>
    </row>
    <row r="5738" spans="2:6">
      <c r="B5738" s="44"/>
      <c r="D5738" s="8"/>
      <c r="E5738" s="8"/>
      <c r="F5738" s="8"/>
    </row>
    <row r="5739" spans="2:6">
      <c r="B5739" s="44"/>
      <c r="D5739" s="8"/>
      <c r="E5739" s="8"/>
      <c r="F5739" s="8"/>
    </row>
    <row r="5740" spans="2:6">
      <c r="B5740" s="44"/>
      <c r="D5740" s="8"/>
      <c r="E5740" s="8"/>
      <c r="F5740" s="8"/>
    </row>
    <row r="5741" spans="2:6">
      <c r="B5741" s="44"/>
      <c r="D5741" s="8"/>
      <c r="E5741" s="8"/>
      <c r="F5741" s="8"/>
    </row>
    <row r="5742" spans="2:6">
      <c r="B5742" s="44"/>
      <c r="D5742" s="8"/>
      <c r="E5742" s="8"/>
      <c r="F5742" s="8"/>
    </row>
    <row r="5743" spans="2:6">
      <c r="B5743" s="44"/>
      <c r="D5743" s="8"/>
      <c r="E5743" s="8"/>
      <c r="F5743" s="8"/>
    </row>
    <row r="5744" spans="2:6">
      <c r="B5744" s="44"/>
      <c r="D5744" s="8"/>
      <c r="E5744" s="8"/>
      <c r="F5744" s="8"/>
    </row>
    <row r="5745" spans="2:6">
      <c r="B5745" s="44"/>
      <c r="D5745" s="8"/>
      <c r="E5745" s="8"/>
      <c r="F5745" s="8"/>
    </row>
    <row r="5746" spans="2:6">
      <c r="B5746" s="44"/>
      <c r="D5746" s="8"/>
      <c r="E5746" s="8"/>
      <c r="F5746" s="8"/>
    </row>
    <row r="5747" spans="2:6">
      <c r="B5747" s="44"/>
      <c r="D5747" s="8"/>
      <c r="E5747" s="8"/>
      <c r="F5747" s="8"/>
    </row>
    <row r="5748" spans="2:6">
      <c r="B5748" s="44"/>
      <c r="D5748" s="8"/>
      <c r="E5748" s="8"/>
      <c r="F5748" s="8"/>
    </row>
    <row r="5749" spans="2:6">
      <c r="B5749" s="44"/>
      <c r="D5749" s="8"/>
      <c r="E5749" s="8"/>
      <c r="F5749" s="8"/>
    </row>
    <row r="5750" spans="2:6">
      <c r="B5750" s="44"/>
      <c r="D5750" s="8"/>
      <c r="E5750" s="8"/>
      <c r="F5750" s="8"/>
    </row>
    <row r="5751" spans="2:6">
      <c r="B5751" s="44"/>
      <c r="D5751" s="8"/>
      <c r="E5751" s="8"/>
      <c r="F5751" s="8"/>
    </row>
    <row r="5752" spans="2:6">
      <c r="B5752" s="44"/>
      <c r="D5752" s="8"/>
      <c r="E5752" s="8"/>
      <c r="F5752" s="8"/>
    </row>
    <row r="5753" spans="2:6">
      <c r="B5753" s="44"/>
      <c r="D5753" s="8"/>
      <c r="E5753" s="8"/>
      <c r="F5753" s="8"/>
    </row>
    <row r="5754" spans="2:6">
      <c r="B5754" s="44"/>
      <c r="D5754" s="8"/>
      <c r="E5754" s="8"/>
      <c r="F5754" s="8"/>
    </row>
    <row r="5755" spans="2:6">
      <c r="B5755" s="44"/>
      <c r="D5755" s="8"/>
      <c r="E5755" s="8"/>
      <c r="F5755" s="8"/>
    </row>
    <row r="5756" spans="2:6">
      <c r="B5756" s="44"/>
      <c r="D5756" s="8"/>
      <c r="E5756" s="8"/>
      <c r="F5756" s="8"/>
    </row>
    <row r="5757" spans="2:6">
      <c r="B5757" s="44"/>
      <c r="D5757" s="8"/>
      <c r="E5757" s="8"/>
      <c r="F5757" s="8"/>
    </row>
    <row r="5758" spans="2:6">
      <c r="B5758" s="44"/>
      <c r="D5758" s="8"/>
      <c r="E5758" s="8"/>
      <c r="F5758" s="8"/>
    </row>
    <row r="5759" spans="2:6">
      <c r="B5759" s="44"/>
      <c r="D5759" s="8"/>
      <c r="E5759" s="8"/>
      <c r="F5759" s="8"/>
    </row>
    <row r="5760" spans="2:6">
      <c r="B5760" s="44"/>
      <c r="D5760" s="8"/>
      <c r="E5760" s="8"/>
      <c r="F5760" s="8"/>
    </row>
    <row r="5761" spans="2:6">
      <c r="B5761" s="44"/>
      <c r="D5761" s="8"/>
      <c r="E5761" s="8"/>
      <c r="F5761" s="8"/>
    </row>
    <row r="5762" spans="2:6">
      <c r="B5762" s="44"/>
      <c r="D5762" s="8"/>
      <c r="E5762" s="8"/>
      <c r="F5762" s="8"/>
    </row>
    <row r="5763" spans="2:6">
      <c r="B5763" s="44"/>
      <c r="D5763" s="8"/>
      <c r="E5763" s="8"/>
      <c r="F5763" s="8"/>
    </row>
    <row r="5764" spans="2:6">
      <c r="B5764" s="44"/>
      <c r="D5764" s="8"/>
      <c r="E5764" s="8"/>
      <c r="F5764" s="8"/>
    </row>
    <row r="5765" spans="2:6">
      <c r="B5765" s="44"/>
      <c r="D5765" s="8"/>
      <c r="E5765" s="8"/>
      <c r="F5765" s="8"/>
    </row>
    <row r="5766" spans="2:6">
      <c r="B5766" s="44"/>
      <c r="D5766" s="8"/>
      <c r="E5766" s="8"/>
      <c r="F5766" s="8"/>
    </row>
    <row r="5767" spans="2:6">
      <c r="B5767" s="44"/>
      <c r="D5767" s="8"/>
      <c r="E5767" s="8"/>
      <c r="F5767" s="8"/>
    </row>
    <row r="5768" spans="2:6">
      <c r="B5768" s="44"/>
      <c r="D5768" s="8"/>
      <c r="E5768" s="8"/>
      <c r="F5768" s="8"/>
    </row>
    <row r="5769" spans="2:6">
      <c r="B5769" s="44"/>
      <c r="D5769" s="8"/>
      <c r="E5769" s="8"/>
      <c r="F5769" s="8"/>
    </row>
    <row r="5770" spans="2:6">
      <c r="B5770" s="44"/>
      <c r="D5770" s="8"/>
      <c r="E5770" s="8"/>
      <c r="F5770" s="8"/>
    </row>
    <row r="5771" spans="2:6">
      <c r="B5771" s="44"/>
      <c r="D5771" s="8"/>
      <c r="E5771" s="8"/>
      <c r="F5771" s="8"/>
    </row>
    <row r="5772" spans="2:6">
      <c r="B5772" s="44"/>
      <c r="D5772" s="8"/>
      <c r="E5772" s="8"/>
      <c r="F5772" s="8"/>
    </row>
    <row r="5773" spans="2:6">
      <c r="B5773" s="44"/>
      <c r="D5773" s="8"/>
      <c r="E5773" s="8"/>
      <c r="F5773" s="8"/>
    </row>
    <row r="5774" spans="2:6">
      <c r="B5774" s="44"/>
      <c r="D5774" s="8"/>
      <c r="E5774" s="8"/>
      <c r="F5774" s="8"/>
    </row>
    <row r="5775" spans="2:6">
      <c r="B5775" s="44"/>
      <c r="D5775" s="8"/>
      <c r="E5775" s="8"/>
      <c r="F5775" s="8"/>
    </row>
    <row r="5776" spans="2:6">
      <c r="B5776" s="44"/>
      <c r="D5776" s="8"/>
      <c r="E5776" s="8"/>
      <c r="F5776" s="8"/>
    </row>
    <row r="5777" spans="2:6">
      <c r="B5777" s="44"/>
      <c r="D5777" s="8"/>
      <c r="E5777" s="8"/>
      <c r="F5777" s="8"/>
    </row>
    <row r="5778" spans="2:6">
      <c r="B5778" s="44"/>
      <c r="D5778" s="8"/>
      <c r="E5778" s="8"/>
      <c r="F5778" s="8"/>
    </row>
    <row r="5779" spans="2:6">
      <c r="B5779" s="44"/>
      <c r="D5779" s="8"/>
      <c r="E5779" s="8"/>
      <c r="F5779" s="8"/>
    </row>
    <row r="5780" spans="2:6">
      <c r="B5780" s="44"/>
      <c r="D5780" s="8"/>
      <c r="E5780" s="8"/>
      <c r="F5780" s="8"/>
    </row>
    <row r="5781" spans="2:6">
      <c r="B5781" s="44"/>
      <c r="D5781" s="8"/>
      <c r="E5781" s="8"/>
      <c r="F5781" s="8"/>
    </row>
    <row r="5782" spans="2:6">
      <c r="B5782" s="44"/>
      <c r="D5782" s="8"/>
      <c r="E5782" s="8"/>
      <c r="F5782" s="8"/>
    </row>
    <row r="5783" spans="2:6">
      <c r="B5783" s="44"/>
      <c r="D5783" s="8"/>
      <c r="E5783" s="8"/>
      <c r="F5783" s="8"/>
    </row>
    <row r="5784" spans="2:6">
      <c r="B5784" s="44"/>
      <c r="D5784" s="8"/>
      <c r="E5784" s="8"/>
      <c r="F5784" s="8"/>
    </row>
    <row r="5785" spans="2:6">
      <c r="B5785" s="44"/>
      <c r="D5785" s="8"/>
      <c r="E5785" s="8"/>
      <c r="F5785" s="8"/>
    </row>
    <row r="5786" spans="2:6">
      <c r="B5786" s="44"/>
      <c r="D5786" s="8"/>
      <c r="E5786" s="8"/>
      <c r="F5786" s="8"/>
    </row>
    <row r="5787" spans="2:6">
      <c r="B5787" s="44"/>
      <c r="D5787" s="8"/>
      <c r="E5787" s="8"/>
      <c r="F5787" s="8"/>
    </row>
    <row r="5788" spans="2:6">
      <c r="B5788" s="44"/>
      <c r="D5788" s="8"/>
      <c r="E5788" s="8"/>
      <c r="F5788" s="8"/>
    </row>
    <row r="5789" spans="2:6">
      <c r="B5789" s="44"/>
      <c r="D5789" s="8"/>
      <c r="E5789" s="8"/>
      <c r="F5789" s="8"/>
    </row>
    <row r="5790" spans="2:6">
      <c r="B5790" s="44"/>
      <c r="D5790" s="8"/>
      <c r="E5790" s="8"/>
      <c r="F5790" s="8"/>
    </row>
    <row r="5791" spans="2:6">
      <c r="B5791" s="44"/>
      <c r="D5791" s="8"/>
      <c r="E5791" s="8"/>
      <c r="F5791" s="8"/>
    </row>
    <row r="5792" spans="2:6">
      <c r="B5792" s="44"/>
      <c r="D5792" s="8"/>
      <c r="E5792" s="8"/>
      <c r="F5792" s="8"/>
    </row>
    <row r="5793" spans="2:6">
      <c r="B5793" s="44"/>
      <c r="D5793" s="8"/>
      <c r="E5793" s="8"/>
      <c r="F5793" s="8"/>
    </row>
    <row r="5794" spans="2:6">
      <c r="B5794" s="44"/>
      <c r="D5794" s="8"/>
      <c r="E5794" s="8"/>
      <c r="F5794" s="8"/>
    </row>
    <row r="5795" spans="2:6">
      <c r="B5795" s="44"/>
      <c r="D5795" s="8"/>
      <c r="E5795" s="8"/>
      <c r="F5795" s="8"/>
    </row>
    <row r="5796" spans="2:6">
      <c r="B5796" s="44"/>
      <c r="D5796" s="8"/>
      <c r="E5796" s="8"/>
      <c r="F5796" s="8"/>
    </row>
    <row r="5797" spans="2:6">
      <c r="B5797" s="44"/>
      <c r="D5797" s="8"/>
      <c r="E5797" s="8"/>
      <c r="F5797" s="8"/>
    </row>
    <row r="5798" spans="2:6">
      <c r="B5798" s="44"/>
      <c r="D5798" s="8"/>
      <c r="E5798" s="8"/>
      <c r="F5798" s="8"/>
    </row>
    <row r="5799" spans="2:6">
      <c r="B5799" s="44"/>
      <c r="D5799" s="8"/>
      <c r="E5799" s="8"/>
      <c r="F5799" s="8"/>
    </row>
    <row r="5800" spans="2:6">
      <c r="B5800" s="44"/>
      <c r="D5800" s="8"/>
      <c r="E5800" s="8"/>
      <c r="F5800" s="8"/>
    </row>
    <row r="5801" spans="2:6">
      <c r="B5801" s="44"/>
      <c r="D5801" s="8"/>
      <c r="E5801" s="8"/>
      <c r="F5801" s="8"/>
    </row>
    <row r="5802" spans="2:6">
      <c r="B5802" s="44"/>
      <c r="D5802" s="8"/>
      <c r="E5802" s="8"/>
      <c r="F5802" s="8"/>
    </row>
    <row r="5803" spans="2:6">
      <c r="B5803" s="44"/>
      <c r="D5803" s="8"/>
      <c r="E5803" s="8"/>
      <c r="F5803" s="8"/>
    </row>
    <row r="5804" spans="2:6">
      <c r="B5804" s="44"/>
      <c r="D5804" s="8"/>
      <c r="E5804" s="8"/>
      <c r="F5804" s="8"/>
    </row>
    <row r="5805" spans="2:6">
      <c r="B5805" s="44"/>
      <c r="D5805" s="8"/>
      <c r="E5805" s="8"/>
      <c r="F5805" s="8"/>
    </row>
    <row r="5806" spans="2:6">
      <c r="B5806" s="44"/>
      <c r="D5806" s="8"/>
      <c r="E5806" s="8"/>
      <c r="F5806" s="8"/>
    </row>
    <row r="5807" spans="2:6">
      <c r="B5807" s="44"/>
      <c r="D5807" s="8"/>
      <c r="E5807" s="8"/>
      <c r="F5807" s="8"/>
    </row>
    <row r="5808" spans="2:6">
      <c r="B5808" s="44"/>
      <c r="D5808" s="8"/>
      <c r="E5808" s="8"/>
      <c r="F5808" s="8"/>
    </row>
    <row r="5809" spans="2:6">
      <c r="B5809" s="44"/>
      <c r="D5809" s="8"/>
      <c r="E5809" s="8"/>
      <c r="F5809" s="8"/>
    </row>
    <row r="5810" spans="2:6">
      <c r="B5810" s="44"/>
      <c r="D5810" s="8"/>
      <c r="E5810" s="8"/>
      <c r="F5810" s="8"/>
    </row>
    <row r="5811" spans="2:6">
      <c r="B5811" s="44"/>
      <c r="D5811" s="8"/>
      <c r="E5811" s="8"/>
      <c r="F5811" s="8"/>
    </row>
    <row r="5812" spans="2:6">
      <c r="B5812" s="44"/>
      <c r="D5812" s="8"/>
      <c r="E5812" s="8"/>
      <c r="F5812" s="8"/>
    </row>
    <row r="5813" spans="2:6">
      <c r="B5813" s="44"/>
      <c r="D5813" s="8"/>
      <c r="E5813" s="8"/>
      <c r="F5813" s="8"/>
    </row>
    <row r="5814" spans="2:6">
      <c r="B5814" s="44"/>
      <c r="D5814" s="8"/>
      <c r="E5814" s="8"/>
      <c r="F5814" s="8"/>
    </row>
    <row r="5815" spans="2:6">
      <c r="B5815" s="44"/>
      <c r="D5815" s="8"/>
      <c r="E5815" s="8"/>
      <c r="F5815" s="8"/>
    </row>
    <row r="5816" spans="2:6">
      <c r="B5816" s="44"/>
      <c r="D5816" s="8"/>
      <c r="E5816" s="8"/>
      <c r="F5816" s="8"/>
    </row>
    <row r="5817" spans="2:6">
      <c r="B5817" s="44"/>
      <c r="D5817" s="8"/>
      <c r="E5817" s="8"/>
      <c r="F5817" s="8"/>
    </row>
    <row r="5818" spans="2:6">
      <c r="B5818" s="44"/>
      <c r="D5818" s="8"/>
      <c r="E5818" s="8"/>
      <c r="F5818" s="8"/>
    </row>
    <row r="5819" spans="2:6">
      <c r="B5819" s="44"/>
      <c r="D5819" s="8"/>
      <c r="E5819" s="8"/>
      <c r="F5819" s="8"/>
    </row>
    <row r="5820" spans="2:6">
      <c r="B5820" s="44"/>
      <c r="D5820" s="8"/>
      <c r="E5820" s="8"/>
      <c r="F5820" s="8"/>
    </row>
    <row r="5821" spans="2:6">
      <c r="B5821" s="44"/>
      <c r="D5821" s="8"/>
      <c r="E5821" s="8"/>
      <c r="F5821" s="8"/>
    </row>
    <row r="5822" spans="2:6">
      <c r="B5822" s="44"/>
      <c r="D5822" s="8"/>
      <c r="E5822" s="8"/>
      <c r="F5822" s="8"/>
    </row>
    <row r="5823" spans="2:6">
      <c r="B5823" s="44"/>
      <c r="D5823" s="8"/>
      <c r="E5823" s="8"/>
      <c r="F5823" s="8"/>
    </row>
    <row r="5824" spans="2:6">
      <c r="B5824" s="44"/>
      <c r="D5824" s="8"/>
      <c r="E5824" s="8"/>
      <c r="F5824" s="8"/>
    </row>
    <row r="5825" spans="2:6">
      <c r="B5825" s="44"/>
      <c r="D5825" s="8"/>
      <c r="E5825" s="8"/>
      <c r="F5825" s="8"/>
    </row>
    <row r="5826" spans="2:6">
      <c r="B5826" s="44"/>
      <c r="D5826" s="8"/>
      <c r="E5826" s="8"/>
      <c r="F5826" s="8"/>
    </row>
    <row r="5827" spans="2:6">
      <c r="B5827" s="44"/>
      <c r="D5827" s="8"/>
      <c r="E5827" s="8"/>
      <c r="F5827" s="8"/>
    </row>
    <row r="5828" spans="2:6">
      <c r="B5828" s="44"/>
      <c r="D5828" s="8"/>
      <c r="E5828" s="8"/>
      <c r="F5828" s="8"/>
    </row>
    <row r="5829" spans="2:6">
      <c r="B5829" s="44"/>
      <c r="D5829" s="8"/>
      <c r="E5829" s="8"/>
      <c r="F5829" s="8"/>
    </row>
    <row r="5830" spans="2:6">
      <c r="B5830" s="44"/>
      <c r="D5830" s="8"/>
      <c r="E5830" s="8"/>
      <c r="F5830" s="8"/>
    </row>
    <row r="5831" spans="2:6">
      <c r="B5831" s="44"/>
      <c r="D5831" s="8"/>
      <c r="E5831" s="8"/>
      <c r="F5831" s="8"/>
    </row>
    <row r="5832" spans="2:6">
      <c r="B5832" s="44"/>
      <c r="D5832" s="8"/>
      <c r="E5832" s="8"/>
      <c r="F5832" s="8"/>
    </row>
    <row r="5833" spans="2:6">
      <c r="B5833" s="44"/>
      <c r="D5833" s="8"/>
      <c r="E5833" s="8"/>
      <c r="F5833" s="8"/>
    </row>
    <row r="5834" spans="2:6">
      <c r="B5834" s="44"/>
      <c r="D5834" s="8"/>
      <c r="E5834" s="8"/>
      <c r="F5834" s="8"/>
    </row>
    <row r="5835" spans="2:6">
      <c r="B5835" s="44"/>
      <c r="D5835" s="8"/>
      <c r="E5835" s="8"/>
      <c r="F5835" s="8"/>
    </row>
    <row r="5836" spans="2:6">
      <c r="B5836" s="44"/>
      <c r="D5836" s="8"/>
      <c r="E5836" s="8"/>
      <c r="F5836" s="8"/>
    </row>
    <row r="5837" spans="2:6">
      <c r="B5837" s="44"/>
      <c r="D5837" s="8"/>
      <c r="E5837" s="8"/>
      <c r="F5837" s="8"/>
    </row>
    <row r="5838" spans="2:6">
      <c r="B5838" s="44"/>
      <c r="D5838" s="8"/>
      <c r="E5838" s="8"/>
      <c r="F5838" s="8"/>
    </row>
    <row r="5839" spans="2:6">
      <c r="B5839" s="44"/>
      <c r="D5839" s="8"/>
      <c r="E5839" s="8"/>
      <c r="F5839" s="8"/>
    </row>
    <row r="5840" spans="2:6">
      <c r="B5840" s="44"/>
      <c r="D5840" s="8"/>
      <c r="E5840" s="8"/>
      <c r="F5840" s="8"/>
    </row>
    <row r="5841" spans="2:6">
      <c r="B5841" s="44"/>
      <c r="D5841" s="8"/>
      <c r="E5841" s="8"/>
      <c r="F5841" s="8"/>
    </row>
    <row r="5842" spans="2:6">
      <c r="B5842" s="44"/>
      <c r="D5842" s="8"/>
      <c r="E5842" s="8"/>
      <c r="F5842" s="8"/>
    </row>
    <row r="5843" spans="2:6">
      <c r="B5843" s="44"/>
      <c r="D5843" s="8"/>
      <c r="E5843" s="8"/>
      <c r="F5843" s="8"/>
    </row>
    <row r="5844" spans="2:6">
      <c r="B5844" s="44"/>
      <c r="D5844" s="8"/>
      <c r="E5844" s="8"/>
      <c r="F5844" s="8"/>
    </row>
    <row r="5845" spans="2:6">
      <c r="B5845" s="44"/>
      <c r="D5845" s="8"/>
      <c r="E5845" s="8"/>
      <c r="F5845" s="8"/>
    </row>
    <row r="5846" spans="2:6">
      <c r="B5846" s="44"/>
      <c r="D5846" s="8"/>
      <c r="E5846" s="8"/>
      <c r="F5846" s="8"/>
    </row>
    <row r="5847" spans="2:6">
      <c r="B5847" s="44"/>
      <c r="D5847" s="8"/>
      <c r="E5847" s="8"/>
      <c r="F5847" s="8"/>
    </row>
    <row r="5848" spans="2:6">
      <c r="B5848" s="44"/>
      <c r="D5848" s="8"/>
      <c r="E5848" s="8"/>
      <c r="F5848" s="8"/>
    </row>
    <row r="5849" spans="2:6">
      <c r="B5849" s="44"/>
      <c r="D5849" s="8"/>
      <c r="E5849" s="8"/>
      <c r="F5849" s="8"/>
    </row>
    <row r="5850" spans="2:6">
      <c r="B5850" s="44"/>
      <c r="D5850" s="8"/>
      <c r="E5850" s="8"/>
      <c r="F5850" s="8"/>
    </row>
    <row r="5851" spans="2:6">
      <c r="B5851" s="44"/>
      <c r="D5851" s="8"/>
      <c r="E5851" s="8"/>
      <c r="F5851" s="8"/>
    </row>
    <row r="5852" spans="2:6">
      <c r="B5852" s="44"/>
      <c r="D5852" s="8"/>
      <c r="E5852" s="8"/>
      <c r="F5852" s="8"/>
    </row>
    <row r="5853" spans="2:6">
      <c r="B5853" s="44"/>
      <c r="D5853" s="8"/>
      <c r="E5853" s="8"/>
      <c r="F5853" s="8"/>
    </row>
    <row r="5854" spans="2:6">
      <c r="B5854" s="44"/>
      <c r="D5854" s="8"/>
      <c r="E5854" s="8"/>
      <c r="F5854" s="8"/>
    </row>
    <row r="5855" spans="2:6">
      <c r="B5855" s="44"/>
      <c r="D5855" s="8"/>
      <c r="E5855" s="8"/>
      <c r="F5855" s="8"/>
    </row>
    <row r="5856" spans="2:6">
      <c r="B5856" s="44"/>
      <c r="D5856" s="8"/>
      <c r="E5856" s="8"/>
      <c r="F5856" s="8"/>
    </row>
    <row r="5857" spans="2:6">
      <c r="B5857" s="44"/>
      <c r="D5857" s="8"/>
      <c r="E5857" s="8"/>
      <c r="F5857" s="8"/>
    </row>
    <row r="5858" spans="2:6">
      <c r="B5858" s="44"/>
      <c r="D5858" s="8"/>
      <c r="E5858" s="8"/>
      <c r="F5858" s="8"/>
    </row>
    <row r="5859" spans="2:6">
      <c r="B5859" s="44"/>
      <c r="D5859" s="8"/>
      <c r="E5859" s="8"/>
      <c r="F5859" s="8"/>
    </row>
    <row r="5860" spans="2:6">
      <c r="B5860" s="44"/>
      <c r="D5860" s="8"/>
      <c r="E5860" s="8"/>
      <c r="F5860" s="8"/>
    </row>
    <row r="5861" spans="2:6">
      <c r="B5861" s="44"/>
      <c r="D5861" s="8"/>
      <c r="E5861" s="8"/>
      <c r="F5861" s="8"/>
    </row>
    <row r="5862" spans="2:6">
      <c r="B5862" s="44"/>
      <c r="D5862" s="8"/>
      <c r="E5862" s="8"/>
      <c r="F5862" s="8"/>
    </row>
    <row r="5863" spans="2:6">
      <c r="B5863" s="44"/>
      <c r="D5863" s="8"/>
      <c r="E5863" s="8"/>
      <c r="F5863" s="8"/>
    </row>
    <row r="5864" spans="2:6">
      <c r="B5864" s="44"/>
      <c r="D5864" s="8"/>
      <c r="E5864" s="8"/>
      <c r="F5864" s="8"/>
    </row>
    <row r="5865" spans="2:6">
      <c r="B5865" s="44"/>
      <c r="D5865" s="8"/>
      <c r="E5865" s="8"/>
      <c r="F5865" s="8"/>
    </row>
    <row r="5866" spans="2:6">
      <c r="B5866" s="44"/>
      <c r="D5866" s="8"/>
      <c r="E5866" s="8"/>
      <c r="F5866" s="8"/>
    </row>
    <row r="5867" spans="2:6">
      <c r="B5867" s="44"/>
      <c r="D5867" s="8"/>
      <c r="E5867" s="8"/>
      <c r="F5867" s="8"/>
    </row>
    <row r="5868" spans="2:6">
      <c r="B5868" s="44"/>
      <c r="D5868" s="8"/>
      <c r="E5868" s="8"/>
      <c r="F5868" s="8"/>
    </row>
    <row r="5869" spans="2:6">
      <c r="B5869" s="44"/>
      <c r="D5869" s="8"/>
      <c r="E5869" s="8"/>
      <c r="F5869" s="8"/>
    </row>
    <row r="5870" spans="2:6">
      <c r="B5870" s="44"/>
      <c r="D5870" s="8"/>
      <c r="E5870" s="8"/>
      <c r="F5870" s="8"/>
    </row>
    <row r="5871" spans="2:6">
      <c r="B5871" s="44"/>
      <c r="D5871" s="8"/>
      <c r="E5871" s="8"/>
      <c r="F5871" s="8"/>
    </row>
    <row r="5872" spans="2:6">
      <c r="B5872" s="44"/>
      <c r="D5872" s="8"/>
      <c r="E5872" s="8"/>
      <c r="F5872" s="8"/>
    </row>
    <row r="5873" spans="2:6">
      <c r="B5873" s="44"/>
      <c r="D5873" s="8"/>
      <c r="E5873" s="8"/>
      <c r="F5873" s="8"/>
    </row>
    <row r="5874" spans="2:6">
      <c r="B5874" s="44"/>
      <c r="D5874" s="8"/>
      <c r="E5874" s="8"/>
      <c r="F5874" s="8"/>
    </row>
    <row r="5875" spans="2:6">
      <c r="B5875" s="44"/>
      <c r="D5875" s="8"/>
      <c r="E5875" s="8"/>
      <c r="F5875" s="8"/>
    </row>
    <row r="5876" spans="2:6">
      <c r="B5876" s="44"/>
      <c r="D5876" s="8"/>
      <c r="E5876" s="8"/>
      <c r="F5876" s="8"/>
    </row>
    <row r="5877" spans="2:6">
      <c r="B5877" s="44"/>
      <c r="D5877" s="8"/>
      <c r="E5877" s="8"/>
      <c r="F5877" s="8"/>
    </row>
    <row r="5878" spans="2:6">
      <c r="B5878" s="44"/>
      <c r="D5878" s="8"/>
      <c r="E5878" s="8"/>
      <c r="F5878" s="8"/>
    </row>
    <row r="5879" spans="2:6">
      <c r="B5879" s="44"/>
      <c r="D5879" s="8"/>
      <c r="E5879" s="8"/>
      <c r="F5879" s="8"/>
    </row>
    <row r="5880" spans="2:6">
      <c r="B5880" s="44"/>
      <c r="D5880" s="8"/>
      <c r="E5880" s="8"/>
      <c r="F5880" s="8"/>
    </row>
    <row r="5881" spans="2:6">
      <c r="B5881" s="44"/>
      <c r="D5881" s="8"/>
      <c r="E5881" s="8"/>
      <c r="F5881" s="8"/>
    </row>
    <row r="5882" spans="2:6">
      <c r="B5882" s="44"/>
      <c r="D5882" s="8"/>
      <c r="E5882" s="8"/>
      <c r="F5882" s="8"/>
    </row>
    <row r="5883" spans="2:6">
      <c r="B5883" s="44"/>
      <c r="D5883" s="8"/>
      <c r="E5883" s="8"/>
      <c r="F5883" s="8"/>
    </row>
    <row r="5884" spans="2:6">
      <c r="B5884" s="44"/>
      <c r="D5884" s="8"/>
      <c r="E5884" s="8"/>
      <c r="F5884" s="8"/>
    </row>
    <row r="5885" spans="2:6">
      <c r="B5885" s="44"/>
      <c r="D5885" s="8"/>
      <c r="E5885" s="8"/>
      <c r="F5885" s="8"/>
    </row>
    <row r="5886" spans="2:6">
      <c r="B5886" s="44"/>
      <c r="D5886" s="8"/>
      <c r="E5886" s="8"/>
      <c r="F5886" s="8"/>
    </row>
    <row r="5887" spans="2:6">
      <c r="B5887" s="44"/>
      <c r="D5887" s="8"/>
      <c r="E5887" s="8"/>
      <c r="F5887" s="8"/>
    </row>
    <row r="5888" spans="2:6">
      <c r="B5888" s="44"/>
      <c r="D5888" s="8"/>
      <c r="E5888" s="8"/>
      <c r="F5888" s="8"/>
    </row>
    <row r="5889" spans="2:6">
      <c r="B5889" s="44"/>
      <c r="D5889" s="8"/>
      <c r="E5889" s="8"/>
      <c r="F5889" s="8"/>
    </row>
    <row r="5890" spans="2:6">
      <c r="B5890" s="44"/>
      <c r="D5890" s="8"/>
      <c r="E5890" s="8"/>
      <c r="F5890" s="8"/>
    </row>
    <row r="5891" spans="2:6">
      <c r="B5891" s="44"/>
      <c r="D5891" s="8"/>
      <c r="E5891" s="8"/>
      <c r="F5891" s="8"/>
    </row>
    <row r="5892" spans="2:6">
      <c r="B5892" s="44"/>
      <c r="D5892" s="8"/>
      <c r="E5892" s="8"/>
      <c r="F5892" s="8"/>
    </row>
    <row r="5893" spans="2:6">
      <c r="B5893" s="44"/>
      <c r="D5893" s="8"/>
      <c r="E5893" s="8"/>
      <c r="F5893" s="8"/>
    </row>
    <row r="5894" spans="2:6">
      <c r="B5894" s="44"/>
      <c r="D5894" s="8"/>
      <c r="E5894" s="8"/>
      <c r="F5894" s="8"/>
    </row>
    <row r="5895" spans="2:6">
      <c r="B5895" s="44"/>
      <c r="D5895" s="8"/>
      <c r="E5895" s="8"/>
      <c r="F5895" s="8"/>
    </row>
    <row r="5896" spans="2:6">
      <c r="B5896" s="44"/>
      <c r="D5896" s="8"/>
      <c r="E5896" s="8"/>
      <c r="F5896" s="8"/>
    </row>
    <row r="5897" spans="2:6">
      <c r="B5897" s="44"/>
      <c r="D5897" s="8"/>
      <c r="E5897" s="8"/>
      <c r="F5897" s="8"/>
    </row>
    <row r="5898" spans="2:6">
      <c r="B5898" s="44"/>
      <c r="D5898" s="8"/>
      <c r="E5898" s="8"/>
      <c r="F5898" s="8"/>
    </row>
    <row r="5899" spans="2:6">
      <c r="B5899" s="44"/>
      <c r="D5899" s="8"/>
      <c r="E5899" s="8"/>
      <c r="F5899" s="8"/>
    </row>
    <row r="5900" spans="2:6">
      <c r="B5900" s="44"/>
      <c r="D5900" s="8"/>
      <c r="E5900" s="8"/>
      <c r="F5900" s="8"/>
    </row>
    <row r="5901" spans="2:6">
      <c r="B5901" s="44"/>
      <c r="D5901" s="8"/>
      <c r="E5901" s="8"/>
      <c r="F5901" s="8"/>
    </row>
    <row r="5902" spans="2:6">
      <c r="B5902" s="44"/>
      <c r="D5902" s="8"/>
      <c r="E5902" s="8"/>
      <c r="F5902" s="8"/>
    </row>
    <row r="5903" spans="2:6">
      <c r="B5903" s="44"/>
      <c r="D5903" s="8"/>
      <c r="E5903" s="8"/>
      <c r="F5903" s="8"/>
    </row>
    <row r="5904" spans="2:6">
      <c r="B5904" s="44"/>
      <c r="D5904" s="8"/>
      <c r="E5904" s="8"/>
      <c r="F5904" s="8"/>
    </row>
    <row r="5905" spans="2:6">
      <c r="B5905" s="44"/>
      <c r="D5905" s="8"/>
      <c r="E5905" s="8"/>
      <c r="F5905" s="8"/>
    </row>
    <row r="5906" spans="2:6">
      <c r="B5906" s="44"/>
      <c r="D5906" s="8"/>
      <c r="E5906" s="8"/>
      <c r="F5906" s="8"/>
    </row>
    <row r="5907" spans="2:6">
      <c r="B5907" s="44"/>
      <c r="D5907" s="8"/>
      <c r="E5907" s="8"/>
      <c r="F5907" s="8"/>
    </row>
    <row r="5908" spans="2:6">
      <c r="B5908" s="44"/>
      <c r="D5908" s="8"/>
      <c r="E5908" s="8"/>
      <c r="F5908" s="8"/>
    </row>
    <row r="5909" spans="2:6">
      <c r="B5909" s="44"/>
      <c r="D5909" s="8"/>
      <c r="E5909" s="8"/>
      <c r="F5909" s="8"/>
    </row>
    <row r="5910" spans="2:6">
      <c r="B5910" s="44"/>
      <c r="D5910" s="8"/>
      <c r="E5910" s="8"/>
      <c r="F5910" s="8"/>
    </row>
    <row r="5911" spans="2:6">
      <c r="B5911" s="44"/>
      <c r="D5911" s="8"/>
      <c r="E5911" s="8"/>
      <c r="F5911" s="8"/>
    </row>
    <row r="5912" spans="2:6">
      <c r="B5912" s="44"/>
      <c r="D5912" s="8"/>
      <c r="E5912" s="8"/>
      <c r="F5912" s="8"/>
    </row>
    <row r="5913" spans="2:6">
      <c r="B5913" s="44"/>
      <c r="D5913" s="8"/>
      <c r="E5913" s="8"/>
      <c r="F5913" s="8"/>
    </row>
    <row r="5914" spans="2:6">
      <c r="B5914" s="44"/>
      <c r="D5914" s="8"/>
      <c r="E5914" s="8"/>
      <c r="F5914" s="8"/>
    </row>
    <row r="5915" spans="2:6">
      <c r="B5915" s="44"/>
      <c r="D5915" s="8"/>
      <c r="E5915" s="8"/>
      <c r="F5915" s="8"/>
    </row>
    <row r="5916" spans="2:6">
      <c r="B5916" s="44"/>
      <c r="D5916" s="8"/>
      <c r="E5916" s="8"/>
      <c r="F5916" s="8"/>
    </row>
    <row r="5917" spans="2:6">
      <c r="B5917" s="44"/>
      <c r="D5917" s="8"/>
      <c r="E5917" s="8"/>
      <c r="F5917" s="8"/>
    </row>
    <row r="5918" spans="2:6">
      <c r="B5918" s="44"/>
      <c r="D5918" s="8"/>
      <c r="E5918" s="8"/>
      <c r="F5918" s="8"/>
    </row>
    <row r="5919" spans="2:6">
      <c r="B5919" s="44"/>
      <c r="D5919" s="8"/>
      <c r="E5919" s="8"/>
      <c r="F5919" s="8"/>
    </row>
    <row r="5920" spans="2:6">
      <c r="B5920" s="44"/>
      <c r="D5920" s="8"/>
      <c r="E5920" s="8"/>
      <c r="F5920" s="8"/>
    </row>
    <row r="5921" spans="2:6">
      <c r="B5921" s="44"/>
      <c r="D5921" s="8"/>
      <c r="E5921" s="8"/>
      <c r="F5921" s="8"/>
    </row>
    <row r="5922" spans="2:6">
      <c r="B5922" s="44"/>
      <c r="D5922" s="8"/>
      <c r="E5922" s="8"/>
      <c r="F5922" s="8"/>
    </row>
    <row r="5923" spans="2:6">
      <c r="B5923" s="44"/>
      <c r="D5923" s="8"/>
      <c r="E5923" s="8"/>
      <c r="F5923" s="8"/>
    </row>
    <row r="5924" spans="2:6">
      <c r="B5924" s="44"/>
      <c r="D5924" s="8"/>
      <c r="E5924" s="8"/>
      <c r="F5924" s="8"/>
    </row>
    <row r="5925" spans="2:6">
      <c r="B5925" s="44"/>
      <c r="D5925" s="8"/>
      <c r="E5925" s="8"/>
      <c r="F5925" s="8"/>
    </row>
    <row r="5926" spans="2:6">
      <c r="B5926" s="44"/>
      <c r="D5926" s="8"/>
      <c r="E5926" s="8"/>
      <c r="F5926" s="8"/>
    </row>
    <row r="5927" spans="2:6">
      <c r="B5927" s="44"/>
      <c r="D5927" s="8"/>
      <c r="E5927" s="8"/>
      <c r="F5927" s="8"/>
    </row>
    <row r="5928" spans="2:6">
      <c r="B5928" s="44"/>
      <c r="D5928" s="8"/>
      <c r="E5928" s="8"/>
      <c r="F5928" s="8"/>
    </row>
    <row r="5929" spans="2:6">
      <c r="B5929" s="44"/>
      <c r="D5929" s="8"/>
      <c r="E5929" s="8"/>
      <c r="F5929" s="8"/>
    </row>
    <row r="5930" spans="2:6">
      <c r="B5930" s="44"/>
      <c r="D5930" s="8"/>
      <c r="E5930" s="8"/>
      <c r="F5930" s="8"/>
    </row>
    <row r="5931" spans="2:6">
      <c r="B5931" s="44"/>
      <c r="D5931" s="8"/>
      <c r="E5931" s="8"/>
      <c r="F5931" s="8"/>
    </row>
    <row r="5932" spans="2:6">
      <c r="B5932" s="44"/>
      <c r="D5932" s="8"/>
      <c r="E5932" s="8"/>
      <c r="F5932" s="8"/>
    </row>
    <row r="5933" spans="2:6">
      <c r="B5933" s="44"/>
      <c r="D5933" s="8"/>
      <c r="E5933" s="8"/>
      <c r="F5933" s="8"/>
    </row>
    <row r="5934" spans="2:6">
      <c r="B5934" s="44"/>
      <c r="D5934" s="8"/>
      <c r="E5934" s="8"/>
      <c r="F5934" s="8"/>
    </row>
    <row r="5935" spans="2:6">
      <c r="B5935" s="44"/>
      <c r="D5935" s="8"/>
      <c r="E5935" s="8"/>
      <c r="F5935" s="8"/>
    </row>
    <row r="5936" spans="2:6">
      <c r="B5936" s="44"/>
      <c r="D5936" s="8"/>
      <c r="E5936" s="8"/>
      <c r="F5936" s="8"/>
    </row>
    <row r="5937" spans="2:6">
      <c r="B5937" s="44"/>
      <c r="D5937" s="8"/>
      <c r="E5937" s="8"/>
      <c r="F5937" s="8"/>
    </row>
    <row r="5938" spans="2:6">
      <c r="B5938" s="44"/>
      <c r="D5938" s="8"/>
      <c r="E5938" s="8"/>
      <c r="F5938" s="8"/>
    </row>
    <row r="5939" spans="2:6">
      <c r="B5939" s="44"/>
      <c r="D5939" s="8"/>
      <c r="E5939" s="8"/>
      <c r="F5939" s="8"/>
    </row>
    <row r="5940" spans="2:6">
      <c r="B5940" s="44"/>
      <c r="D5940" s="8"/>
      <c r="E5940" s="8"/>
      <c r="F5940" s="8"/>
    </row>
    <row r="5941" spans="2:6">
      <c r="B5941" s="44"/>
      <c r="D5941" s="8"/>
      <c r="E5941" s="8"/>
      <c r="F5941" s="8"/>
    </row>
    <row r="5942" spans="2:6">
      <c r="B5942" s="44"/>
      <c r="D5942" s="8"/>
      <c r="E5942" s="8"/>
      <c r="F5942" s="8"/>
    </row>
    <row r="5943" spans="2:6">
      <c r="B5943" s="44"/>
      <c r="D5943" s="8"/>
      <c r="E5943" s="8"/>
      <c r="F5943" s="8"/>
    </row>
    <row r="5944" spans="2:6">
      <c r="B5944" s="44"/>
      <c r="D5944" s="8"/>
      <c r="E5944" s="8"/>
      <c r="F5944" s="8"/>
    </row>
    <row r="5945" spans="2:6">
      <c r="B5945" s="44"/>
      <c r="D5945" s="8"/>
      <c r="E5945" s="8"/>
      <c r="F5945" s="8"/>
    </row>
    <row r="5946" spans="2:6">
      <c r="B5946" s="44"/>
      <c r="D5946" s="8"/>
      <c r="E5946" s="8"/>
      <c r="F5946" s="8"/>
    </row>
    <row r="5947" spans="2:6">
      <c r="B5947" s="44"/>
      <c r="D5947" s="8"/>
      <c r="E5947" s="8"/>
      <c r="F5947" s="8"/>
    </row>
    <row r="5948" spans="2:6">
      <c r="B5948" s="44"/>
      <c r="D5948" s="8"/>
      <c r="E5948" s="8"/>
      <c r="F5948" s="8"/>
    </row>
    <row r="5949" spans="2:6">
      <c r="B5949" s="44"/>
      <c r="D5949" s="8"/>
      <c r="E5949" s="8"/>
      <c r="F5949" s="8"/>
    </row>
    <row r="5950" spans="2:6">
      <c r="B5950" s="44"/>
      <c r="D5950" s="8"/>
      <c r="E5950" s="8"/>
      <c r="F5950" s="8"/>
    </row>
    <row r="5951" spans="2:6">
      <c r="B5951" s="44"/>
      <c r="D5951" s="8"/>
      <c r="E5951" s="8"/>
      <c r="F5951" s="8"/>
    </row>
    <row r="5952" spans="2:6">
      <c r="B5952" s="44"/>
      <c r="D5952" s="8"/>
      <c r="E5952" s="8"/>
      <c r="F5952" s="8"/>
    </row>
    <row r="5953" spans="2:6">
      <c r="B5953" s="44"/>
      <c r="D5953" s="8"/>
      <c r="E5953" s="8"/>
      <c r="F5953" s="8"/>
    </row>
    <row r="5954" spans="2:6">
      <c r="B5954" s="44"/>
      <c r="D5954" s="8"/>
      <c r="E5954" s="8"/>
      <c r="F5954" s="8"/>
    </row>
    <row r="5955" spans="2:6">
      <c r="B5955" s="44"/>
      <c r="D5955" s="8"/>
      <c r="E5955" s="8"/>
      <c r="F5955" s="8"/>
    </row>
    <row r="5956" spans="2:6">
      <c r="B5956" s="44"/>
      <c r="D5956" s="8"/>
      <c r="E5956" s="8"/>
      <c r="F5956" s="8"/>
    </row>
    <row r="5957" spans="2:6">
      <c r="B5957" s="44"/>
      <c r="D5957" s="8"/>
      <c r="E5957" s="8"/>
      <c r="F5957" s="8"/>
    </row>
    <row r="5958" spans="2:6">
      <c r="B5958" s="44"/>
      <c r="D5958" s="8"/>
      <c r="E5958" s="8"/>
      <c r="F5958" s="8"/>
    </row>
    <row r="5959" spans="2:6">
      <c r="B5959" s="44"/>
      <c r="D5959" s="8"/>
      <c r="E5959" s="8"/>
      <c r="F5959" s="8"/>
    </row>
    <row r="5960" spans="2:6">
      <c r="B5960" s="44"/>
      <c r="D5960" s="8"/>
      <c r="E5960" s="8"/>
      <c r="F5960" s="8"/>
    </row>
    <row r="5961" spans="2:6">
      <c r="B5961" s="44"/>
      <c r="D5961" s="8"/>
      <c r="E5961" s="8"/>
      <c r="F5961" s="8"/>
    </row>
    <row r="5962" spans="2:6">
      <c r="B5962" s="44"/>
      <c r="D5962" s="8"/>
      <c r="E5962" s="8"/>
      <c r="F5962" s="8"/>
    </row>
    <row r="5963" spans="2:6">
      <c r="B5963" s="44"/>
      <c r="D5963" s="8"/>
      <c r="E5963" s="8"/>
      <c r="F5963" s="8"/>
    </row>
    <row r="5964" spans="2:6">
      <c r="B5964" s="44"/>
      <c r="D5964" s="8"/>
      <c r="E5964" s="8"/>
      <c r="F5964" s="8"/>
    </row>
    <row r="5965" spans="2:6">
      <c r="B5965" s="44"/>
      <c r="D5965" s="8"/>
      <c r="E5965" s="8"/>
      <c r="F5965" s="8"/>
    </row>
    <row r="5966" spans="2:6">
      <c r="B5966" s="44"/>
      <c r="D5966" s="8"/>
      <c r="E5966" s="8"/>
      <c r="F5966" s="8"/>
    </row>
    <row r="5967" spans="2:6">
      <c r="B5967" s="44"/>
      <c r="D5967" s="8"/>
      <c r="E5967" s="8"/>
      <c r="F5967" s="8"/>
    </row>
    <row r="5968" spans="2:6">
      <c r="B5968" s="44"/>
      <c r="D5968" s="8"/>
      <c r="E5968" s="8"/>
      <c r="F5968" s="8"/>
    </row>
    <row r="5969" spans="2:6">
      <c r="B5969" s="44"/>
      <c r="D5969" s="8"/>
      <c r="E5969" s="8"/>
      <c r="F5969" s="8"/>
    </row>
    <row r="5970" spans="2:6">
      <c r="B5970" s="44"/>
      <c r="D5970" s="8"/>
      <c r="E5970" s="8"/>
      <c r="F5970" s="8"/>
    </row>
    <row r="5971" spans="2:6">
      <c r="B5971" s="44"/>
      <c r="D5971" s="8"/>
      <c r="E5971" s="8"/>
      <c r="F5971" s="8"/>
    </row>
    <row r="5972" spans="2:6">
      <c r="B5972" s="44"/>
      <c r="D5972" s="8"/>
      <c r="E5972" s="8"/>
      <c r="F5972" s="8"/>
    </row>
    <row r="5973" spans="2:6">
      <c r="B5973" s="44"/>
      <c r="D5973" s="8"/>
      <c r="E5973" s="8"/>
      <c r="F5973" s="8"/>
    </row>
    <row r="5974" spans="2:6">
      <c r="B5974" s="44"/>
      <c r="D5974" s="8"/>
      <c r="E5974" s="8"/>
      <c r="F5974" s="8"/>
    </row>
    <row r="5975" spans="2:6">
      <c r="B5975" s="44"/>
      <c r="D5975" s="8"/>
      <c r="E5975" s="8"/>
      <c r="F5975" s="8"/>
    </row>
    <row r="5976" spans="2:6">
      <c r="B5976" s="44"/>
      <c r="D5976" s="8"/>
      <c r="E5976" s="8"/>
      <c r="F5976" s="8"/>
    </row>
    <row r="5977" spans="2:6">
      <c r="B5977" s="44"/>
      <c r="D5977" s="8"/>
      <c r="E5977" s="8"/>
      <c r="F5977" s="8"/>
    </row>
    <row r="5978" spans="2:6">
      <c r="B5978" s="44"/>
      <c r="D5978" s="8"/>
      <c r="E5978" s="8"/>
      <c r="F5978" s="8"/>
    </row>
    <row r="5979" spans="2:6">
      <c r="B5979" s="44"/>
      <c r="D5979" s="8"/>
      <c r="E5979" s="8"/>
      <c r="F5979" s="8"/>
    </row>
    <row r="5980" spans="2:6">
      <c r="B5980" s="44"/>
      <c r="D5980" s="8"/>
      <c r="E5980" s="8"/>
      <c r="F5980" s="8"/>
    </row>
    <row r="5981" spans="2:6">
      <c r="B5981" s="44"/>
      <c r="D5981" s="8"/>
      <c r="E5981" s="8"/>
      <c r="F5981" s="8"/>
    </row>
    <row r="5982" spans="2:6">
      <c r="B5982" s="44"/>
      <c r="D5982" s="8"/>
      <c r="E5982" s="8"/>
      <c r="F5982" s="8"/>
    </row>
    <row r="5983" spans="2:6">
      <c r="B5983" s="44"/>
      <c r="D5983" s="8"/>
      <c r="E5983" s="8"/>
      <c r="F5983" s="8"/>
    </row>
    <row r="5984" spans="2:6">
      <c r="B5984" s="44"/>
      <c r="D5984" s="8"/>
      <c r="E5984" s="8"/>
      <c r="F5984" s="8"/>
    </row>
    <row r="5985" spans="2:6">
      <c r="B5985" s="44"/>
      <c r="D5985" s="8"/>
      <c r="E5985" s="8"/>
      <c r="F5985" s="8"/>
    </row>
    <row r="5986" spans="2:6">
      <c r="B5986" s="44"/>
      <c r="D5986" s="8"/>
      <c r="E5986" s="8"/>
      <c r="F5986" s="8"/>
    </row>
    <row r="5987" spans="2:6">
      <c r="B5987" s="44"/>
      <c r="D5987" s="8"/>
      <c r="E5987" s="8"/>
      <c r="F5987" s="8"/>
    </row>
    <row r="5988" spans="2:6">
      <c r="B5988" s="44"/>
      <c r="D5988" s="8"/>
      <c r="E5988" s="8"/>
      <c r="F5988" s="8"/>
    </row>
    <row r="5989" spans="2:6">
      <c r="B5989" s="44"/>
      <c r="D5989" s="8"/>
      <c r="E5989" s="8"/>
      <c r="F5989" s="8"/>
    </row>
    <row r="5990" spans="2:6">
      <c r="B5990" s="44"/>
      <c r="D5990" s="8"/>
      <c r="E5990" s="8"/>
      <c r="F5990" s="8"/>
    </row>
    <row r="5991" spans="2:6">
      <c r="B5991" s="44"/>
      <c r="D5991" s="8"/>
      <c r="E5991" s="8"/>
      <c r="F5991" s="8"/>
    </row>
    <row r="5992" spans="2:6">
      <c r="B5992" s="44"/>
      <c r="D5992" s="8"/>
      <c r="E5992" s="8"/>
      <c r="F5992" s="8"/>
    </row>
    <row r="5993" spans="2:6">
      <c r="B5993" s="44"/>
      <c r="D5993" s="8"/>
      <c r="E5993" s="8"/>
      <c r="F5993" s="8"/>
    </row>
    <row r="5994" spans="2:6">
      <c r="B5994" s="44"/>
      <c r="D5994" s="8"/>
      <c r="E5994" s="8"/>
      <c r="F5994" s="8"/>
    </row>
    <row r="5995" spans="2:6">
      <c r="B5995" s="44"/>
      <c r="D5995" s="8"/>
      <c r="E5995" s="8"/>
      <c r="F5995" s="8"/>
    </row>
    <row r="5996" spans="2:6">
      <c r="B5996" s="44"/>
      <c r="D5996" s="8"/>
      <c r="E5996" s="8"/>
      <c r="F5996" s="8"/>
    </row>
    <row r="5997" spans="2:6">
      <c r="B5997" s="44"/>
      <c r="D5997" s="8"/>
      <c r="E5997" s="8"/>
      <c r="F5997" s="8"/>
    </row>
    <row r="5998" spans="2:6">
      <c r="B5998" s="44"/>
      <c r="D5998" s="8"/>
      <c r="E5998" s="8"/>
      <c r="F5998" s="8"/>
    </row>
    <row r="5999" spans="2:6">
      <c r="B5999" s="44"/>
      <c r="D5999" s="8"/>
      <c r="E5999" s="8"/>
      <c r="F5999" s="8"/>
    </row>
    <row r="6000" spans="2:6">
      <c r="B6000" s="44"/>
      <c r="D6000" s="8"/>
      <c r="E6000" s="8"/>
      <c r="F6000" s="8"/>
    </row>
    <row r="6001" spans="2:6">
      <c r="B6001" s="44"/>
      <c r="D6001" s="8"/>
      <c r="E6001" s="8"/>
      <c r="F6001" s="8"/>
    </row>
    <row r="6002" spans="2:6">
      <c r="B6002" s="44"/>
      <c r="D6002" s="8"/>
      <c r="E6002" s="8"/>
      <c r="F6002" s="8"/>
    </row>
    <row r="6003" spans="2:6">
      <c r="B6003" s="44"/>
      <c r="D6003" s="8"/>
      <c r="E6003" s="8"/>
      <c r="F6003" s="8"/>
    </row>
    <row r="6004" spans="2:6">
      <c r="B6004" s="44"/>
      <c r="D6004" s="8"/>
      <c r="E6004" s="8"/>
      <c r="F6004" s="8"/>
    </row>
    <row r="6005" spans="2:6">
      <c r="B6005" s="44"/>
      <c r="D6005" s="8"/>
      <c r="E6005" s="8"/>
      <c r="F6005" s="8"/>
    </row>
    <row r="6006" spans="2:6">
      <c r="B6006" s="44"/>
      <c r="D6006" s="8"/>
      <c r="E6006" s="8"/>
      <c r="F6006" s="8"/>
    </row>
    <row r="6007" spans="2:6">
      <c r="B6007" s="44"/>
      <c r="D6007" s="8"/>
      <c r="E6007" s="8"/>
      <c r="F6007" s="8"/>
    </row>
    <row r="6008" spans="2:6">
      <c r="B6008" s="44"/>
      <c r="D6008" s="8"/>
      <c r="E6008" s="8"/>
      <c r="F6008" s="8"/>
    </row>
    <row r="6009" spans="2:6">
      <c r="B6009" s="44"/>
      <c r="D6009" s="8"/>
      <c r="E6009" s="8"/>
      <c r="F6009" s="8"/>
    </row>
    <row r="6010" spans="2:6">
      <c r="B6010" s="44"/>
      <c r="D6010" s="8"/>
      <c r="E6010" s="8"/>
      <c r="F6010" s="8"/>
    </row>
    <row r="6011" spans="2:6">
      <c r="B6011" s="44"/>
      <c r="D6011" s="8"/>
      <c r="E6011" s="8"/>
      <c r="F6011" s="8"/>
    </row>
    <row r="6012" spans="2:6">
      <c r="B6012" s="44"/>
      <c r="D6012" s="8"/>
      <c r="E6012" s="8"/>
      <c r="F6012" s="8"/>
    </row>
    <row r="6013" spans="2:6">
      <c r="B6013" s="44"/>
      <c r="D6013" s="8"/>
      <c r="E6013" s="8"/>
      <c r="F6013" s="8"/>
    </row>
    <row r="6014" spans="2:6">
      <c r="B6014" s="44"/>
      <c r="D6014" s="8"/>
      <c r="E6014" s="8"/>
      <c r="F6014" s="8"/>
    </row>
    <row r="6015" spans="2:6">
      <c r="B6015" s="44"/>
      <c r="D6015" s="8"/>
      <c r="E6015" s="8"/>
      <c r="F6015" s="8"/>
    </row>
    <row r="6016" spans="2:6">
      <c r="B6016" s="44"/>
      <c r="D6016" s="8"/>
      <c r="E6016" s="8"/>
      <c r="F6016" s="8"/>
    </row>
    <row r="6017" spans="2:6">
      <c r="B6017" s="44"/>
      <c r="D6017" s="8"/>
      <c r="E6017" s="8"/>
      <c r="F6017" s="8"/>
    </row>
    <row r="6018" spans="2:6">
      <c r="B6018" s="44"/>
      <c r="D6018" s="8"/>
      <c r="E6018" s="8"/>
      <c r="F6018" s="8"/>
    </row>
    <row r="6019" spans="2:6">
      <c r="B6019" s="44"/>
      <c r="D6019" s="8"/>
      <c r="E6019" s="8"/>
      <c r="F6019" s="8"/>
    </row>
    <row r="6020" spans="2:6">
      <c r="B6020" s="44"/>
      <c r="D6020" s="8"/>
      <c r="E6020" s="8"/>
      <c r="F6020" s="8"/>
    </row>
    <row r="6021" spans="2:6">
      <c r="B6021" s="44"/>
      <c r="D6021" s="8"/>
      <c r="E6021" s="8"/>
      <c r="F6021" s="8"/>
    </row>
    <row r="6022" spans="2:6">
      <c r="B6022" s="44"/>
      <c r="D6022" s="8"/>
      <c r="E6022" s="8"/>
      <c r="F6022" s="8"/>
    </row>
    <row r="6023" spans="2:6">
      <c r="B6023" s="44"/>
      <c r="D6023" s="8"/>
      <c r="E6023" s="8"/>
      <c r="F6023" s="8"/>
    </row>
    <row r="6024" spans="2:6">
      <c r="B6024" s="44"/>
      <c r="D6024" s="8"/>
      <c r="E6024" s="8"/>
      <c r="F6024" s="8"/>
    </row>
    <row r="6025" spans="2:6">
      <c r="B6025" s="44"/>
      <c r="D6025" s="8"/>
      <c r="E6025" s="8"/>
      <c r="F6025" s="8"/>
    </row>
    <row r="6026" spans="2:6">
      <c r="B6026" s="44"/>
      <c r="D6026" s="8"/>
      <c r="E6026" s="8"/>
      <c r="F6026" s="8"/>
    </row>
    <row r="6027" spans="2:6">
      <c r="B6027" s="44"/>
      <c r="D6027" s="8"/>
      <c r="E6027" s="8"/>
      <c r="F6027" s="8"/>
    </row>
    <row r="6028" spans="2:6">
      <c r="B6028" s="44"/>
      <c r="D6028" s="8"/>
      <c r="E6028" s="8"/>
      <c r="F6028" s="8"/>
    </row>
    <row r="6029" spans="2:6">
      <c r="B6029" s="44"/>
      <c r="D6029" s="8"/>
      <c r="E6029" s="8"/>
      <c r="F6029" s="8"/>
    </row>
    <row r="6030" spans="2:6">
      <c r="B6030" s="44"/>
      <c r="D6030" s="8"/>
      <c r="E6030" s="8"/>
      <c r="F6030" s="8"/>
    </row>
    <row r="6031" spans="2:6">
      <c r="B6031" s="44"/>
      <c r="D6031" s="8"/>
      <c r="E6031" s="8"/>
      <c r="F6031" s="8"/>
    </row>
    <row r="6032" spans="2:6">
      <c r="B6032" s="44"/>
      <c r="D6032" s="8"/>
      <c r="E6032" s="8"/>
      <c r="F6032" s="8"/>
    </row>
    <row r="6033" spans="2:6">
      <c r="B6033" s="44"/>
      <c r="D6033" s="8"/>
      <c r="E6033" s="8"/>
      <c r="F6033" s="8"/>
    </row>
    <row r="6034" spans="2:6">
      <c r="B6034" s="44"/>
      <c r="D6034" s="8"/>
      <c r="E6034" s="8"/>
      <c r="F6034" s="8"/>
    </row>
    <row r="6035" spans="2:6">
      <c r="B6035" s="44"/>
      <c r="D6035" s="8"/>
      <c r="E6035" s="8"/>
      <c r="F6035" s="8"/>
    </row>
    <row r="6036" spans="2:6">
      <c r="B6036" s="44"/>
      <c r="D6036" s="8"/>
      <c r="E6036" s="8"/>
      <c r="F6036" s="8"/>
    </row>
    <row r="6037" spans="2:6">
      <c r="B6037" s="44"/>
      <c r="D6037" s="8"/>
      <c r="E6037" s="8"/>
      <c r="F6037" s="8"/>
    </row>
    <row r="6038" spans="2:6">
      <c r="B6038" s="44"/>
      <c r="D6038" s="8"/>
      <c r="E6038" s="8"/>
      <c r="F6038" s="8"/>
    </row>
    <row r="6039" spans="2:6">
      <c r="B6039" s="44"/>
      <c r="D6039" s="8"/>
      <c r="E6039" s="8"/>
      <c r="F6039" s="8"/>
    </row>
    <row r="6040" spans="2:6">
      <c r="B6040" s="44"/>
      <c r="D6040" s="8"/>
      <c r="E6040" s="8"/>
      <c r="F6040" s="8"/>
    </row>
    <row r="6041" spans="2:6">
      <c r="B6041" s="44"/>
      <c r="D6041" s="8"/>
      <c r="E6041" s="8"/>
      <c r="F6041" s="8"/>
    </row>
    <row r="6042" spans="2:6">
      <c r="B6042" s="44"/>
      <c r="D6042" s="8"/>
      <c r="E6042" s="8"/>
      <c r="F6042" s="8"/>
    </row>
    <row r="6043" spans="2:6">
      <c r="B6043" s="44"/>
      <c r="D6043" s="8"/>
      <c r="E6043" s="8"/>
      <c r="F6043" s="8"/>
    </row>
    <row r="6044" spans="2:6">
      <c r="B6044" s="44"/>
      <c r="D6044" s="8"/>
      <c r="E6044" s="8"/>
      <c r="F6044" s="8"/>
    </row>
    <row r="6045" spans="2:6">
      <c r="B6045" s="44"/>
      <c r="D6045" s="8"/>
      <c r="E6045" s="8"/>
      <c r="F6045" s="8"/>
    </row>
    <row r="6046" spans="2:6">
      <c r="B6046" s="44"/>
      <c r="D6046" s="8"/>
      <c r="E6046" s="8"/>
      <c r="F6046" s="8"/>
    </row>
    <row r="6047" spans="2:6">
      <c r="B6047" s="44"/>
      <c r="D6047" s="8"/>
      <c r="E6047" s="8"/>
      <c r="F6047" s="8"/>
    </row>
    <row r="6048" spans="2:6">
      <c r="B6048" s="44"/>
      <c r="D6048" s="8"/>
      <c r="E6048" s="8"/>
      <c r="F6048" s="8"/>
    </row>
    <row r="6049" spans="2:6">
      <c r="B6049" s="44"/>
      <c r="D6049" s="8"/>
      <c r="E6049" s="8"/>
      <c r="F6049" s="8"/>
    </row>
    <row r="6050" spans="2:6">
      <c r="B6050" s="44"/>
      <c r="D6050" s="8"/>
      <c r="E6050" s="8"/>
      <c r="F6050" s="8"/>
    </row>
    <row r="6051" spans="2:6">
      <c r="B6051" s="44"/>
      <c r="D6051" s="8"/>
      <c r="E6051" s="8"/>
      <c r="F6051" s="8"/>
    </row>
    <row r="6052" spans="2:6">
      <c r="B6052" s="44"/>
      <c r="D6052" s="8"/>
      <c r="E6052" s="8"/>
      <c r="F6052" s="8"/>
    </row>
    <row r="6053" spans="2:6">
      <c r="B6053" s="44"/>
      <c r="D6053" s="8"/>
      <c r="E6053" s="8"/>
      <c r="F6053" s="8"/>
    </row>
    <row r="6054" spans="2:6">
      <c r="B6054" s="44"/>
      <c r="D6054" s="8"/>
      <c r="E6054" s="8"/>
      <c r="F6054" s="8"/>
    </row>
    <row r="6055" spans="2:6">
      <c r="B6055" s="44"/>
      <c r="D6055" s="8"/>
      <c r="E6055" s="8"/>
      <c r="F6055" s="8"/>
    </row>
    <row r="6056" spans="2:6">
      <c r="B6056" s="44"/>
      <c r="D6056" s="8"/>
      <c r="E6056" s="8"/>
      <c r="F6056" s="8"/>
    </row>
    <row r="6057" spans="2:6">
      <c r="B6057" s="44"/>
      <c r="D6057" s="8"/>
      <c r="E6057" s="8"/>
      <c r="F6057" s="8"/>
    </row>
    <row r="6058" spans="2:6">
      <c r="B6058" s="44"/>
      <c r="D6058" s="8"/>
      <c r="E6058" s="8"/>
      <c r="F6058" s="8"/>
    </row>
    <row r="6059" spans="2:6">
      <c r="B6059" s="44"/>
      <c r="D6059" s="8"/>
      <c r="E6059" s="8"/>
      <c r="F6059" s="8"/>
    </row>
    <row r="6060" spans="2:6">
      <c r="B6060" s="44"/>
      <c r="D6060" s="8"/>
      <c r="E6060" s="8"/>
      <c r="F6060" s="8"/>
    </row>
    <row r="6061" spans="2:6">
      <c r="B6061" s="44"/>
      <c r="D6061" s="8"/>
      <c r="E6061" s="8"/>
      <c r="F6061" s="8"/>
    </row>
    <row r="6062" spans="2:6">
      <c r="B6062" s="44"/>
      <c r="D6062" s="8"/>
      <c r="E6062" s="8"/>
      <c r="F6062" s="8"/>
    </row>
    <row r="6063" spans="2:6">
      <c r="B6063" s="44"/>
      <c r="D6063" s="8"/>
      <c r="E6063" s="8"/>
      <c r="F6063" s="8"/>
    </row>
    <row r="6064" spans="2:6">
      <c r="B6064" s="44"/>
      <c r="D6064" s="8"/>
      <c r="E6064" s="8"/>
      <c r="F6064" s="8"/>
    </row>
    <row r="6065" spans="2:6">
      <c r="B6065" s="44"/>
      <c r="D6065" s="8"/>
      <c r="E6065" s="8"/>
      <c r="F6065" s="8"/>
    </row>
    <row r="6066" spans="2:6">
      <c r="B6066" s="44"/>
      <c r="D6066" s="8"/>
      <c r="E6066" s="8"/>
      <c r="F6066" s="8"/>
    </row>
    <row r="6067" spans="2:6">
      <c r="B6067" s="44"/>
      <c r="D6067" s="8"/>
      <c r="E6067" s="8"/>
      <c r="F6067" s="8"/>
    </row>
    <row r="6068" spans="2:6">
      <c r="B6068" s="44"/>
      <c r="D6068" s="8"/>
      <c r="E6068" s="8"/>
      <c r="F6068" s="8"/>
    </row>
    <row r="6069" spans="2:6">
      <c r="B6069" s="44"/>
      <c r="D6069" s="8"/>
      <c r="E6069" s="8"/>
      <c r="F6069" s="8"/>
    </row>
    <row r="6070" spans="2:6">
      <c r="B6070" s="44"/>
      <c r="D6070" s="8"/>
      <c r="E6070" s="8"/>
      <c r="F6070" s="8"/>
    </row>
    <row r="6071" spans="2:6">
      <c r="B6071" s="44"/>
      <c r="D6071" s="8"/>
      <c r="E6071" s="8"/>
      <c r="F6071" s="8"/>
    </row>
    <row r="6072" spans="2:6">
      <c r="B6072" s="44"/>
      <c r="D6072" s="8"/>
      <c r="E6072" s="8"/>
      <c r="F6072" s="8"/>
    </row>
    <row r="6073" spans="2:6">
      <c r="B6073" s="44"/>
      <c r="D6073" s="8"/>
      <c r="E6073" s="8"/>
      <c r="F6073" s="8"/>
    </row>
    <row r="6074" spans="2:6">
      <c r="B6074" s="44"/>
      <c r="D6074" s="8"/>
      <c r="E6074" s="8"/>
      <c r="F6074" s="8"/>
    </row>
    <row r="6075" spans="2:6">
      <c r="B6075" s="44"/>
      <c r="D6075" s="8"/>
      <c r="E6075" s="8"/>
      <c r="F6075" s="8"/>
    </row>
    <row r="6076" spans="2:6">
      <c r="B6076" s="44"/>
      <c r="D6076" s="8"/>
      <c r="E6076" s="8"/>
      <c r="F6076" s="8"/>
    </row>
    <row r="6077" spans="2:6">
      <c r="B6077" s="44"/>
      <c r="D6077" s="8"/>
      <c r="E6077" s="8"/>
      <c r="F6077" s="8"/>
    </row>
    <row r="6078" spans="2:6">
      <c r="B6078" s="44"/>
      <c r="D6078" s="8"/>
      <c r="E6078" s="8"/>
      <c r="F6078" s="8"/>
    </row>
    <row r="6079" spans="2:6">
      <c r="B6079" s="44"/>
      <c r="D6079" s="8"/>
      <c r="E6079" s="8"/>
      <c r="F6079" s="8"/>
    </row>
    <row r="6080" spans="2:6">
      <c r="B6080" s="44"/>
      <c r="D6080" s="8"/>
      <c r="E6080" s="8"/>
      <c r="F6080" s="8"/>
    </row>
    <row r="6081" spans="2:6">
      <c r="B6081" s="44"/>
      <c r="D6081" s="8"/>
      <c r="E6081" s="8"/>
      <c r="F6081" s="8"/>
    </row>
    <row r="6082" spans="2:6">
      <c r="B6082" s="44"/>
      <c r="D6082" s="8"/>
      <c r="E6082" s="8"/>
      <c r="F6082" s="8"/>
    </row>
    <row r="6083" spans="2:6">
      <c r="B6083" s="44"/>
      <c r="D6083" s="8"/>
      <c r="E6083" s="8"/>
      <c r="F6083" s="8"/>
    </row>
    <row r="6084" spans="2:6">
      <c r="B6084" s="44"/>
      <c r="D6084" s="8"/>
      <c r="E6084" s="8"/>
      <c r="F6084" s="8"/>
    </row>
    <row r="6085" spans="2:6">
      <c r="B6085" s="44"/>
      <c r="D6085" s="8"/>
      <c r="E6085" s="8"/>
      <c r="F6085" s="8"/>
    </row>
    <row r="6086" spans="2:6">
      <c r="B6086" s="44"/>
      <c r="D6086" s="8"/>
      <c r="E6086" s="8"/>
      <c r="F6086" s="8"/>
    </row>
    <row r="6087" spans="2:6">
      <c r="B6087" s="44"/>
      <c r="D6087" s="8"/>
      <c r="E6087" s="8"/>
      <c r="F6087" s="8"/>
    </row>
    <row r="6088" spans="2:6">
      <c r="B6088" s="44"/>
      <c r="D6088" s="8"/>
      <c r="E6088" s="8"/>
      <c r="F6088" s="8"/>
    </row>
    <row r="6089" spans="2:6">
      <c r="B6089" s="44"/>
      <c r="D6089" s="8"/>
      <c r="E6089" s="8"/>
      <c r="F6089" s="8"/>
    </row>
    <row r="6090" spans="2:6">
      <c r="B6090" s="44"/>
      <c r="D6090" s="8"/>
      <c r="E6090" s="8"/>
      <c r="F6090" s="8"/>
    </row>
    <row r="6091" spans="2:6">
      <c r="B6091" s="44"/>
      <c r="D6091" s="8"/>
      <c r="E6091" s="8"/>
      <c r="F6091" s="8"/>
    </row>
    <row r="6092" spans="2:6">
      <c r="B6092" s="44"/>
      <c r="D6092" s="8"/>
      <c r="E6092" s="8"/>
      <c r="F6092" s="8"/>
    </row>
    <row r="6093" spans="2:6">
      <c r="B6093" s="44"/>
      <c r="D6093" s="8"/>
      <c r="E6093" s="8"/>
      <c r="F6093" s="8"/>
    </row>
    <row r="6094" spans="2:6">
      <c r="B6094" s="44"/>
      <c r="D6094" s="8"/>
      <c r="E6094" s="8"/>
      <c r="F6094" s="8"/>
    </row>
    <row r="6095" spans="2:6">
      <c r="B6095" s="44"/>
      <c r="D6095" s="8"/>
      <c r="E6095" s="8"/>
      <c r="F6095" s="8"/>
    </row>
    <row r="6096" spans="2:6">
      <c r="B6096" s="44"/>
      <c r="D6096" s="8"/>
      <c r="E6096" s="8"/>
      <c r="F6096" s="8"/>
    </row>
    <row r="6097" spans="2:6">
      <c r="B6097" s="44"/>
      <c r="D6097" s="8"/>
      <c r="E6097" s="8"/>
      <c r="F6097" s="8"/>
    </row>
    <row r="6098" spans="2:6">
      <c r="B6098" s="44"/>
      <c r="D6098" s="8"/>
      <c r="E6098" s="8"/>
      <c r="F6098" s="8"/>
    </row>
    <row r="6099" spans="2:6">
      <c r="B6099" s="44"/>
      <c r="D6099" s="8"/>
      <c r="E6099" s="8"/>
      <c r="F6099" s="8"/>
    </row>
    <row r="6100" spans="2:6">
      <c r="B6100" s="44"/>
      <c r="D6100" s="8"/>
      <c r="E6100" s="8"/>
      <c r="F6100" s="8"/>
    </row>
    <row r="6101" spans="2:6">
      <c r="B6101" s="44"/>
      <c r="D6101" s="8"/>
      <c r="E6101" s="8"/>
      <c r="F6101" s="8"/>
    </row>
    <row r="6102" spans="2:6">
      <c r="B6102" s="44"/>
      <c r="D6102" s="8"/>
      <c r="E6102" s="8"/>
      <c r="F6102" s="8"/>
    </row>
    <row r="6103" spans="2:6">
      <c r="B6103" s="44"/>
      <c r="D6103" s="8"/>
      <c r="E6103" s="8"/>
      <c r="F6103" s="8"/>
    </row>
    <row r="6104" spans="2:6">
      <c r="B6104" s="44"/>
      <c r="D6104" s="8"/>
      <c r="E6104" s="8"/>
      <c r="F6104" s="8"/>
    </row>
    <row r="6105" spans="2:6">
      <c r="B6105" s="44"/>
      <c r="D6105" s="8"/>
      <c r="E6105" s="8"/>
      <c r="F6105" s="8"/>
    </row>
    <row r="6106" spans="2:6">
      <c r="B6106" s="44"/>
      <c r="D6106" s="8"/>
      <c r="E6106" s="8"/>
      <c r="F6106" s="8"/>
    </row>
    <row r="6107" spans="2:6">
      <c r="B6107" s="44"/>
      <c r="D6107" s="8"/>
      <c r="E6107" s="8"/>
      <c r="F6107" s="8"/>
    </row>
    <row r="6108" spans="2:6">
      <c r="B6108" s="44"/>
      <c r="D6108" s="8"/>
      <c r="E6108" s="8"/>
      <c r="F6108" s="8"/>
    </row>
    <row r="6109" spans="2:6">
      <c r="B6109" s="44"/>
      <c r="D6109" s="8"/>
      <c r="E6109" s="8"/>
      <c r="F6109" s="8"/>
    </row>
    <row r="6110" spans="2:6">
      <c r="B6110" s="44"/>
      <c r="D6110" s="8"/>
      <c r="E6110" s="8"/>
      <c r="F6110" s="8"/>
    </row>
    <row r="6111" spans="2:6">
      <c r="B6111" s="44"/>
      <c r="D6111" s="8"/>
      <c r="E6111" s="8"/>
      <c r="F6111" s="8"/>
    </row>
    <row r="6112" spans="2:6">
      <c r="B6112" s="44"/>
      <c r="D6112" s="8"/>
      <c r="E6112" s="8"/>
      <c r="F6112" s="8"/>
    </row>
    <row r="6113" spans="2:6">
      <c r="B6113" s="44"/>
      <c r="D6113" s="8"/>
      <c r="E6113" s="8"/>
      <c r="F6113" s="8"/>
    </row>
    <row r="6114" spans="2:6">
      <c r="B6114" s="44"/>
      <c r="D6114" s="8"/>
      <c r="E6114" s="8"/>
      <c r="F6114" s="8"/>
    </row>
    <row r="6115" spans="2:6">
      <c r="B6115" s="44"/>
      <c r="D6115" s="8"/>
      <c r="E6115" s="8"/>
      <c r="F6115" s="8"/>
    </row>
    <row r="6116" spans="2:6">
      <c r="B6116" s="44"/>
      <c r="D6116" s="8"/>
      <c r="E6116" s="8"/>
      <c r="F6116" s="8"/>
    </row>
    <row r="6117" spans="2:6">
      <c r="B6117" s="44"/>
      <c r="D6117" s="8"/>
      <c r="E6117" s="8"/>
      <c r="F6117" s="8"/>
    </row>
    <row r="6118" spans="2:6">
      <c r="B6118" s="44"/>
      <c r="D6118" s="8"/>
      <c r="E6118" s="8"/>
      <c r="F6118" s="8"/>
    </row>
    <row r="6119" spans="2:6">
      <c r="B6119" s="44"/>
      <c r="D6119" s="8"/>
      <c r="E6119" s="8"/>
      <c r="F6119" s="8"/>
    </row>
    <row r="6120" spans="2:6">
      <c r="B6120" s="44"/>
      <c r="D6120" s="8"/>
      <c r="E6120" s="8"/>
      <c r="F6120" s="8"/>
    </row>
    <row r="6121" spans="2:6">
      <c r="B6121" s="44"/>
      <c r="D6121" s="8"/>
      <c r="E6121" s="8"/>
      <c r="F6121" s="8"/>
    </row>
    <row r="6122" spans="2:6">
      <c r="B6122" s="44"/>
      <c r="D6122" s="8"/>
      <c r="E6122" s="8"/>
      <c r="F6122" s="8"/>
    </row>
    <row r="6123" spans="2:6">
      <c r="B6123" s="44"/>
      <c r="D6123" s="8"/>
      <c r="E6123" s="8"/>
      <c r="F6123" s="8"/>
    </row>
    <row r="6124" spans="2:6">
      <c r="B6124" s="44"/>
      <c r="D6124" s="8"/>
      <c r="E6124" s="8"/>
      <c r="F6124" s="8"/>
    </row>
    <row r="6125" spans="2:6">
      <c r="B6125" s="44"/>
      <c r="D6125" s="8"/>
      <c r="E6125" s="8"/>
      <c r="F6125" s="8"/>
    </row>
    <row r="6126" spans="2:6">
      <c r="B6126" s="44"/>
      <c r="D6126" s="8"/>
      <c r="E6126" s="8"/>
      <c r="F6126" s="8"/>
    </row>
    <row r="6127" spans="2:6">
      <c r="B6127" s="44"/>
      <c r="D6127" s="8"/>
      <c r="E6127" s="8"/>
      <c r="F6127" s="8"/>
    </row>
    <row r="6128" spans="2:6">
      <c r="B6128" s="44"/>
      <c r="D6128" s="8"/>
      <c r="E6128" s="8"/>
      <c r="F6128" s="8"/>
    </row>
    <row r="6129" spans="2:6">
      <c r="B6129" s="44"/>
      <c r="D6129" s="8"/>
      <c r="E6129" s="8"/>
      <c r="F6129" s="8"/>
    </row>
    <row r="6130" spans="2:6">
      <c r="B6130" s="44"/>
      <c r="D6130" s="8"/>
      <c r="E6130" s="8"/>
      <c r="F6130" s="8"/>
    </row>
    <row r="6131" spans="2:6">
      <c r="B6131" s="44"/>
      <c r="D6131" s="8"/>
      <c r="E6131" s="8"/>
      <c r="F6131" s="8"/>
    </row>
    <row r="6132" spans="2:6">
      <c r="B6132" s="44"/>
      <c r="D6132" s="8"/>
      <c r="E6132" s="8"/>
      <c r="F6132" s="8"/>
    </row>
    <row r="6133" spans="2:6">
      <c r="B6133" s="44"/>
      <c r="D6133" s="8"/>
      <c r="E6133" s="8"/>
      <c r="F6133" s="8"/>
    </row>
    <row r="6134" spans="2:6">
      <c r="B6134" s="44"/>
      <c r="D6134" s="8"/>
      <c r="E6134" s="8"/>
      <c r="F6134" s="8"/>
    </row>
    <row r="6135" spans="2:6">
      <c r="B6135" s="44"/>
      <c r="D6135" s="8"/>
      <c r="E6135" s="8"/>
      <c r="F6135" s="8"/>
    </row>
    <row r="6136" spans="2:6">
      <c r="B6136" s="44"/>
      <c r="D6136" s="8"/>
      <c r="E6136" s="8"/>
      <c r="F6136" s="8"/>
    </row>
    <row r="6137" spans="2:6">
      <c r="B6137" s="44"/>
      <c r="D6137" s="8"/>
      <c r="E6137" s="8"/>
      <c r="F6137" s="8"/>
    </row>
    <row r="6138" spans="2:6">
      <c r="B6138" s="44"/>
      <c r="D6138" s="8"/>
      <c r="E6138" s="8"/>
      <c r="F6138" s="8"/>
    </row>
    <row r="6139" spans="2:6">
      <c r="B6139" s="44"/>
      <c r="D6139" s="8"/>
      <c r="E6139" s="8"/>
      <c r="F6139" s="8"/>
    </row>
    <row r="6140" spans="2:6">
      <c r="B6140" s="44"/>
      <c r="D6140" s="8"/>
      <c r="E6140" s="8"/>
      <c r="F6140" s="8"/>
    </row>
    <row r="6141" spans="2:6">
      <c r="B6141" s="44"/>
      <c r="D6141" s="8"/>
      <c r="E6141" s="8"/>
      <c r="F6141" s="8"/>
    </row>
    <row r="6142" spans="2:6">
      <c r="B6142" s="44"/>
      <c r="D6142" s="8"/>
      <c r="E6142" s="8"/>
      <c r="F6142" s="8"/>
    </row>
    <row r="6143" spans="2:6">
      <c r="B6143" s="44"/>
      <c r="D6143" s="8"/>
      <c r="E6143" s="8"/>
      <c r="F6143" s="8"/>
    </row>
    <row r="6144" spans="2:6">
      <c r="B6144" s="44"/>
      <c r="D6144" s="8"/>
      <c r="E6144" s="8"/>
      <c r="F6144" s="8"/>
    </row>
    <row r="6145" spans="2:6">
      <c r="B6145" s="44"/>
      <c r="D6145" s="8"/>
      <c r="E6145" s="8"/>
      <c r="F6145" s="8"/>
    </row>
    <row r="6146" spans="2:6">
      <c r="B6146" s="44"/>
      <c r="D6146" s="8"/>
      <c r="E6146" s="8"/>
      <c r="F6146" s="8"/>
    </row>
    <row r="6147" spans="2:6">
      <c r="B6147" s="44"/>
      <c r="D6147" s="8"/>
      <c r="E6147" s="8"/>
      <c r="F6147" s="8"/>
    </row>
    <row r="6148" spans="2:6">
      <c r="B6148" s="44"/>
      <c r="D6148" s="8"/>
      <c r="E6148" s="8"/>
      <c r="F6148" s="8"/>
    </row>
    <row r="6149" spans="2:6">
      <c r="B6149" s="44"/>
      <c r="D6149" s="8"/>
      <c r="E6149" s="8"/>
      <c r="F6149" s="8"/>
    </row>
    <row r="6150" spans="2:6">
      <c r="B6150" s="44"/>
      <c r="D6150" s="8"/>
      <c r="E6150" s="8"/>
      <c r="F6150" s="8"/>
    </row>
    <row r="6151" spans="2:6">
      <c r="B6151" s="44"/>
      <c r="D6151" s="8"/>
      <c r="E6151" s="8"/>
      <c r="F6151" s="8"/>
    </row>
    <row r="6152" spans="2:6">
      <c r="B6152" s="44"/>
      <c r="D6152" s="8"/>
      <c r="E6152" s="8"/>
      <c r="F6152" s="8"/>
    </row>
    <row r="6153" spans="2:6">
      <c r="B6153" s="44"/>
      <c r="D6153" s="8"/>
      <c r="E6153" s="8"/>
      <c r="F6153" s="8"/>
    </row>
    <row r="6154" spans="2:6">
      <c r="B6154" s="44"/>
      <c r="D6154" s="8"/>
      <c r="E6154" s="8"/>
      <c r="F6154" s="8"/>
    </row>
    <row r="6155" spans="2:6">
      <c r="B6155" s="44"/>
      <c r="D6155" s="8"/>
      <c r="E6155" s="8"/>
      <c r="F6155" s="8"/>
    </row>
    <row r="6156" spans="2:6">
      <c r="B6156" s="44"/>
      <c r="D6156" s="8"/>
      <c r="E6156" s="8"/>
      <c r="F6156" s="8"/>
    </row>
    <row r="6157" spans="2:6">
      <c r="B6157" s="44"/>
      <c r="D6157" s="8"/>
      <c r="E6157" s="8"/>
      <c r="F6157" s="8"/>
    </row>
    <row r="6158" spans="2:6">
      <c r="B6158" s="44"/>
      <c r="D6158" s="8"/>
      <c r="E6158" s="8"/>
      <c r="F6158" s="8"/>
    </row>
    <row r="6159" spans="2:6">
      <c r="B6159" s="44"/>
      <c r="D6159" s="8"/>
      <c r="E6159" s="8"/>
      <c r="F6159" s="8"/>
    </row>
    <row r="6160" spans="2:6">
      <c r="B6160" s="44"/>
      <c r="D6160" s="8"/>
      <c r="E6160" s="8"/>
      <c r="F6160" s="8"/>
    </row>
    <row r="6161" spans="2:6">
      <c r="B6161" s="44"/>
      <c r="D6161" s="8"/>
      <c r="E6161" s="8"/>
      <c r="F6161" s="8"/>
    </row>
    <row r="6162" spans="2:6">
      <c r="B6162" s="44"/>
      <c r="D6162" s="8"/>
      <c r="E6162" s="8"/>
      <c r="F6162" s="8"/>
    </row>
    <row r="6163" spans="2:6">
      <c r="B6163" s="44"/>
      <c r="D6163" s="8"/>
      <c r="E6163" s="8"/>
      <c r="F6163" s="8"/>
    </row>
    <row r="6164" spans="2:6">
      <c r="B6164" s="44"/>
      <c r="D6164" s="8"/>
      <c r="E6164" s="8"/>
      <c r="F6164" s="8"/>
    </row>
    <row r="6165" spans="2:6">
      <c r="B6165" s="44"/>
      <c r="D6165" s="8"/>
      <c r="E6165" s="8"/>
      <c r="F6165" s="8"/>
    </row>
    <row r="6166" spans="2:6">
      <c r="B6166" s="44"/>
      <c r="D6166" s="8"/>
      <c r="E6166" s="8"/>
      <c r="F6166" s="8"/>
    </row>
    <row r="6167" spans="2:6">
      <c r="B6167" s="44"/>
      <c r="D6167" s="8"/>
      <c r="E6167" s="8"/>
      <c r="F6167" s="8"/>
    </row>
    <row r="6168" spans="2:6">
      <c r="B6168" s="44"/>
      <c r="D6168" s="8"/>
      <c r="E6168" s="8"/>
      <c r="F6168" s="8"/>
    </row>
    <row r="6169" spans="2:6">
      <c r="B6169" s="44"/>
      <c r="D6169" s="8"/>
      <c r="E6169" s="8"/>
      <c r="F6169" s="8"/>
    </row>
    <row r="6170" spans="2:6">
      <c r="B6170" s="44"/>
      <c r="D6170" s="8"/>
      <c r="E6170" s="8"/>
      <c r="F6170" s="8"/>
    </row>
    <row r="6171" spans="2:6">
      <c r="B6171" s="44"/>
      <c r="D6171" s="8"/>
      <c r="E6171" s="8"/>
      <c r="F6171" s="8"/>
    </row>
    <row r="6172" spans="2:6">
      <c r="B6172" s="44"/>
      <c r="D6172" s="8"/>
      <c r="E6172" s="8"/>
      <c r="F6172" s="8"/>
    </row>
    <row r="6173" spans="2:6">
      <c r="B6173" s="44"/>
      <c r="D6173" s="8"/>
      <c r="E6173" s="8"/>
      <c r="F6173" s="8"/>
    </row>
    <row r="6174" spans="2:6">
      <c r="B6174" s="44"/>
      <c r="D6174" s="8"/>
      <c r="E6174" s="8"/>
      <c r="F6174" s="8"/>
    </row>
    <row r="6175" spans="2:6">
      <c r="B6175" s="44"/>
      <c r="D6175" s="8"/>
      <c r="E6175" s="8"/>
      <c r="F6175" s="8"/>
    </row>
    <row r="6176" spans="2:6">
      <c r="B6176" s="44"/>
      <c r="D6176" s="8"/>
      <c r="E6176" s="8"/>
      <c r="F6176" s="8"/>
    </row>
    <row r="6177" spans="2:6">
      <c r="B6177" s="44"/>
      <c r="D6177" s="8"/>
      <c r="E6177" s="8"/>
      <c r="F6177" s="8"/>
    </row>
    <row r="6178" spans="2:6">
      <c r="B6178" s="44"/>
      <c r="D6178" s="8"/>
      <c r="E6178" s="8"/>
      <c r="F6178" s="8"/>
    </row>
    <row r="6179" spans="2:6">
      <c r="B6179" s="44"/>
      <c r="D6179" s="8"/>
      <c r="E6179" s="8"/>
      <c r="F6179" s="8"/>
    </row>
    <row r="6180" spans="2:6">
      <c r="B6180" s="44"/>
      <c r="D6180" s="8"/>
      <c r="E6180" s="8"/>
      <c r="F6180" s="8"/>
    </row>
    <row r="6181" spans="2:6">
      <c r="B6181" s="44"/>
      <c r="D6181" s="8"/>
      <c r="E6181" s="8"/>
      <c r="F6181" s="8"/>
    </row>
    <row r="6182" spans="2:6">
      <c r="B6182" s="44"/>
      <c r="D6182" s="8"/>
      <c r="E6182" s="8"/>
      <c r="F6182" s="8"/>
    </row>
    <row r="6183" spans="2:6">
      <c r="B6183" s="44"/>
      <c r="D6183" s="8"/>
      <c r="E6183" s="8"/>
      <c r="F6183" s="8"/>
    </row>
    <row r="6184" spans="2:6">
      <c r="B6184" s="44"/>
      <c r="D6184" s="8"/>
      <c r="E6184" s="8"/>
      <c r="F6184" s="8"/>
    </row>
    <row r="6185" spans="2:6">
      <c r="B6185" s="44"/>
      <c r="D6185" s="8"/>
      <c r="E6185" s="8"/>
      <c r="F6185" s="8"/>
    </row>
    <row r="6186" spans="2:6">
      <c r="B6186" s="44"/>
      <c r="D6186" s="8"/>
      <c r="E6186" s="8"/>
      <c r="F6186" s="8"/>
    </row>
    <row r="6187" spans="2:6">
      <c r="B6187" s="44"/>
      <c r="D6187" s="8"/>
      <c r="E6187" s="8"/>
      <c r="F6187" s="8"/>
    </row>
    <row r="6188" spans="2:6">
      <c r="B6188" s="44"/>
      <c r="D6188" s="8"/>
      <c r="E6188" s="8"/>
      <c r="F6188" s="8"/>
    </row>
    <row r="6189" spans="2:6">
      <c r="B6189" s="44"/>
      <c r="D6189" s="8"/>
      <c r="E6189" s="8"/>
      <c r="F6189" s="8"/>
    </row>
    <row r="6190" spans="2:6">
      <c r="B6190" s="44"/>
      <c r="D6190" s="8"/>
      <c r="E6190" s="8"/>
      <c r="F6190" s="8"/>
    </row>
    <row r="6191" spans="2:6">
      <c r="B6191" s="44"/>
      <c r="D6191" s="8"/>
      <c r="E6191" s="8"/>
      <c r="F6191" s="8"/>
    </row>
    <row r="6192" spans="2:6">
      <c r="B6192" s="44"/>
      <c r="D6192" s="8"/>
      <c r="E6192" s="8"/>
      <c r="F6192" s="8"/>
    </row>
    <row r="6193" spans="2:6">
      <c r="B6193" s="44"/>
      <c r="D6193" s="8"/>
      <c r="E6193" s="8"/>
      <c r="F6193" s="8"/>
    </row>
    <row r="6194" spans="2:6">
      <c r="B6194" s="44"/>
      <c r="D6194" s="8"/>
      <c r="E6194" s="8"/>
      <c r="F6194" s="8"/>
    </row>
    <row r="6195" spans="2:6">
      <c r="B6195" s="44"/>
      <c r="D6195" s="8"/>
      <c r="E6195" s="8"/>
      <c r="F6195" s="8"/>
    </row>
    <row r="6196" spans="2:6">
      <c r="B6196" s="44"/>
      <c r="D6196" s="8"/>
      <c r="E6196" s="8"/>
      <c r="F6196" s="8"/>
    </row>
    <row r="6197" spans="2:6">
      <c r="B6197" s="44"/>
      <c r="D6197" s="8"/>
      <c r="E6197" s="8"/>
      <c r="F6197" s="8"/>
    </row>
    <row r="6198" spans="2:6">
      <c r="B6198" s="44"/>
      <c r="D6198" s="8"/>
      <c r="E6198" s="8"/>
      <c r="F6198" s="8"/>
    </row>
    <row r="6199" spans="2:6">
      <c r="B6199" s="44"/>
      <c r="D6199" s="8"/>
      <c r="E6199" s="8"/>
      <c r="F6199" s="8"/>
    </row>
    <row r="6200" spans="2:6">
      <c r="B6200" s="44"/>
      <c r="D6200" s="8"/>
      <c r="E6200" s="8"/>
      <c r="F6200" s="8"/>
    </row>
    <row r="6201" spans="2:6">
      <c r="B6201" s="44"/>
      <c r="D6201" s="8"/>
      <c r="E6201" s="8"/>
      <c r="F6201" s="8"/>
    </row>
    <row r="6202" spans="2:6">
      <c r="B6202" s="44"/>
      <c r="D6202" s="8"/>
      <c r="E6202" s="8"/>
      <c r="F6202" s="8"/>
    </row>
    <row r="6203" spans="2:6">
      <c r="B6203" s="44"/>
      <c r="D6203" s="8"/>
      <c r="E6203" s="8"/>
      <c r="F6203" s="8"/>
    </row>
    <row r="6204" spans="2:6">
      <c r="B6204" s="44"/>
      <c r="D6204" s="8"/>
      <c r="E6204" s="8"/>
      <c r="F6204" s="8"/>
    </row>
    <row r="6205" spans="2:6">
      <c r="B6205" s="44"/>
      <c r="D6205" s="8"/>
      <c r="E6205" s="8"/>
      <c r="F6205" s="8"/>
    </row>
    <row r="6206" spans="2:6">
      <c r="B6206" s="44"/>
      <c r="D6206" s="8"/>
      <c r="E6206" s="8"/>
      <c r="F6206" s="8"/>
    </row>
    <row r="6207" spans="2:6">
      <c r="B6207" s="44"/>
      <c r="D6207" s="8"/>
      <c r="E6207" s="8"/>
      <c r="F6207" s="8"/>
    </row>
    <row r="6208" spans="2:6">
      <c r="B6208" s="44"/>
      <c r="D6208" s="8"/>
      <c r="E6208" s="8"/>
      <c r="F6208" s="8"/>
    </row>
    <row r="6209" spans="2:6">
      <c r="B6209" s="44"/>
      <c r="D6209" s="8"/>
      <c r="E6209" s="8"/>
      <c r="F6209" s="8"/>
    </row>
    <row r="6210" spans="2:6">
      <c r="B6210" s="44"/>
      <c r="D6210" s="8"/>
      <c r="E6210" s="8"/>
      <c r="F6210" s="8"/>
    </row>
    <row r="6211" spans="2:6">
      <c r="B6211" s="44"/>
      <c r="D6211" s="8"/>
      <c r="E6211" s="8"/>
      <c r="F6211" s="8"/>
    </row>
    <row r="6212" spans="2:6">
      <c r="B6212" s="44"/>
      <c r="D6212" s="8"/>
      <c r="E6212" s="8"/>
      <c r="F6212" s="8"/>
    </row>
    <row r="6213" spans="2:6">
      <c r="B6213" s="44"/>
      <c r="D6213" s="8"/>
      <c r="E6213" s="8"/>
      <c r="F6213" s="8"/>
    </row>
    <row r="6214" spans="2:6">
      <c r="B6214" s="44"/>
      <c r="D6214" s="8"/>
      <c r="E6214" s="8"/>
      <c r="F6214" s="8"/>
    </row>
    <row r="6215" spans="2:6">
      <c r="B6215" s="44"/>
      <c r="D6215" s="8"/>
      <c r="E6215" s="8"/>
      <c r="F6215" s="8"/>
    </row>
    <row r="6216" spans="2:6">
      <c r="B6216" s="44"/>
      <c r="D6216" s="8"/>
      <c r="E6216" s="8"/>
      <c r="F6216" s="8"/>
    </row>
    <row r="6217" spans="2:6">
      <c r="B6217" s="44"/>
      <c r="D6217" s="8"/>
      <c r="E6217" s="8"/>
      <c r="F6217" s="8"/>
    </row>
    <row r="6218" spans="2:6">
      <c r="B6218" s="44"/>
      <c r="D6218" s="8"/>
      <c r="E6218" s="8"/>
      <c r="F6218" s="8"/>
    </row>
    <row r="6219" spans="2:6">
      <c r="B6219" s="44"/>
      <c r="D6219" s="8"/>
      <c r="E6219" s="8"/>
      <c r="F6219" s="8"/>
    </row>
    <row r="6220" spans="2:6">
      <c r="B6220" s="44"/>
      <c r="D6220" s="8"/>
      <c r="E6220" s="8"/>
      <c r="F6220" s="8"/>
    </row>
    <row r="6221" spans="2:6">
      <c r="B6221" s="44"/>
      <c r="D6221" s="8"/>
      <c r="E6221" s="8"/>
      <c r="F6221" s="8"/>
    </row>
    <row r="6222" spans="2:6">
      <c r="B6222" s="44"/>
      <c r="D6222" s="8"/>
      <c r="E6222" s="8"/>
      <c r="F6222" s="8"/>
    </row>
    <row r="6223" spans="2:6">
      <c r="B6223" s="44"/>
      <c r="D6223" s="8"/>
      <c r="E6223" s="8"/>
      <c r="F6223" s="8"/>
    </row>
    <row r="6224" spans="2:6">
      <c r="B6224" s="44"/>
      <c r="D6224" s="8"/>
      <c r="E6224" s="8"/>
      <c r="F6224" s="8"/>
    </row>
    <row r="6225" spans="2:6">
      <c r="B6225" s="44"/>
      <c r="D6225" s="8"/>
      <c r="E6225" s="8"/>
      <c r="F6225" s="8"/>
    </row>
    <row r="6226" spans="2:6">
      <c r="B6226" s="44"/>
      <c r="D6226" s="8"/>
      <c r="E6226" s="8"/>
      <c r="F6226" s="8"/>
    </row>
    <row r="6227" spans="2:6">
      <c r="B6227" s="44"/>
      <c r="D6227" s="8"/>
      <c r="E6227" s="8"/>
      <c r="F6227" s="8"/>
    </row>
    <row r="6228" spans="2:6">
      <c r="B6228" s="44"/>
      <c r="D6228" s="8"/>
      <c r="E6228" s="8"/>
      <c r="F6228" s="8"/>
    </row>
    <row r="6229" spans="2:6">
      <c r="B6229" s="44"/>
      <c r="D6229" s="8"/>
      <c r="E6229" s="8"/>
      <c r="F6229" s="8"/>
    </row>
    <row r="6230" spans="2:6">
      <c r="B6230" s="44"/>
      <c r="D6230" s="8"/>
      <c r="E6230" s="8"/>
      <c r="F6230" s="8"/>
    </row>
    <row r="6231" spans="2:6">
      <c r="B6231" s="44"/>
      <c r="D6231" s="8"/>
      <c r="E6231" s="8"/>
      <c r="F6231" s="8"/>
    </row>
    <row r="6232" spans="2:6">
      <c r="B6232" s="44"/>
      <c r="D6232" s="8"/>
      <c r="E6232" s="8"/>
      <c r="F6232" s="8"/>
    </row>
    <row r="6233" spans="2:6">
      <c r="B6233" s="44"/>
      <c r="D6233" s="8"/>
      <c r="E6233" s="8"/>
      <c r="F6233" s="8"/>
    </row>
    <row r="6234" spans="2:6">
      <c r="B6234" s="44"/>
      <c r="D6234" s="8"/>
      <c r="E6234" s="8"/>
      <c r="F6234" s="8"/>
    </row>
    <row r="6235" spans="2:6">
      <c r="B6235" s="44"/>
      <c r="D6235" s="8"/>
      <c r="E6235" s="8"/>
      <c r="F6235" s="8"/>
    </row>
    <row r="6236" spans="2:6">
      <c r="B6236" s="44"/>
      <c r="D6236" s="8"/>
      <c r="E6236" s="8"/>
      <c r="F6236" s="8"/>
    </row>
    <row r="6237" spans="2:6">
      <c r="B6237" s="44"/>
      <c r="D6237" s="8"/>
      <c r="E6237" s="8"/>
      <c r="F6237" s="8"/>
    </row>
    <row r="6238" spans="2:6">
      <c r="B6238" s="44"/>
      <c r="D6238" s="8"/>
      <c r="E6238" s="8"/>
      <c r="F6238" s="8"/>
    </row>
    <row r="6239" spans="2:6">
      <c r="B6239" s="44"/>
      <c r="D6239" s="8"/>
      <c r="E6239" s="8"/>
      <c r="F6239" s="8"/>
    </row>
    <row r="6240" spans="2:6">
      <c r="B6240" s="44"/>
      <c r="D6240" s="8"/>
      <c r="E6240" s="8"/>
      <c r="F6240" s="8"/>
    </row>
    <row r="6241" spans="2:6">
      <c r="B6241" s="44"/>
      <c r="D6241" s="8"/>
      <c r="E6241" s="8"/>
      <c r="F6241" s="8"/>
    </row>
    <row r="6242" spans="2:6">
      <c r="B6242" s="44"/>
      <c r="D6242" s="8"/>
      <c r="E6242" s="8"/>
      <c r="F6242" s="8"/>
    </row>
    <row r="6243" spans="2:6">
      <c r="B6243" s="44"/>
      <c r="D6243" s="8"/>
      <c r="E6243" s="8"/>
      <c r="F6243" s="8"/>
    </row>
    <row r="6244" spans="2:6">
      <c r="B6244" s="44"/>
      <c r="D6244" s="8"/>
      <c r="E6244" s="8"/>
      <c r="F6244" s="8"/>
    </row>
    <row r="6245" spans="2:6">
      <c r="B6245" s="44"/>
      <c r="D6245" s="8"/>
      <c r="E6245" s="8"/>
      <c r="F6245" s="8"/>
    </row>
    <row r="6246" spans="2:6">
      <c r="B6246" s="44"/>
      <c r="D6246" s="8"/>
      <c r="E6246" s="8"/>
      <c r="F6246" s="8"/>
    </row>
    <row r="6247" spans="2:6">
      <c r="B6247" s="44"/>
      <c r="D6247" s="8"/>
      <c r="E6247" s="8"/>
      <c r="F6247" s="8"/>
    </row>
    <row r="6248" spans="2:6">
      <c r="B6248" s="44"/>
      <c r="D6248" s="8"/>
      <c r="E6248" s="8"/>
      <c r="F6248" s="8"/>
    </row>
    <row r="6249" spans="2:6">
      <c r="B6249" s="44"/>
      <c r="D6249" s="8"/>
      <c r="E6249" s="8"/>
      <c r="F6249" s="8"/>
    </row>
    <row r="6250" spans="2:6">
      <c r="B6250" s="44"/>
      <c r="D6250" s="8"/>
      <c r="E6250" s="8"/>
      <c r="F6250" s="8"/>
    </row>
    <row r="6251" spans="2:6">
      <c r="B6251" s="44"/>
      <c r="D6251" s="8"/>
      <c r="E6251" s="8"/>
      <c r="F6251" s="8"/>
    </row>
    <row r="6252" spans="2:6">
      <c r="B6252" s="44"/>
      <c r="D6252" s="8"/>
      <c r="E6252" s="8"/>
      <c r="F6252" s="8"/>
    </row>
    <row r="6253" spans="2:6">
      <c r="B6253" s="44"/>
      <c r="D6253" s="8"/>
      <c r="E6253" s="8"/>
      <c r="F6253" s="8"/>
    </row>
    <row r="6254" spans="2:6">
      <c r="B6254" s="44"/>
      <c r="D6254" s="8"/>
      <c r="E6254" s="8"/>
      <c r="F6254" s="8"/>
    </row>
    <row r="6255" spans="2:6">
      <c r="B6255" s="44"/>
      <c r="D6255" s="8"/>
      <c r="E6255" s="8"/>
      <c r="F6255" s="8"/>
    </row>
    <row r="6256" spans="2:6">
      <c r="B6256" s="44"/>
      <c r="D6256" s="8"/>
      <c r="E6256" s="8"/>
      <c r="F6256" s="8"/>
    </row>
    <row r="6257" spans="2:6">
      <c r="B6257" s="44"/>
      <c r="D6257" s="8"/>
      <c r="E6257" s="8"/>
      <c r="F6257" s="8"/>
    </row>
    <row r="6258" spans="2:6">
      <c r="B6258" s="44"/>
      <c r="D6258" s="8"/>
      <c r="E6258" s="8"/>
      <c r="F6258" s="8"/>
    </row>
    <row r="6259" spans="2:6">
      <c r="B6259" s="44"/>
      <c r="D6259" s="8"/>
      <c r="E6259" s="8"/>
      <c r="F6259" s="8"/>
    </row>
    <row r="6260" spans="2:6">
      <c r="B6260" s="44"/>
      <c r="D6260" s="8"/>
      <c r="E6260" s="8"/>
      <c r="F6260" s="8"/>
    </row>
    <row r="6261" spans="2:6">
      <c r="B6261" s="44"/>
      <c r="D6261" s="8"/>
      <c r="E6261" s="8"/>
      <c r="F6261" s="8"/>
    </row>
    <row r="6262" spans="2:6">
      <c r="B6262" s="44"/>
      <c r="D6262" s="8"/>
      <c r="E6262" s="8"/>
      <c r="F6262" s="8"/>
    </row>
    <row r="6263" spans="2:6">
      <c r="B6263" s="44"/>
      <c r="D6263" s="8"/>
      <c r="E6263" s="8"/>
      <c r="F6263" s="8"/>
    </row>
    <row r="6264" spans="2:6">
      <c r="B6264" s="44"/>
      <c r="D6264" s="8"/>
      <c r="E6264" s="8"/>
      <c r="F6264" s="8"/>
    </row>
    <row r="6265" spans="2:6">
      <c r="B6265" s="44"/>
      <c r="D6265" s="8"/>
      <c r="E6265" s="8"/>
      <c r="F6265" s="8"/>
    </row>
    <row r="6266" spans="2:6">
      <c r="B6266" s="44"/>
      <c r="D6266" s="8"/>
      <c r="E6266" s="8"/>
      <c r="F6266" s="8"/>
    </row>
    <row r="6267" spans="2:6">
      <c r="B6267" s="44"/>
      <c r="D6267" s="8"/>
      <c r="E6267" s="8"/>
      <c r="F6267" s="8"/>
    </row>
    <row r="6268" spans="2:6">
      <c r="B6268" s="44"/>
      <c r="D6268" s="8"/>
      <c r="E6268" s="8"/>
      <c r="F6268" s="8"/>
    </row>
    <row r="6269" spans="2:6">
      <c r="B6269" s="44"/>
      <c r="D6269" s="8"/>
      <c r="E6269" s="8"/>
      <c r="F6269" s="8"/>
    </row>
    <row r="6270" spans="2:6">
      <c r="B6270" s="44"/>
      <c r="D6270" s="8"/>
      <c r="E6270" s="8"/>
      <c r="F6270" s="8"/>
    </row>
    <row r="6271" spans="2:6">
      <c r="B6271" s="44"/>
      <c r="D6271" s="8"/>
      <c r="E6271" s="8"/>
      <c r="F6271" s="8"/>
    </row>
    <row r="6272" spans="2:6">
      <c r="B6272" s="44"/>
      <c r="D6272" s="8"/>
      <c r="E6272" s="8"/>
      <c r="F6272" s="8"/>
    </row>
    <row r="6273" spans="2:6">
      <c r="B6273" s="44"/>
      <c r="D6273" s="8"/>
      <c r="E6273" s="8"/>
      <c r="F6273" s="8"/>
    </row>
    <row r="6274" spans="2:6">
      <c r="B6274" s="44"/>
      <c r="D6274" s="8"/>
      <c r="E6274" s="8"/>
      <c r="F6274" s="8"/>
    </row>
    <row r="6275" spans="2:6">
      <c r="B6275" s="44"/>
      <c r="D6275" s="8"/>
      <c r="E6275" s="8"/>
      <c r="F6275" s="8"/>
    </row>
    <row r="6276" spans="2:6">
      <c r="B6276" s="44"/>
      <c r="D6276" s="8"/>
      <c r="E6276" s="8"/>
      <c r="F6276" s="8"/>
    </row>
    <row r="6277" spans="2:6">
      <c r="B6277" s="44"/>
      <c r="D6277" s="8"/>
      <c r="E6277" s="8"/>
      <c r="F6277" s="8"/>
    </row>
    <row r="6278" spans="2:6">
      <c r="B6278" s="44"/>
      <c r="D6278" s="8"/>
      <c r="E6278" s="8"/>
      <c r="F6278" s="8"/>
    </row>
    <row r="6279" spans="2:6">
      <c r="B6279" s="44"/>
      <c r="D6279" s="8"/>
      <c r="E6279" s="8"/>
      <c r="F6279" s="8"/>
    </row>
    <row r="6280" spans="2:6">
      <c r="B6280" s="44"/>
      <c r="D6280" s="8"/>
      <c r="E6280" s="8"/>
      <c r="F6280" s="8"/>
    </row>
    <row r="6281" spans="2:6">
      <c r="B6281" s="44"/>
      <c r="D6281" s="8"/>
      <c r="E6281" s="8"/>
      <c r="F6281" s="8"/>
    </row>
    <row r="6282" spans="2:6">
      <c r="B6282" s="44"/>
      <c r="D6282" s="8"/>
      <c r="E6282" s="8"/>
      <c r="F6282" s="8"/>
    </row>
    <row r="6283" spans="2:6">
      <c r="B6283" s="44"/>
      <c r="D6283" s="8"/>
      <c r="E6283" s="8"/>
      <c r="F6283" s="8"/>
    </row>
    <row r="6284" spans="2:6">
      <c r="B6284" s="44"/>
      <c r="D6284" s="8"/>
      <c r="E6284" s="8"/>
      <c r="F6284" s="8"/>
    </row>
    <row r="6285" spans="2:6">
      <c r="B6285" s="44"/>
      <c r="D6285" s="8"/>
      <c r="E6285" s="8"/>
      <c r="F6285" s="8"/>
    </row>
    <row r="6286" spans="2:6">
      <c r="B6286" s="44"/>
      <c r="D6286" s="8"/>
      <c r="E6286" s="8"/>
      <c r="F6286" s="8"/>
    </row>
    <row r="6287" spans="2:6">
      <c r="B6287" s="44"/>
      <c r="D6287" s="8"/>
      <c r="E6287" s="8"/>
      <c r="F6287" s="8"/>
    </row>
    <row r="6288" spans="2:6">
      <c r="B6288" s="44"/>
      <c r="D6288" s="8"/>
      <c r="E6288" s="8"/>
      <c r="F6288" s="8"/>
    </row>
    <row r="6289" spans="2:6">
      <c r="B6289" s="44"/>
      <c r="D6289" s="8"/>
      <c r="E6289" s="8"/>
      <c r="F6289" s="8"/>
    </row>
    <row r="6290" spans="2:6">
      <c r="B6290" s="44"/>
      <c r="D6290" s="8"/>
      <c r="E6290" s="8"/>
      <c r="F6290" s="8"/>
    </row>
    <row r="6291" spans="2:6">
      <c r="B6291" s="44"/>
      <c r="D6291" s="8"/>
      <c r="E6291" s="8"/>
      <c r="F6291" s="8"/>
    </row>
    <row r="6292" spans="2:6">
      <c r="B6292" s="44"/>
      <c r="D6292" s="8"/>
      <c r="E6292" s="8"/>
      <c r="F6292" s="8"/>
    </row>
    <row r="6293" spans="2:6">
      <c r="B6293" s="44"/>
      <c r="D6293" s="8"/>
      <c r="E6293" s="8"/>
      <c r="F6293" s="8"/>
    </row>
    <row r="6294" spans="2:6">
      <c r="B6294" s="44"/>
      <c r="D6294" s="8"/>
      <c r="E6294" s="8"/>
      <c r="F6294" s="8"/>
    </row>
    <row r="6295" spans="2:6">
      <c r="B6295" s="44"/>
      <c r="D6295" s="8"/>
      <c r="E6295" s="8"/>
      <c r="F6295" s="8"/>
    </row>
    <row r="6296" spans="2:6">
      <c r="B6296" s="44"/>
      <c r="D6296" s="8"/>
      <c r="E6296" s="8"/>
      <c r="F6296" s="8"/>
    </row>
    <row r="6297" spans="2:6">
      <c r="B6297" s="44"/>
      <c r="D6297" s="8"/>
      <c r="E6297" s="8"/>
      <c r="F6297" s="8"/>
    </row>
    <row r="6298" spans="2:6">
      <c r="B6298" s="44"/>
      <c r="D6298" s="8"/>
      <c r="E6298" s="8"/>
      <c r="F6298" s="8"/>
    </row>
    <row r="6299" spans="2:6">
      <c r="B6299" s="44"/>
      <c r="D6299" s="8"/>
      <c r="E6299" s="8"/>
      <c r="F6299" s="8"/>
    </row>
    <row r="6300" spans="2:6">
      <c r="B6300" s="44"/>
      <c r="D6300" s="8"/>
      <c r="E6300" s="8"/>
      <c r="F6300" s="8"/>
    </row>
    <row r="6301" spans="2:6">
      <c r="B6301" s="44"/>
      <c r="D6301" s="8"/>
      <c r="E6301" s="8"/>
      <c r="F6301" s="8"/>
    </row>
    <row r="6302" spans="2:6">
      <c r="B6302" s="44"/>
      <c r="D6302" s="8"/>
      <c r="E6302" s="8"/>
      <c r="F6302" s="8"/>
    </row>
    <row r="6303" spans="2:6">
      <c r="B6303" s="44"/>
      <c r="D6303" s="8"/>
      <c r="E6303" s="8"/>
      <c r="F6303" s="8"/>
    </row>
    <row r="6304" spans="2:6">
      <c r="B6304" s="44"/>
      <c r="D6304" s="8"/>
      <c r="E6304" s="8"/>
      <c r="F6304" s="8"/>
    </row>
    <row r="6305" spans="2:6">
      <c r="B6305" s="44"/>
      <c r="D6305" s="8"/>
      <c r="E6305" s="8"/>
      <c r="F6305" s="8"/>
    </row>
    <row r="6306" spans="2:6">
      <c r="B6306" s="44"/>
      <c r="D6306" s="8"/>
      <c r="E6306" s="8"/>
      <c r="F6306" s="8"/>
    </row>
    <row r="6307" spans="2:6">
      <c r="B6307" s="44"/>
      <c r="D6307" s="8"/>
      <c r="E6307" s="8"/>
      <c r="F6307" s="8"/>
    </row>
    <row r="6308" spans="2:6">
      <c r="B6308" s="44"/>
      <c r="D6308" s="8"/>
      <c r="E6308" s="8"/>
      <c r="F6308" s="8"/>
    </row>
    <row r="6309" spans="2:6">
      <c r="B6309" s="44"/>
      <c r="D6309" s="8"/>
      <c r="E6309" s="8"/>
      <c r="F6309" s="8"/>
    </row>
    <row r="6310" spans="2:6">
      <c r="B6310" s="44"/>
      <c r="D6310" s="8"/>
      <c r="E6310" s="8"/>
      <c r="F6310" s="8"/>
    </row>
    <row r="6311" spans="2:6">
      <c r="B6311" s="44"/>
      <c r="D6311" s="8"/>
      <c r="E6311" s="8"/>
      <c r="F6311" s="8"/>
    </row>
    <row r="6312" spans="2:6">
      <c r="B6312" s="44"/>
      <c r="D6312" s="8"/>
      <c r="E6312" s="8"/>
      <c r="F6312" s="8"/>
    </row>
    <row r="6313" spans="2:6">
      <c r="B6313" s="44"/>
      <c r="D6313" s="8"/>
      <c r="E6313" s="8"/>
      <c r="F6313" s="8"/>
    </row>
    <row r="6314" spans="2:6">
      <c r="B6314" s="44"/>
      <c r="D6314" s="8"/>
      <c r="E6314" s="8"/>
      <c r="F6314" s="8"/>
    </row>
    <row r="6315" spans="2:6">
      <c r="B6315" s="44"/>
      <c r="D6315" s="8"/>
      <c r="E6315" s="8"/>
      <c r="F6315" s="8"/>
    </row>
    <row r="6316" spans="2:6">
      <c r="B6316" s="44"/>
      <c r="D6316" s="8"/>
      <c r="E6316" s="8"/>
      <c r="F6316" s="8"/>
    </row>
    <row r="6317" spans="2:6">
      <c r="B6317" s="44"/>
      <c r="D6317" s="8"/>
      <c r="E6317" s="8"/>
      <c r="F6317" s="8"/>
    </row>
    <row r="6318" spans="2:6">
      <c r="B6318" s="44"/>
      <c r="D6318" s="8"/>
      <c r="E6318" s="8"/>
      <c r="F6318" s="8"/>
    </row>
    <row r="6319" spans="2:6">
      <c r="B6319" s="44"/>
      <c r="D6319" s="8"/>
      <c r="E6319" s="8"/>
      <c r="F6319" s="8"/>
    </row>
    <row r="6320" spans="2:6">
      <c r="B6320" s="44"/>
      <c r="D6320" s="8"/>
      <c r="E6320" s="8"/>
      <c r="F6320" s="8"/>
    </row>
    <row r="6321" spans="2:6">
      <c r="B6321" s="44"/>
      <c r="D6321" s="8"/>
      <c r="E6321" s="8"/>
      <c r="F6321" s="8"/>
    </row>
    <row r="6322" spans="2:6">
      <c r="B6322" s="44"/>
      <c r="D6322" s="8"/>
      <c r="E6322" s="8"/>
      <c r="F6322" s="8"/>
    </row>
    <row r="6323" spans="2:6">
      <c r="B6323" s="44"/>
      <c r="D6323" s="8"/>
      <c r="E6323" s="8"/>
      <c r="F6323" s="8"/>
    </row>
    <row r="6324" spans="2:6">
      <c r="B6324" s="44"/>
      <c r="D6324" s="8"/>
      <c r="E6324" s="8"/>
      <c r="F6324" s="8"/>
    </row>
    <row r="6325" spans="2:6">
      <c r="B6325" s="44"/>
      <c r="D6325" s="8"/>
      <c r="E6325" s="8"/>
      <c r="F6325" s="8"/>
    </row>
    <row r="6326" spans="2:6">
      <c r="B6326" s="44"/>
      <c r="D6326" s="8"/>
      <c r="E6326" s="8"/>
      <c r="F6326" s="8"/>
    </row>
    <row r="6327" spans="2:6">
      <c r="B6327" s="44"/>
      <c r="D6327" s="8"/>
      <c r="E6327" s="8"/>
      <c r="F6327" s="8"/>
    </row>
    <row r="6328" spans="2:6">
      <c r="B6328" s="44"/>
      <c r="D6328" s="8"/>
      <c r="E6328" s="8"/>
      <c r="F6328" s="8"/>
    </row>
    <row r="6329" spans="2:6">
      <c r="B6329" s="44"/>
      <c r="D6329" s="8"/>
      <c r="E6329" s="8"/>
      <c r="F6329" s="8"/>
    </row>
    <row r="6330" spans="2:6">
      <c r="B6330" s="44"/>
      <c r="D6330" s="8"/>
      <c r="E6330" s="8"/>
      <c r="F6330" s="8"/>
    </row>
    <row r="6331" spans="2:6">
      <c r="B6331" s="44"/>
      <c r="D6331" s="8"/>
      <c r="E6331" s="8"/>
      <c r="F6331" s="8"/>
    </row>
    <row r="6332" spans="2:6">
      <c r="B6332" s="44"/>
      <c r="D6332" s="8"/>
      <c r="E6332" s="8"/>
      <c r="F6332" s="8"/>
    </row>
    <row r="6333" spans="2:6">
      <c r="B6333" s="44"/>
      <c r="D6333" s="8"/>
      <c r="E6333" s="8"/>
      <c r="F6333" s="8"/>
    </row>
    <row r="6334" spans="2:6">
      <c r="B6334" s="44"/>
      <c r="D6334" s="8"/>
      <c r="E6334" s="8"/>
      <c r="F6334" s="8"/>
    </row>
    <row r="6335" spans="2:6">
      <c r="B6335" s="44"/>
      <c r="D6335" s="8"/>
      <c r="E6335" s="8"/>
      <c r="F6335" s="8"/>
    </row>
    <row r="6336" spans="2:6">
      <c r="B6336" s="44"/>
      <c r="D6336" s="8"/>
      <c r="E6336" s="8"/>
      <c r="F6336" s="8"/>
    </row>
    <row r="6337" spans="2:6">
      <c r="B6337" s="44"/>
      <c r="D6337" s="8"/>
      <c r="E6337" s="8"/>
      <c r="F6337" s="8"/>
    </row>
    <row r="6338" spans="2:6">
      <c r="B6338" s="44"/>
      <c r="D6338" s="8"/>
      <c r="E6338" s="8"/>
      <c r="F6338" s="8"/>
    </row>
    <row r="6339" spans="2:6">
      <c r="B6339" s="44"/>
      <c r="D6339" s="8"/>
      <c r="E6339" s="8"/>
      <c r="F6339" s="8"/>
    </row>
    <row r="6340" spans="2:6">
      <c r="B6340" s="44"/>
      <c r="D6340" s="8"/>
      <c r="E6340" s="8"/>
      <c r="F6340" s="8"/>
    </row>
    <row r="6341" spans="2:6">
      <c r="B6341" s="44"/>
      <c r="D6341" s="8"/>
      <c r="E6341" s="8"/>
      <c r="F6341" s="8"/>
    </row>
    <row r="6342" spans="2:6">
      <c r="B6342" s="44"/>
      <c r="D6342" s="8"/>
      <c r="E6342" s="8"/>
      <c r="F6342" s="8"/>
    </row>
    <row r="6343" spans="2:6">
      <c r="B6343" s="44"/>
      <c r="D6343" s="8"/>
      <c r="E6343" s="8"/>
      <c r="F6343" s="8"/>
    </row>
    <row r="6344" spans="2:6">
      <c r="B6344" s="44"/>
      <c r="D6344" s="8"/>
      <c r="E6344" s="8"/>
      <c r="F6344" s="8"/>
    </row>
    <row r="6345" spans="2:6">
      <c r="B6345" s="44"/>
      <c r="D6345" s="8"/>
      <c r="E6345" s="8"/>
      <c r="F6345" s="8"/>
    </row>
    <row r="6346" spans="2:6">
      <c r="B6346" s="44"/>
      <c r="D6346" s="8"/>
      <c r="E6346" s="8"/>
      <c r="F6346" s="8"/>
    </row>
    <row r="6347" spans="2:6">
      <c r="B6347" s="44"/>
      <c r="D6347" s="8"/>
      <c r="E6347" s="8"/>
      <c r="F6347" s="8"/>
    </row>
    <row r="6348" spans="2:6">
      <c r="B6348" s="44"/>
      <c r="D6348" s="8"/>
      <c r="E6348" s="8"/>
      <c r="F6348" s="8"/>
    </row>
    <row r="6349" spans="2:6">
      <c r="B6349" s="44"/>
      <c r="D6349" s="8"/>
      <c r="E6349" s="8"/>
      <c r="F6349" s="8"/>
    </row>
    <row r="6350" spans="2:6">
      <c r="B6350" s="44"/>
      <c r="D6350" s="8"/>
      <c r="E6350" s="8"/>
      <c r="F6350" s="8"/>
    </row>
    <row r="6351" spans="2:6">
      <c r="B6351" s="44"/>
      <c r="D6351" s="8"/>
      <c r="E6351" s="8"/>
      <c r="F6351" s="8"/>
    </row>
    <row r="6352" spans="2:6">
      <c r="B6352" s="44"/>
      <c r="D6352" s="8"/>
      <c r="E6352" s="8"/>
      <c r="F6352" s="8"/>
    </row>
    <row r="6353" spans="2:6">
      <c r="B6353" s="44"/>
      <c r="D6353" s="8"/>
      <c r="E6353" s="8"/>
      <c r="F6353" s="8"/>
    </row>
    <row r="6354" spans="2:6">
      <c r="B6354" s="44"/>
      <c r="D6354" s="8"/>
      <c r="E6354" s="8"/>
      <c r="F6354" s="8"/>
    </row>
    <row r="6355" spans="2:6">
      <c r="B6355" s="44"/>
      <c r="D6355" s="8"/>
      <c r="E6355" s="8"/>
      <c r="F6355" s="8"/>
    </row>
    <row r="6356" spans="2:6">
      <c r="B6356" s="44"/>
      <c r="D6356" s="8"/>
      <c r="E6356" s="8"/>
      <c r="F6356" s="8"/>
    </row>
    <row r="6357" spans="2:6">
      <c r="B6357" s="44"/>
      <c r="D6357" s="8"/>
      <c r="E6357" s="8"/>
      <c r="F6357" s="8"/>
    </row>
    <row r="6358" spans="2:6">
      <c r="B6358" s="44"/>
      <c r="D6358" s="8"/>
      <c r="E6358" s="8"/>
      <c r="F6358" s="8"/>
    </row>
    <row r="6359" spans="2:6">
      <c r="B6359" s="44"/>
      <c r="D6359" s="8"/>
      <c r="E6359" s="8"/>
      <c r="F6359" s="8"/>
    </row>
    <row r="6360" spans="2:6">
      <c r="B6360" s="44"/>
      <c r="D6360" s="8"/>
      <c r="E6360" s="8"/>
      <c r="F6360" s="8"/>
    </row>
    <row r="6361" spans="2:6">
      <c r="B6361" s="44"/>
      <c r="D6361" s="8"/>
      <c r="E6361" s="8"/>
      <c r="F6361" s="8"/>
    </row>
    <row r="6362" spans="2:6">
      <c r="B6362" s="44"/>
      <c r="D6362" s="8"/>
      <c r="E6362" s="8"/>
      <c r="F6362" s="8"/>
    </row>
    <row r="6363" spans="2:6">
      <c r="B6363" s="44"/>
      <c r="D6363" s="8"/>
      <c r="E6363" s="8"/>
      <c r="F6363" s="8"/>
    </row>
    <row r="6364" spans="2:6">
      <c r="B6364" s="44"/>
      <c r="D6364" s="8"/>
      <c r="E6364" s="8"/>
      <c r="F6364" s="8"/>
    </row>
    <row r="6365" spans="2:6">
      <c r="B6365" s="44"/>
      <c r="D6365" s="8"/>
      <c r="E6365" s="8"/>
      <c r="F6365" s="8"/>
    </row>
    <row r="6366" spans="2:6">
      <c r="B6366" s="44"/>
      <c r="D6366" s="8"/>
      <c r="E6366" s="8"/>
      <c r="F6366" s="8"/>
    </row>
    <row r="6367" spans="2:6">
      <c r="B6367" s="44"/>
      <c r="D6367" s="8"/>
      <c r="E6367" s="8"/>
      <c r="F6367" s="8"/>
    </row>
    <row r="6368" spans="2:6">
      <c r="B6368" s="44"/>
      <c r="D6368" s="8"/>
      <c r="E6368" s="8"/>
      <c r="F6368" s="8"/>
    </row>
    <row r="6369" spans="2:6">
      <c r="B6369" s="44"/>
      <c r="D6369" s="8"/>
      <c r="E6369" s="8"/>
      <c r="F6369" s="8"/>
    </row>
    <row r="6370" spans="2:6">
      <c r="B6370" s="44"/>
      <c r="D6370" s="8"/>
      <c r="E6370" s="8"/>
      <c r="F6370" s="8"/>
    </row>
    <row r="6371" spans="2:6">
      <c r="B6371" s="44"/>
      <c r="D6371" s="8"/>
      <c r="E6371" s="8"/>
      <c r="F6371" s="8"/>
    </row>
    <row r="6372" spans="2:6">
      <c r="B6372" s="44"/>
      <c r="D6372" s="8"/>
      <c r="E6372" s="8"/>
      <c r="F6372" s="8"/>
    </row>
    <row r="6373" spans="2:6">
      <c r="B6373" s="44"/>
      <c r="D6373" s="8"/>
      <c r="E6373" s="8"/>
      <c r="F6373" s="8"/>
    </row>
    <row r="6374" spans="2:6">
      <c r="B6374" s="44"/>
      <c r="D6374" s="8"/>
      <c r="E6374" s="8"/>
      <c r="F6374" s="8"/>
    </row>
    <row r="6375" spans="2:6">
      <c r="B6375" s="44"/>
      <c r="D6375" s="8"/>
      <c r="E6375" s="8"/>
      <c r="F6375" s="8"/>
    </row>
    <row r="6376" spans="2:6">
      <c r="B6376" s="44"/>
      <c r="D6376" s="8"/>
      <c r="E6376" s="8"/>
      <c r="F6376" s="8"/>
    </row>
    <row r="6377" spans="2:6">
      <c r="B6377" s="44"/>
      <c r="D6377" s="8"/>
      <c r="E6377" s="8"/>
      <c r="F6377" s="8"/>
    </row>
    <row r="6378" spans="2:6">
      <c r="B6378" s="44"/>
      <c r="D6378" s="8"/>
      <c r="E6378" s="8"/>
      <c r="F6378" s="8"/>
    </row>
    <row r="6379" spans="2:6">
      <c r="B6379" s="44"/>
      <c r="D6379" s="8"/>
      <c r="E6379" s="8"/>
      <c r="F6379" s="8"/>
    </row>
    <row r="6380" spans="2:6">
      <c r="B6380" s="44"/>
      <c r="D6380" s="8"/>
      <c r="E6380" s="8"/>
      <c r="F6380" s="8"/>
    </row>
    <row r="6381" spans="2:6">
      <c r="B6381" s="44"/>
      <c r="D6381" s="8"/>
      <c r="E6381" s="8"/>
      <c r="F6381" s="8"/>
    </row>
    <row r="6382" spans="2:6">
      <c r="B6382" s="44"/>
      <c r="D6382" s="8"/>
      <c r="E6382" s="8"/>
      <c r="F6382" s="8"/>
    </row>
    <row r="6383" spans="2:6">
      <c r="B6383" s="44"/>
      <c r="D6383" s="8"/>
      <c r="E6383" s="8"/>
      <c r="F6383" s="8"/>
    </row>
    <row r="6384" spans="2:6">
      <c r="B6384" s="44"/>
      <c r="D6384" s="8"/>
      <c r="E6384" s="8"/>
      <c r="F6384" s="8"/>
    </row>
    <row r="6385" spans="2:6">
      <c r="B6385" s="44"/>
      <c r="D6385" s="8"/>
      <c r="E6385" s="8"/>
      <c r="F6385" s="8"/>
    </row>
    <row r="6386" spans="2:6">
      <c r="B6386" s="44"/>
      <c r="D6386" s="8"/>
      <c r="E6386" s="8"/>
      <c r="F6386" s="8"/>
    </row>
    <row r="6387" spans="2:6">
      <c r="B6387" s="44"/>
      <c r="D6387" s="8"/>
      <c r="E6387" s="8"/>
      <c r="F6387" s="8"/>
    </row>
    <row r="6388" spans="2:6">
      <c r="B6388" s="44"/>
      <c r="D6388" s="8"/>
      <c r="E6388" s="8"/>
      <c r="F6388" s="8"/>
    </row>
    <row r="6389" spans="2:6">
      <c r="B6389" s="44"/>
      <c r="D6389" s="8"/>
      <c r="E6389" s="8"/>
      <c r="F6389" s="8"/>
    </row>
    <row r="6390" spans="2:6">
      <c r="B6390" s="44"/>
      <c r="D6390" s="8"/>
      <c r="E6390" s="8"/>
      <c r="F6390" s="8"/>
    </row>
    <row r="6391" spans="2:6">
      <c r="B6391" s="44"/>
      <c r="D6391" s="8"/>
      <c r="E6391" s="8"/>
      <c r="F6391" s="8"/>
    </row>
    <row r="6392" spans="2:6">
      <c r="B6392" s="44"/>
      <c r="D6392" s="8"/>
      <c r="E6392" s="8"/>
      <c r="F6392" s="8"/>
    </row>
    <row r="6393" spans="2:6">
      <c r="B6393" s="44"/>
      <c r="D6393" s="8"/>
      <c r="E6393" s="8"/>
      <c r="F6393" s="8"/>
    </row>
    <row r="6394" spans="2:6">
      <c r="B6394" s="44"/>
      <c r="D6394" s="8"/>
      <c r="E6394" s="8"/>
      <c r="F6394" s="8"/>
    </row>
    <row r="6395" spans="2:6">
      <c r="B6395" s="44"/>
      <c r="D6395" s="8"/>
      <c r="E6395" s="8"/>
      <c r="F6395" s="8"/>
    </row>
    <row r="6396" spans="2:6">
      <c r="B6396" s="44"/>
      <c r="D6396" s="8"/>
      <c r="E6396" s="8"/>
      <c r="F6396" s="8"/>
    </row>
    <row r="6397" spans="2:6">
      <c r="B6397" s="44"/>
      <c r="D6397" s="8"/>
      <c r="E6397" s="8"/>
      <c r="F6397" s="8"/>
    </row>
    <row r="6398" spans="2:6">
      <c r="B6398" s="44"/>
      <c r="D6398" s="8"/>
      <c r="E6398" s="8"/>
      <c r="F6398" s="8"/>
    </row>
    <row r="6399" spans="2:6">
      <c r="B6399" s="44"/>
      <c r="D6399" s="8"/>
      <c r="E6399" s="8"/>
      <c r="F6399" s="8"/>
    </row>
    <row r="6400" spans="2:6">
      <c r="B6400" s="44"/>
      <c r="D6400" s="8"/>
      <c r="E6400" s="8"/>
      <c r="F6400" s="8"/>
    </row>
    <row r="6401" spans="2:6">
      <c r="B6401" s="44"/>
      <c r="D6401" s="8"/>
      <c r="E6401" s="8"/>
      <c r="F6401" s="8"/>
    </row>
    <row r="6402" spans="2:6">
      <c r="B6402" s="44"/>
      <c r="D6402" s="8"/>
      <c r="E6402" s="8"/>
      <c r="F6402" s="8"/>
    </row>
    <row r="6403" spans="2:6">
      <c r="B6403" s="44"/>
      <c r="D6403" s="8"/>
      <c r="E6403" s="8"/>
      <c r="F6403" s="8"/>
    </row>
    <row r="6404" spans="2:6">
      <c r="B6404" s="44"/>
      <c r="D6404" s="8"/>
      <c r="E6404" s="8"/>
      <c r="F6404" s="8"/>
    </row>
    <row r="6405" spans="2:6">
      <c r="B6405" s="44"/>
      <c r="D6405" s="8"/>
      <c r="E6405" s="8"/>
      <c r="F6405" s="8"/>
    </row>
    <row r="6406" spans="2:6">
      <c r="B6406" s="44"/>
      <c r="D6406" s="8"/>
      <c r="E6406" s="8"/>
      <c r="F6406" s="8"/>
    </row>
    <row r="6407" spans="2:6">
      <c r="B6407" s="44"/>
      <c r="D6407" s="8"/>
      <c r="E6407" s="8"/>
      <c r="F6407" s="8"/>
    </row>
    <row r="6408" spans="2:6">
      <c r="B6408" s="44"/>
      <c r="D6408" s="8"/>
      <c r="E6408" s="8"/>
      <c r="F6408" s="8"/>
    </row>
    <row r="6409" spans="2:6">
      <c r="B6409" s="44"/>
      <c r="D6409" s="8"/>
      <c r="E6409" s="8"/>
      <c r="F6409" s="8"/>
    </row>
    <row r="6410" spans="2:6">
      <c r="B6410" s="44"/>
      <c r="D6410" s="8"/>
      <c r="E6410" s="8"/>
      <c r="F6410" s="8"/>
    </row>
    <row r="6411" spans="2:6">
      <c r="B6411" s="44"/>
      <c r="D6411" s="8"/>
      <c r="E6411" s="8"/>
      <c r="F6411" s="8"/>
    </row>
    <row r="6412" spans="2:6">
      <c r="B6412" s="44"/>
      <c r="D6412" s="8"/>
      <c r="E6412" s="8"/>
      <c r="F6412" s="8"/>
    </row>
    <row r="6413" spans="2:6">
      <c r="B6413" s="44"/>
      <c r="D6413" s="8"/>
      <c r="E6413" s="8"/>
      <c r="F6413" s="8"/>
    </row>
    <row r="6414" spans="2:6">
      <c r="B6414" s="44"/>
      <c r="D6414" s="8"/>
      <c r="E6414" s="8"/>
      <c r="F6414" s="8"/>
    </row>
    <row r="6415" spans="2:6">
      <c r="B6415" s="44"/>
      <c r="D6415" s="8"/>
      <c r="E6415" s="8"/>
      <c r="F6415" s="8"/>
    </row>
    <row r="6416" spans="2:6">
      <c r="B6416" s="44"/>
      <c r="D6416" s="8"/>
      <c r="E6416" s="8"/>
      <c r="F6416" s="8"/>
    </row>
    <row r="6417" spans="2:6">
      <c r="B6417" s="44"/>
      <c r="D6417" s="8"/>
      <c r="E6417" s="8"/>
      <c r="F6417" s="8"/>
    </row>
    <row r="6418" spans="2:6">
      <c r="B6418" s="44"/>
      <c r="D6418" s="8"/>
      <c r="E6418" s="8"/>
      <c r="F6418" s="8"/>
    </row>
    <row r="6419" spans="2:6">
      <c r="B6419" s="44"/>
      <c r="D6419" s="8"/>
      <c r="E6419" s="8"/>
      <c r="F6419" s="8"/>
    </row>
    <row r="6420" spans="2:6">
      <c r="B6420" s="44"/>
      <c r="D6420" s="8"/>
      <c r="E6420" s="8"/>
      <c r="F6420" s="8"/>
    </row>
    <row r="6421" spans="2:6">
      <c r="B6421" s="44"/>
      <c r="D6421" s="8"/>
      <c r="E6421" s="8"/>
      <c r="F6421" s="8"/>
    </row>
    <row r="6422" spans="2:6">
      <c r="B6422" s="44"/>
      <c r="D6422" s="8"/>
      <c r="E6422" s="8"/>
      <c r="F6422" s="8"/>
    </row>
    <row r="6423" spans="2:6">
      <c r="B6423" s="44"/>
      <c r="D6423" s="8"/>
      <c r="E6423" s="8"/>
      <c r="F6423" s="8"/>
    </row>
    <row r="6424" spans="2:6">
      <c r="B6424" s="44"/>
      <c r="D6424" s="8"/>
      <c r="E6424" s="8"/>
      <c r="F6424" s="8"/>
    </row>
    <row r="6425" spans="2:6">
      <c r="B6425" s="44"/>
      <c r="D6425" s="8"/>
      <c r="E6425" s="8"/>
      <c r="F6425" s="8"/>
    </row>
    <row r="6426" spans="2:6">
      <c r="B6426" s="44"/>
      <c r="D6426" s="8"/>
      <c r="E6426" s="8"/>
      <c r="F6426" s="8"/>
    </row>
    <row r="6427" spans="2:6">
      <c r="B6427" s="44"/>
      <c r="D6427" s="8"/>
      <c r="E6427" s="8"/>
      <c r="F6427" s="8"/>
    </row>
    <row r="6428" spans="2:6">
      <c r="B6428" s="44"/>
      <c r="D6428" s="8"/>
      <c r="E6428" s="8"/>
      <c r="F6428" s="8"/>
    </row>
    <row r="6429" spans="2:6">
      <c r="B6429" s="44"/>
      <c r="D6429" s="8"/>
      <c r="E6429" s="8"/>
      <c r="F6429" s="8"/>
    </row>
    <row r="6430" spans="2:6">
      <c r="B6430" s="44"/>
      <c r="D6430" s="8"/>
      <c r="E6430" s="8"/>
      <c r="F6430" s="8"/>
    </row>
    <row r="6431" spans="2:6">
      <c r="B6431" s="44"/>
      <c r="D6431" s="8"/>
      <c r="E6431" s="8"/>
      <c r="F6431" s="8"/>
    </row>
    <row r="6432" spans="2:6">
      <c r="B6432" s="44"/>
      <c r="D6432" s="8"/>
      <c r="E6432" s="8"/>
      <c r="F6432" s="8"/>
    </row>
    <row r="6433" spans="2:6">
      <c r="B6433" s="44"/>
      <c r="D6433" s="8"/>
      <c r="E6433" s="8"/>
      <c r="F6433" s="8"/>
    </row>
    <row r="6434" spans="2:6">
      <c r="B6434" s="44"/>
      <c r="D6434" s="8"/>
      <c r="E6434" s="8"/>
      <c r="F6434" s="8"/>
    </row>
    <row r="6435" spans="2:6">
      <c r="B6435" s="44"/>
      <c r="D6435" s="8"/>
      <c r="E6435" s="8"/>
      <c r="F6435" s="8"/>
    </row>
    <row r="6436" spans="2:6">
      <c r="B6436" s="44"/>
      <c r="D6436" s="8"/>
      <c r="E6436" s="8"/>
      <c r="F6436" s="8"/>
    </row>
    <row r="6437" spans="2:6">
      <c r="B6437" s="44"/>
      <c r="D6437" s="8"/>
      <c r="E6437" s="8"/>
      <c r="F6437" s="8"/>
    </row>
    <row r="6438" spans="2:6">
      <c r="B6438" s="44"/>
      <c r="D6438" s="8"/>
      <c r="E6438" s="8"/>
      <c r="F6438" s="8"/>
    </row>
    <row r="6439" spans="2:6">
      <c r="B6439" s="44"/>
      <c r="D6439" s="8"/>
      <c r="E6439" s="8"/>
      <c r="F6439" s="8"/>
    </row>
    <row r="6440" spans="2:6">
      <c r="B6440" s="44"/>
      <c r="D6440" s="8"/>
      <c r="E6440" s="8"/>
      <c r="F6440" s="8"/>
    </row>
    <row r="6441" spans="2:6">
      <c r="B6441" s="44"/>
      <c r="D6441" s="8"/>
      <c r="E6441" s="8"/>
      <c r="F6441" s="8"/>
    </row>
    <row r="6442" spans="2:6">
      <c r="B6442" s="44"/>
      <c r="D6442" s="8"/>
      <c r="E6442" s="8"/>
      <c r="F6442" s="8"/>
    </row>
    <row r="6443" spans="2:6">
      <c r="B6443" s="44"/>
      <c r="D6443" s="8"/>
      <c r="E6443" s="8"/>
      <c r="F6443" s="8"/>
    </row>
    <row r="6444" spans="2:6">
      <c r="B6444" s="44"/>
      <c r="D6444" s="8"/>
      <c r="E6444" s="8"/>
      <c r="F6444" s="8"/>
    </row>
    <row r="6445" spans="2:6">
      <c r="B6445" s="44"/>
      <c r="D6445" s="8"/>
      <c r="E6445" s="8"/>
      <c r="F6445" s="8"/>
    </row>
    <row r="6446" spans="2:6">
      <c r="B6446" s="44"/>
      <c r="D6446" s="8"/>
      <c r="E6446" s="8"/>
      <c r="F6446" s="8"/>
    </row>
    <row r="6447" spans="2:6">
      <c r="B6447" s="44"/>
      <c r="D6447" s="8"/>
      <c r="E6447" s="8"/>
      <c r="F6447" s="8"/>
    </row>
    <row r="6448" spans="2:6">
      <c r="B6448" s="44"/>
      <c r="D6448" s="8"/>
      <c r="E6448" s="8"/>
      <c r="F6448" s="8"/>
    </row>
    <row r="6449" spans="2:6">
      <c r="B6449" s="44"/>
      <c r="D6449" s="8"/>
      <c r="E6449" s="8"/>
      <c r="F6449" s="8"/>
    </row>
    <row r="6450" spans="2:6">
      <c r="B6450" s="44"/>
      <c r="D6450" s="8"/>
      <c r="E6450" s="8"/>
      <c r="F6450" s="8"/>
    </row>
    <row r="6451" spans="2:6">
      <c r="B6451" s="44"/>
      <c r="D6451" s="8"/>
      <c r="E6451" s="8"/>
      <c r="F6451" s="8"/>
    </row>
    <row r="6452" spans="2:6">
      <c r="B6452" s="44"/>
      <c r="D6452" s="8"/>
      <c r="E6452" s="8"/>
      <c r="F6452" s="8"/>
    </row>
    <row r="6453" spans="2:6">
      <c r="B6453" s="44"/>
      <c r="D6453" s="8"/>
      <c r="E6453" s="8"/>
      <c r="F6453" s="8"/>
    </row>
    <row r="6454" spans="2:6">
      <c r="B6454" s="44"/>
      <c r="D6454" s="8"/>
      <c r="E6454" s="8"/>
      <c r="F6454" s="8"/>
    </row>
    <row r="6455" spans="2:6">
      <c r="B6455" s="44"/>
      <c r="D6455" s="8"/>
      <c r="E6455" s="8"/>
      <c r="F6455" s="8"/>
    </row>
    <row r="6456" spans="2:6">
      <c r="B6456" s="44"/>
      <c r="D6456" s="8"/>
      <c r="E6456" s="8"/>
      <c r="F6456" s="8"/>
    </row>
    <row r="6457" spans="2:6">
      <c r="B6457" s="44"/>
      <c r="D6457" s="8"/>
      <c r="E6457" s="8"/>
      <c r="F6457" s="8"/>
    </row>
    <row r="6458" spans="2:6">
      <c r="B6458" s="44"/>
      <c r="D6458" s="8"/>
      <c r="E6458" s="8"/>
      <c r="F6458" s="8"/>
    </row>
    <row r="6459" spans="2:6">
      <c r="B6459" s="44"/>
      <c r="D6459" s="8"/>
      <c r="E6459" s="8"/>
      <c r="F6459" s="8"/>
    </row>
    <row r="6460" spans="2:6">
      <c r="B6460" s="44"/>
      <c r="D6460" s="8"/>
      <c r="E6460" s="8"/>
      <c r="F6460" s="8"/>
    </row>
    <row r="6461" spans="2:6">
      <c r="B6461" s="44"/>
      <c r="D6461" s="8"/>
      <c r="E6461" s="8"/>
      <c r="F6461" s="8"/>
    </row>
    <row r="6462" spans="2:6">
      <c r="B6462" s="44"/>
      <c r="D6462" s="8"/>
      <c r="E6462" s="8"/>
      <c r="F6462" s="8"/>
    </row>
    <row r="6463" spans="2:6">
      <c r="B6463" s="44"/>
      <c r="D6463" s="8"/>
      <c r="E6463" s="8"/>
      <c r="F6463" s="8"/>
    </row>
    <row r="6464" spans="2:6">
      <c r="B6464" s="44"/>
      <c r="D6464" s="8"/>
      <c r="E6464" s="8"/>
      <c r="F6464" s="8"/>
    </row>
    <row r="6465" spans="2:6">
      <c r="B6465" s="44"/>
      <c r="D6465" s="8"/>
      <c r="E6465" s="8"/>
      <c r="F6465" s="8"/>
    </row>
    <row r="6466" spans="2:6">
      <c r="B6466" s="44"/>
      <c r="D6466" s="8"/>
      <c r="E6466" s="8"/>
      <c r="F6466" s="8"/>
    </row>
    <row r="6467" spans="2:6">
      <c r="B6467" s="44"/>
      <c r="D6467" s="8"/>
      <c r="E6467" s="8"/>
      <c r="F6467" s="8"/>
    </row>
    <row r="6468" spans="2:6">
      <c r="B6468" s="44"/>
      <c r="D6468" s="8"/>
      <c r="E6468" s="8"/>
      <c r="F6468" s="8"/>
    </row>
    <row r="6469" spans="2:6">
      <c r="B6469" s="44"/>
      <c r="D6469" s="8"/>
      <c r="E6469" s="8"/>
      <c r="F6469" s="8"/>
    </row>
    <row r="6470" spans="2:6">
      <c r="B6470" s="44"/>
      <c r="D6470" s="8"/>
      <c r="E6470" s="8"/>
      <c r="F6470" s="8"/>
    </row>
    <row r="6471" spans="2:6">
      <c r="B6471" s="44"/>
      <c r="D6471" s="8"/>
      <c r="E6471" s="8"/>
      <c r="F6471" s="8"/>
    </row>
    <row r="6472" spans="2:6">
      <c r="B6472" s="44"/>
      <c r="D6472" s="8"/>
      <c r="E6472" s="8"/>
      <c r="F6472" s="8"/>
    </row>
    <row r="6473" spans="2:6">
      <c r="B6473" s="44"/>
      <c r="D6473" s="8"/>
      <c r="E6473" s="8"/>
      <c r="F6473" s="8"/>
    </row>
    <row r="6474" spans="2:6">
      <c r="B6474" s="44"/>
      <c r="D6474" s="8"/>
      <c r="E6474" s="8"/>
      <c r="F6474" s="8"/>
    </row>
    <row r="6475" spans="2:6">
      <c r="B6475" s="44"/>
      <c r="D6475" s="8"/>
      <c r="E6475" s="8"/>
      <c r="F6475" s="8"/>
    </row>
    <row r="6476" spans="2:6">
      <c r="B6476" s="44"/>
      <c r="D6476" s="8"/>
      <c r="E6476" s="8"/>
      <c r="F6476" s="8"/>
    </row>
    <row r="6477" spans="2:6">
      <c r="B6477" s="44"/>
      <c r="D6477" s="8"/>
      <c r="E6477" s="8"/>
      <c r="F6477" s="8"/>
    </row>
    <row r="6478" spans="2:6">
      <c r="B6478" s="44"/>
      <c r="D6478" s="8"/>
      <c r="E6478" s="8"/>
      <c r="F6478" s="8"/>
    </row>
    <row r="6479" spans="2:6">
      <c r="B6479" s="44"/>
      <c r="D6479" s="8"/>
      <c r="E6479" s="8"/>
      <c r="F6479" s="8"/>
    </row>
    <row r="6480" spans="2:6">
      <c r="B6480" s="44"/>
      <c r="D6480" s="8"/>
      <c r="E6480" s="8"/>
      <c r="F6480" s="8"/>
    </row>
    <row r="6481" spans="2:6">
      <c r="B6481" s="44"/>
      <c r="D6481" s="8"/>
      <c r="E6481" s="8"/>
      <c r="F6481" s="8"/>
    </row>
    <row r="6482" spans="2:6">
      <c r="B6482" s="44"/>
      <c r="D6482" s="8"/>
      <c r="E6482" s="8"/>
      <c r="F6482" s="8"/>
    </row>
    <row r="6483" spans="2:6">
      <c r="B6483" s="44"/>
      <c r="D6483" s="8"/>
      <c r="E6483" s="8"/>
      <c r="F6483" s="8"/>
    </row>
    <row r="6484" spans="2:6">
      <c r="B6484" s="44"/>
      <c r="D6484" s="8"/>
      <c r="E6484" s="8"/>
      <c r="F6484" s="8"/>
    </row>
    <row r="6485" spans="2:6">
      <c r="B6485" s="44"/>
      <c r="D6485" s="8"/>
      <c r="E6485" s="8"/>
      <c r="F6485" s="8"/>
    </row>
    <row r="6486" spans="2:6">
      <c r="B6486" s="44"/>
      <c r="D6486" s="8"/>
      <c r="E6486" s="8"/>
      <c r="F6486" s="8"/>
    </row>
    <row r="6487" spans="2:6">
      <c r="B6487" s="44"/>
      <c r="D6487" s="8"/>
      <c r="E6487" s="8"/>
      <c r="F6487" s="8"/>
    </row>
    <row r="6488" spans="2:6">
      <c r="B6488" s="44"/>
      <c r="D6488" s="8"/>
      <c r="E6488" s="8"/>
      <c r="F6488" s="8"/>
    </row>
    <row r="6489" spans="2:6">
      <c r="B6489" s="44"/>
      <c r="D6489" s="8"/>
      <c r="E6489" s="8"/>
      <c r="F6489" s="8"/>
    </row>
    <row r="6490" spans="2:6">
      <c r="B6490" s="44"/>
      <c r="D6490" s="8"/>
      <c r="E6490" s="8"/>
      <c r="F6490" s="8"/>
    </row>
    <row r="6491" spans="2:6">
      <c r="B6491" s="44"/>
      <c r="D6491" s="8"/>
      <c r="E6491" s="8"/>
      <c r="F6491" s="8"/>
    </row>
    <row r="6492" spans="2:6">
      <c r="B6492" s="44"/>
      <c r="D6492" s="8"/>
      <c r="E6492" s="8"/>
      <c r="F6492" s="8"/>
    </row>
    <row r="6493" spans="2:6">
      <c r="B6493" s="44"/>
      <c r="D6493" s="8"/>
      <c r="E6493" s="8"/>
      <c r="F6493" s="8"/>
    </row>
    <row r="6494" spans="2:6">
      <c r="B6494" s="44"/>
      <c r="D6494" s="8"/>
      <c r="E6494" s="8"/>
      <c r="F6494" s="8"/>
    </row>
    <row r="6495" spans="2:6">
      <c r="B6495" s="44"/>
      <c r="D6495" s="8"/>
      <c r="E6495" s="8"/>
      <c r="F6495" s="8"/>
    </row>
    <row r="6496" spans="2:6">
      <c r="B6496" s="44"/>
      <c r="D6496" s="8"/>
      <c r="E6496" s="8"/>
      <c r="F6496" s="8"/>
    </row>
    <row r="6497" spans="2:6">
      <c r="B6497" s="44"/>
      <c r="D6497" s="8"/>
      <c r="E6497" s="8"/>
      <c r="F6497" s="8"/>
    </row>
    <row r="6498" spans="2:6">
      <c r="B6498" s="44"/>
      <c r="D6498" s="8"/>
      <c r="E6498" s="8"/>
      <c r="F6498" s="8"/>
    </row>
    <row r="6499" spans="2:6">
      <c r="B6499" s="44"/>
      <c r="D6499" s="8"/>
      <c r="E6499" s="8"/>
      <c r="F6499" s="8"/>
    </row>
    <row r="6500" spans="2:6">
      <c r="B6500" s="44"/>
      <c r="D6500" s="8"/>
      <c r="E6500" s="8"/>
      <c r="F6500" s="8"/>
    </row>
    <row r="6501" spans="2:6">
      <c r="B6501" s="44"/>
      <c r="D6501" s="8"/>
      <c r="E6501" s="8"/>
      <c r="F6501" s="8"/>
    </row>
    <row r="6502" spans="2:6">
      <c r="B6502" s="44"/>
      <c r="D6502" s="8"/>
      <c r="E6502" s="8"/>
      <c r="F6502" s="8"/>
    </row>
    <row r="6503" spans="2:6">
      <c r="B6503" s="44"/>
      <c r="D6503" s="8"/>
      <c r="E6503" s="8"/>
      <c r="F6503" s="8"/>
    </row>
    <row r="6504" spans="2:6">
      <c r="B6504" s="44"/>
      <c r="D6504" s="8"/>
      <c r="E6504" s="8"/>
      <c r="F6504" s="8"/>
    </row>
    <row r="6505" spans="2:6">
      <c r="B6505" s="44"/>
      <c r="D6505" s="8"/>
      <c r="E6505" s="8"/>
      <c r="F6505" s="8"/>
    </row>
    <row r="6506" spans="2:6">
      <c r="B6506" s="44"/>
      <c r="D6506" s="8"/>
      <c r="E6506" s="8"/>
      <c r="F6506" s="8"/>
    </row>
    <row r="6507" spans="2:6">
      <c r="B6507" s="44"/>
      <c r="D6507" s="8"/>
      <c r="E6507" s="8"/>
      <c r="F6507" s="8"/>
    </row>
    <row r="6508" spans="2:6">
      <c r="B6508" s="44"/>
      <c r="D6508" s="8"/>
      <c r="E6508" s="8"/>
      <c r="F6508" s="8"/>
    </row>
    <row r="6509" spans="2:6">
      <c r="B6509" s="44"/>
      <c r="D6509" s="8"/>
      <c r="E6509" s="8"/>
      <c r="F6509" s="8"/>
    </row>
    <row r="6510" spans="2:6">
      <c r="B6510" s="44"/>
      <c r="D6510" s="8"/>
      <c r="E6510" s="8"/>
      <c r="F6510" s="8"/>
    </row>
    <row r="6511" spans="2:6">
      <c r="B6511" s="44"/>
      <c r="D6511" s="8"/>
      <c r="E6511" s="8"/>
      <c r="F6511" s="8"/>
    </row>
    <row r="6512" spans="2:6">
      <c r="B6512" s="44"/>
      <c r="D6512" s="8"/>
      <c r="E6512" s="8"/>
      <c r="F6512" s="8"/>
    </row>
    <row r="6513" spans="2:6">
      <c r="B6513" s="44"/>
      <c r="D6513" s="8"/>
      <c r="E6513" s="8"/>
      <c r="F6513" s="8"/>
    </row>
    <row r="6514" spans="2:6">
      <c r="B6514" s="44"/>
      <c r="D6514" s="8"/>
      <c r="E6514" s="8"/>
      <c r="F6514" s="8"/>
    </row>
    <row r="6515" spans="2:6">
      <c r="B6515" s="44"/>
      <c r="D6515" s="8"/>
      <c r="E6515" s="8"/>
      <c r="F6515" s="8"/>
    </row>
    <row r="6516" spans="2:6">
      <c r="B6516" s="44"/>
      <c r="D6516" s="8"/>
      <c r="E6516" s="8"/>
      <c r="F6516" s="8"/>
    </row>
    <row r="6517" spans="2:6">
      <c r="B6517" s="44"/>
      <c r="D6517" s="8"/>
      <c r="E6517" s="8"/>
      <c r="F6517" s="8"/>
    </row>
    <row r="6518" spans="2:6">
      <c r="B6518" s="44"/>
      <c r="D6518" s="8"/>
      <c r="E6518" s="8"/>
      <c r="F6518" s="8"/>
    </row>
    <row r="6519" spans="2:6">
      <c r="B6519" s="44"/>
      <c r="D6519" s="8"/>
      <c r="E6519" s="8"/>
      <c r="F6519" s="8"/>
    </row>
    <row r="6520" spans="2:6">
      <c r="B6520" s="44"/>
      <c r="D6520" s="8"/>
      <c r="E6520" s="8"/>
      <c r="F6520" s="8"/>
    </row>
    <row r="6521" spans="2:6">
      <c r="B6521" s="44"/>
      <c r="D6521" s="8"/>
      <c r="E6521" s="8"/>
      <c r="F6521" s="8"/>
    </row>
    <row r="6522" spans="2:6">
      <c r="B6522" s="44"/>
      <c r="D6522" s="8"/>
      <c r="E6522" s="8"/>
      <c r="F6522" s="8"/>
    </row>
    <row r="6523" spans="2:6">
      <c r="B6523" s="44"/>
      <c r="D6523" s="8"/>
      <c r="E6523" s="8"/>
      <c r="F6523" s="8"/>
    </row>
    <row r="6524" spans="2:6">
      <c r="B6524" s="44"/>
      <c r="D6524" s="8"/>
      <c r="E6524" s="8"/>
      <c r="F6524" s="8"/>
    </row>
    <row r="6525" spans="2:6">
      <c r="B6525" s="44"/>
      <c r="D6525" s="8"/>
      <c r="E6525" s="8"/>
      <c r="F6525" s="8"/>
    </row>
    <row r="6526" spans="2:6">
      <c r="B6526" s="44"/>
      <c r="D6526" s="8"/>
      <c r="E6526" s="8"/>
      <c r="F6526" s="8"/>
    </row>
    <row r="6527" spans="2:6">
      <c r="B6527" s="44"/>
      <c r="D6527" s="8"/>
      <c r="E6527" s="8"/>
      <c r="F6527" s="8"/>
    </row>
    <row r="6528" spans="2:6">
      <c r="B6528" s="44"/>
      <c r="D6528" s="8"/>
      <c r="E6528" s="8"/>
      <c r="F6528" s="8"/>
    </row>
    <row r="6529" spans="2:6">
      <c r="B6529" s="44"/>
      <c r="D6529" s="8"/>
      <c r="E6529" s="8"/>
      <c r="F6529" s="8"/>
    </row>
    <row r="6530" spans="2:6">
      <c r="B6530" s="44"/>
      <c r="D6530" s="8"/>
      <c r="E6530" s="8"/>
      <c r="F6530" s="8"/>
    </row>
    <row r="6531" spans="2:6">
      <c r="B6531" s="44"/>
      <c r="D6531" s="8"/>
      <c r="E6531" s="8"/>
      <c r="F6531" s="8"/>
    </row>
    <row r="6532" spans="2:6">
      <c r="B6532" s="44"/>
      <c r="D6532" s="8"/>
      <c r="E6532" s="8"/>
      <c r="F6532" s="8"/>
    </row>
    <row r="6533" spans="2:6">
      <c r="B6533" s="44"/>
      <c r="D6533" s="8"/>
      <c r="E6533" s="8"/>
      <c r="F6533" s="8"/>
    </row>
    <row r="6534" spans="2:6">
      <c r="B6534" s="44"/>
      <c r="D6534" s="8"/>
      <c r="E6534" s="8"/>
      <c r="F6534" s="8"/>
    </row>
    <row r="6535" spans="2:6">
      <c r="B6535" s="44"/>
      <c r="D6535" s="8"/>
      <c r="E6535" s="8"/>
      <c r="F6535" s="8"/>
    </row>
    <row r="6536" spans="2:6">
      <c r="B6536" s="44"/>
      <c r="D6536" s="8"/>
      <c r="E6536" s="8"/>
      <c r="F6536" s="8"/>
    </row>
    <row r="6537" spans="2:6">
      <c r="B6537" s="44"/>
      <c r="D6537" s="8"/>
      <c r="E6537" s="8"/>
      <c r="F6537" s="8"/>
    </row>
    <row r="6538" spans="2:6">
      <c r="B6538" s="44"/>
      <c r="D6538" s="8"/>
      <c r="E6538" s="8"/>
      <c r="F6538" s="8"/>
    </row>
    <row r="6539" spans="2:6">
      <c r="B6539" s="44"/>
      <c r="D6539" s="8"/>
      <c r="E6539" s="8"/>
      <c r="F6539" s="8"/>
    </row>
    <row r="6540" spans="2:6">
      <c r="B6540" s="44"/>
      <c r="D6540" s="8"/>
      <c r="E6540" s="8"/>
      <c r="F6540" s="8"/>
    </row>
    <row r="6541" spans="2:6">
      <c r="B6541" s="44"/>
      <c r="D6541" s="8"/>
      <c r="E6541" s="8"/>
      <c r="F6541" s="8"/>
    </row>
    <row r="6542" spans="2:6">
      <c r="B6542" s="44"/>
      <c r="D6542" s="8"/>
      <c r="E6542" s="8"/>
      <c r="F6542" s="8"/>
    </row>
    <row r="6543" spans="2:6">
      <c r="B6543" s="44"/>
      <c r="D6543" s="8"/>
      <c r="E6543" s="8"/>
      <c r="F6543" s="8"/>
    </row>
    <row r="6544" spans="2:6">
      <c r="B6544" s="44"/>
      <c r="D6544" s="8"/>
      <c r="E6544" s="8"/>
      <c r="F6544" s="8"/>
    </row>
    <row r="6545" spans="2:6">
      <c r="B6545" s="44"/>
      <c r="D6545" s="8"/>
      <c r="E6545" s="8"/>
      <c r="F6545" s="8"/>
    </row>
    <row r="6546" spans="2:6">
      <c r="B6546" s="44"/>
      <c r="D6546" s="8"/>
      <c r="E6546" s="8"/>
      <c r="F6546" s="8"/>
    </row>
    <row r="6547" spans="2:6">
      <c r="B6547" s="44"/>
      <c r="D6547" s="8"/>
      <c r="E6547" s="8"/>
      <c r="F6547" s="8"/>
    </row>
    <row r="6548" spans="2:6">
      <c r="B6548" s="44"/>
      <c r="D6548" s="8"/>
      <c r="E6548" s="8"/>
      <c r="F6548" s="8"/>
    </row>
    <row r="6549" spans="2:6">
      <c r="B6549" s="44"/>
      <c r="D6549" s="8"/>
      <c r="E6549" s="8"/>
      <c r="F6549" s="8"/>
    </row>
    <row r="6550" spans="2:6">
      <c r="B6550" s="44"/>
      <c r="D6550" s="8"/>
      <c r="E6550" s="8"/>
      <c r="F6550" s="8"/>
    </row>
    <row r="6551" spans="2:6">
      <c r="B6551" s="44"/>
      <c r="D6551" s="8"/>
      <c r="E6551" s="8"/>
      <c r="F6551" s="8"/>
    </row>
    <row r="6552" spans="2:6">
      <c r="B6552" s="44"/>
      <c r="D6552" s="8"/>
      <c r="E6552" s="8"/>
      <c r="F6552" s="8"/>
    </row>
    <row r="6553" spans="2:6">
      <c r="B6553" s="44"/>
      <c r="D6553" s="8"/>
      <c r="E6553" s="8"/>
      <c r="F6553" s="8"/>
    </row>
    <row r="6554" spans="2:6">
      <c r="B6554" s="44"/>
      <c r="D6554" s="8"/>
      <c r="E6554" s="8"/>
      <c r="F6554" s="8"/>
    </row>
    <row r="6555" spans="2:6">
      <c r="B6555" s="44"/>
      <c r="D6555" s="8"/>
      <c r="E6555" s="8"/>
      <c r="F6555" s="8"/>
    </row>
    <row r="6556" spans="2:6">
      <c r="B6556" s="44"/>
      <c r="D6556" s="8"/>
      <c r="E6556" s="8"/>
      <c r="F6556" s="8"/>
    </row>
    <row r="6557" spans="2:6">
      <c r="B6557" s="44"/>
      <c r="D6557" s="8"/>
      <c r="E6557" s="8"/>
      <c r="F6557" s="8"/>
    </row>
    <row r="6558" spans="2:6">
      <c r="B6558" s="44"/>
      <c r="D6558" s="8"/>
      <c r="E6558" s="8"/>
      <c r="F6558" s="8"/>
    </row>
    <row r="6559" spans="2:6">
      <c r="B6559" s="44"/>
      <c r="D6559" s="8"/>
      <c r="E6559" s="8"/>
      <c r="F6559" s="8"/>
    </row>
    <row r="6560" spans="2:6">
      <c r="B6560" s="44"/>
      <c r="D6560" s="8"/>
      <c r="E6560" s="8"/>
      <c r="F6560" s="8"/>
    </row>
    <row r="6561" spans="2:6">
      <c r="B6561" s="44"/>
      <c r="D6561" s="8"/>
      <c r="E6561" s="8"/>
      <c r="F6561" s="8"/>
    </row>
    <row r="6562" spans="2:6">
      <c r="B6562" s="44"/>
      <c r="D6562" s="8"/>
      <c r="E6562" s="8"/>
      <c r="F6562" s="8"/>
    </row>
    <row r="6563" spans="2:6">
      <c r="B6563" s="44"/>
      <c r="D6563" s="8"/>
      <c r="E6563" s="8"/>
      <c r="F6563" s="8"/>
    </row>
    <row r="6564" spans="2:6">
      <c r="B6564" s="44"/>
      <c r="D6564" s="8"/>
      <c r="E6564" s="8"/>
      <c r="F6564" s="8"/>
    </row>
    <row r="6565" spans="2:6">
      <c r="B6565" s="44"/>
      <c r="D6565" s="8"/>
      <c r="E6565" s="8"/>
      <c r="F6565" s="8"/>
    </row>
    <row r="6566" spans="2:6">
      <c r="B6566" s="44"/>
      <c r="D6566" s="8"/>
      <c r="E6566" s="8"/>
      <c r="F6566" s="8"/>
    </row>
    <row r="6567" spans="2:6">
      <c r="B6567" s="44"/>
      <c r="D6567" s="8"/>
      <c r="E6567" s="8"/>
      <c r="F6567" s="8"/>
    </row>
    <row r="6568" spans="2:6">
      <c r="B6568" s="44"/>
      <c r="D6568" s="8"/>
      <c r="E6568" s="8"/>
      <c r="F6568" s="8"/>
    </row>
    <row r="6569" spans="2:6">
      <c r="B6569" s="44"/>
      <c r="D6569" s="8"/>
      <c r="E6569" s="8"/>
      <c r="F6569" s="8"/>
    </row>
    <row r="6570" spans="2:6">
      <c r="B6570" s="44"/>
      <c r="D6570" s="8"/>
      <c r="E6570" s="8"/>
      <c r="F6570" s="8"/>
    </row>
    <row r="6571" spans="2:6">
      <c r="B6571" s="44"/>
      <c r="D6571" s="8"/>
      <c r="E6571" s="8"/>
      <c r="F6571" s="8"/>
    </row>
    <row r="6572" spans="2:6">
      <c r="B6572" s="44"/>
      <c r="D6572" s="8"/>
      <c r="E6572" s="8"/>
      <c r="F6572" s="8"/>
    </row>
    <row r="6573" spans="2:6">
      <c r="B6573" s="44"/>
      <c r="D6573" s="8"/>
      <c r="E6573" s="8"/>
      <c r="F6573" s="8"/>
    </row>
    <row r="6574" spans="2:6">
      <c r="B6574" s="44"/>
      <c r="D6574" s="8"/>
      <c r="E6574" s="8"/>
      <c r="F6574" s="8"/>
    </row>
    <row r="6575" spans="2:6">
      <c r="B6575" s="44"/>
      <c r="D6575" s="8"/>
      <c r="E6575" s="8"/>
      <c r="F6575" s="8"/>
    </row>
    <row r="6576" spans="2:6">
      <c r="B6576" s="44"/>
      <c r="D6576" s="8"/>
      <c r="E6576" s="8"/>
      <c r="F6576" s="8"/>
    </row>
    <row r="6577" spans="2:6">
      <c r="B6577" s="44"/>
      <c r="D6577" s="8"/>
      <c r="E6577" s="8"/>
      <c r="F6577" s="8"/>
    </row>
    <row r="6578" spans="2:6">
      <c r="B6578" s="44"/>
      <c r="D6578" s="8"/>
      <c r="E6578" s="8"/>
      <c r="F6578" s="8"/>
    </row>
    <row r="6579" spans="2:6">
      <c r="B6579" s="44"/>
      <c r="D6579" s="8"/>
      <c r="E6579" s="8"/>
      <c r="F6579" s="8"/>
    </row>
    <row r="6580" spans="2:6">
      <c r="B6580" s="44"/>
      <c r="D6580" s="8"/>
      <c r="E6580" s="8"/>
      <c r="F6580" s="8"/>
    </row>
    <row r="6581" spans="2:6">
      <c r="B6581" s="44"/>
      <c r="D6581" s="8"/>
      <c r="E6581" s="8"/>
      <c r="F6581" s="8"/>
    </row>
    <row r="6582" spans="2:6">
      <c r="B6582" s="44"/>
      <c r="D6582" s="8"/>
      <c r="E6582" s="8"/>
      <c r="F6582" s="8"/>
    </row>
    <row r="6583" spans="2:6">
      <c r="B6583" s="44"/>
      <c r="D6583" s="8"/>
      <c r="E6583" s="8"/>
      <c r="F6583" s="8"/>
    </row>
    <row r="6584" spans="2:6">
      <c r="B6584" s="44"/>
      <c r="D6584" s="8"/>
      <c r="E6584" s="8"/>
      <c r="F6584" s="8"/>
    </row>
    <row r="6585" spans="2:6">
      <c r="B6585" s="44"/>
      <c r="D6585" s="8"/>
      <c r="E6585" s="8"/>
      <c r="F6585" s="8"/>
    </row>
    <row r="6586" spans="2:6">
      <c r="B6586" s="44"/>
      <c r="D6586" s="8"/>
      <c r="E6586" s="8"/>
      <c r="F6586" s="8"/>
    </row>
    <row r="6587" spans="2:6">
      <c r="B6587" s="44"/>
      <c r="D6587" s="8"/>
      <c r="E6587" s="8"/>
      <c r="F6587" s="8"/>
    </row>
    <row r="6588" spans="2:6">
      <c r="B6588" s="44"/>
      <c r="D6588" s="8"/>
      <c r="E6588" s="8"/>
      <c r="F6588" s="8"/>
    </row>
    <row r="6589" spans="2:6">
      <c r="B6589" s="44"/>
      <c r="D6589" s="8"/>
      <c r="E6589" s="8"/>
      <c r="F6589" s="8"/>
    </row>
    <row r="6590" spans="2:6">
      <c r="B6590" s="44"/>
      <c r="D6590" s="8"/>
      <c r="E6590" s="8"/>
      <c r="F6590" s="8"/>
    </row>
    <row r="6591" spans="2:6">
      <c r="B6591" s="44"/>
      <c r="D6591" s="8"/>
      <c r="E6591" s="8"/>
      <c r="F6591" s="8"/>
    </row>
    <row r="6592" spans="2:6">
      <c r="B6592" s="44"/>
      <c r="D6592" s="8"/>
      <c r="E6592" s="8"/>
      <c r="F6592" s="8"/>
    </row>
    <row r="6593" spans="2:6">
      <c r="B6593" s="44"/>
      <c r="D6593" s="8"/>
      <c r="E6593" s="8"/>
      <c r="F6593" s="8"/>
    </row>
    <row r="6594" spans="2:6">
      <c r="B6594" s="44"/>
      <c r="D6594" s="8"/>
      <c r="E6594" s="8"/>
      <c r="F6594" s="8"/>
    </row>
    <row r="6595" spans="2:6">
      <c r="B6595" s="44"/>
      <c r="D6595" s="8"/>
      <c r="E6595" s="8"/>
      <c r="F6595" s="8"/>
    </row>
    <row r="6596" spans="2:6">
      <c r="B6596" s="44"/>
      <c r="D6596" s="8"/>
      <c r="E6596" s="8"/>
      <c r="F6596" s="8"/>
    </row>
    <row r="6597" spans="2:6">
      <c r="B6597" s="44"/>
      <c r="D6597" s="8"/>
      <c r="E6597" s="8"/>
      <c r="F6597" s="8"/>
    </row>
    <row r="6598" spans="2:6">
      <c r="B6598" s="44"/>
      <c r="D6598" s="8"/>
      <c r="E6598" s="8"/>
      <c r="F6598" s="8"/>
    </row>
    <row r="6599" spans="2:6">
      <c r="B6599" s="44"/>
      <c r="D6599" s="8"/>
      <c r="E6599" s="8"/>
      <c r="F6599" s="8"/>
    </row>
    <row r="6600" spans="2:6">
      <c r="B6600" s="44"/>
      <c r="D6600" s="8"/>
      <c r="E6600" s="8"/>
      <c r="F6600" s="8"/>
    </row>
    <row r="6601" spans="2:6">
      <c r="B6601" s="44"/>
      <c r="D6601" s="8"/>
      <c r="E6601" s="8"/>
      <c r="F6601" s="8"/>
    </row>
    <row r="6602" spans="2:6">
      <c r="B6602" s="44"/>
      <c r="D6602" s="8"/>
      <c r="E6602" s="8"/>
      <c r="F6602" s="8"/>
    </row>
    <row r="6603" spans="2:6">
      <c r="B6603" s="44"/>
      <c r="D6603" s="8"/>
      <c r="E6603" s="8"/>
      <c r="F6603" s="8"/>
    </row>
    <row r="6604" spans="2:6">
      <c r="B6604" s="44"/>
      <c r="D6604" s="8"/>
      <c r="E6604" s="8"/>
      <c r="F6604" s="8"/>
    </row>
    <row r="6605" spans="2:6">
      <c r="B6605" s="44"/>
      <c r="D6605" s="8"/>
      <c r="E6605" s="8"/>
      <c r="F6605" s="8"/>
    </row>
    <row r="6606" spans="2:6">
      <c r="B6606" s="44"/>
      <c r="D6606" s="8"/>
      <c r="E6606" s="8"/>
      <c r="F6606" s="8"/>
    </row>
    <row r="6607" spans="2:6">
      <c r="B6607" s="44"/>
      <c r="D6607" s="8"/>
      <c r="E6607" s="8"/>
      <c r="F6607" s="8"/>
    </row>
    <row r="6608" spans="2:6">
      <c r="B6608" s="44"/>
      <c r="D6608" s="8"/>
      <c r="E6608" s="8"/>
      <c r="F6608" s="8"/>
    </row>
    <row r="6609" spans="2:6">
      <c r="B6609" s="44"/>
      <c r="D6609" s="8"/>
      <c r="E6609" s="8"/>
      <c r="F6609" s="8"/>
    </row>
    <row r="6610" spans="2:6">
      <c r="B6610" s="44"/>
      <c r="D6610" s="8"/>
      <c r="E6610" s="8"/>
      <c r="F6610" s="8"/>
    </row>
    <row r="6611" spans="2:6">
      <c r="B6611" s="44"/>
      <c r="D6611" s="8"/>
      <c r="E6611" s="8"/>
      <c r="F6611" s="8"/>
    </row>
    <row r="6612" spans="2:6">
      <c r="B6612" s="44"/>
      <c r="D6612" s="8"/>
      <c r="E6612" s="8"/>
      <c r="F6612" s="8"/>
    </row>
    <row r="6613" spans="2:6">
      <c r="B6613" s="44"/>
      <c r="D6613" s="8"/>
      <c r="E6613" s="8"/>
      <c r="F6613" s="8"/>
    </row>
    <row r="6614" spans="2:6">
      <c r="B6614" s="44"/>
      <c r="D6614" s="8"/>
      <c r="E6614" s="8"/>
      <c r="F6614" s="8"/>
    </row>
    <row r="6615" spans="2:6">
      <c r="B6615" s="44"/>
      <c r="D6615" s="8"/>
      <c r="E6615" s="8"/>
      <c r="F6615" s="8"/>
    </row>
    <row r="6616" spans="2:6">
      <c r="B6616" s="44"/>
      <c r="D6616" s="8"/>
      <c r="E6616" s="8"/>
      <c r="F6616" s="8"/>
    </row>
    <row r="6617" spans="2:6">
      <c r="B6617" s="44"/>
      <c r="D6617" s="8"/>
      <c r="E6617" s="8"/>
      <c r="F6617" s="8"/>
    </row>
    <row r="6618" spans="2:6">
      <c r="B6618" s="44"/>
      <c r="D6618" s="8"/>
      <c r="E6618" s="8"/>
      <c r="F6618" s="8"/>
    </row>
    <row r="6619" spans="2:6">
      <c r="B6619" s="44"/>
      <c r="D6619" s="8"/>
      <c r="E6619" s="8"/>
      <c r="F6619" s="8"/>
    </row>
    <row r="6620" spans="2:6">
      <c r="B6620" s="44"/>
      <c r="D6620" s="8"/>
      <c r="E6620" s="8"/>
      <c r="F6620" s="8"/>
    </row>
    <row r="6621" spans="2:6">
      <c r="B6621" s="44"/>
      <c r="D6621" s="8"/>
      <c r="E6621" s="8"/>
      <c r="F6621" s="8"/>
    </row>
    <row r="6622" spans="2:6">
      <c r="B6622" s="44"/>
      <c r="D6622" s="8"/>
      <c r="E6622" s="8"/>
      <c r="F6622" s="8"/>
    </row>
    <row r="6623" spans="2:6">
      <c r="B6623" s="44"/>
      <c r="D6623" s="8"/>
      <c r="E6623" s="8"/>
      <c r="F6623" s="8"/>
    </row>
    <row r="6624" spans="2:6">
      <c r="B6624" s="44"/>
      <c r="D6624" s="8"/>
      <c r="E6624" s="8"/>
      <c r="F6624" s="8"/>
    </row>
    <row r="6625" spans="2:6">
      <c r="B6625" s="44"/>
      <c r="D6625" s="8"/>
      <c r="E6625" s="8"/>
      <c r="F6625" s="8"/>
    </row>
    <row r="6626" spans="2:6">
      <c r="B6626" s="44"/>
      <c r="D6626" s="8"/>
      <c r="E6626" s="8"/>
      <c r="F6626" s="8"/>
    </row>
    <row r="6627" spans="2:6">
      <c r="B6627" s="44"/>
      <c r="D6627" s="8"/>
      <c r="E6627" s="8"/>
      <c r="F6627" s="8"/>
    </row>
    <row r="6628" spans="2:6">
      <c r="B6628" s="44"/>
      <c r="D6628" s="8"/>
      <c r="E6628" s="8"/>
      <c r="F6628" s="8"/>
    </row>
    <row r="6629" spans="2:6">
      <c r="B6629" s="44"/>
      <c r="D6629" s="8"/>
      <c r="E6629" s="8"/>
      <c r="F6629" s="8"/>
    </row>
    <row r="6630" spans="2:6">
      <c r="B6630" s="44"/>
      <c r="D6630" s="8"/>
      <c r="E6630" s="8"/>
      <c r="F6630" s="8"/>
    </row>
    <row r="6631" spans="2:6">
      <c r="B6631" s="44"/>
      <c r="D6631" s="8"/>
      <c r="E6631" s="8"/>
      <c r="F6631" s="8"/>
    </row>
    <row r="6632" spans="2:6">
      <c r="B6632" s="44"/>
      <c r="D6632" s="8"/>
      <c r="E6632" s="8"/>
      <c r="F6632" s="8"/>
    </row>
    <row r="6633" spans="2:6">
      <c r="B6633" s="44"/>
      <c r="D6633" s="8"/>
      <c r="E6633" s="8"/>
      <c r="F6633" s="8"/>
    </row>
    <row r="6634" spans="2:6">
      <c r="B6634" s="44"/>
      <c r="D6634" s="8"/>
      <c r="E6634" s="8"/>
      <c r="F6634" s="8"/>
    </row>
    <row r="6635" spans="2:6">
      <c r="B6635" s="44"/>
      <c r="D6635" s="8"/>
      <c r="E6635" s="8"/>
      <c r="F6635" s="8"/>
    </row>
    <row r="6636" spans="2:6">
      <c r="B6636" s="44"/>
      <c r="D6636" s="8"/>
      <c r="E6636" s="8"/>
      <c r="F6636" s="8"/>
    </row>
    <row r="6637" spans="2:6">
      <c r="B6637" s="44"/>
      <c r="D6637" s="8"/>
      <c r="E6637" s="8"/>
      <c r="F6637" s="8"/>
    </row>
    <row r="6638" spans="2:6">
      <c r="B6638" s="44"/>
      <c r="D6638" s="8"/>
      <c r="E6638" s="8"/>
      <c r="F6638" s="8"/>
    </row>
    <row r="6639" spans="2:6">
      <c r="B6639" s="44"/>
      <c r="D6639" s="8"/>
      <c r="E6639" s="8"/>
      <c r="F6639" s="8"/>
    </row>
    <row r="6640" spans="2:6">
      <c r="B6640" s="44"/>
      <c r="D6640" s="8"/>
      <c r="E6640" s="8"/>
      <c r="F6640" s="8"/>
    </row>
    <row r="6641" spans="2:6">
      <c r="B6641" s="44"/>
      <c r="D6641" s="8"/>
      <c r="E6641" s="8"/>
      <c r="F6641" s="8"/>
    </row>
    <row r="6642" spans="2:6">
      <c r="B6642" s="44"/>
      <c r="D6642" s="8"/>
      <c r="E6642" s="8"/>
      <c r="F6642" s="8"/>
    </row>
    <row r="6643" spans="2:6">
      <c r="B6643" s="44"/>
      <c r="D6643" s="8"/>
      <c r="E6643" s="8"/>
      <c r="F6643" s="8"/>
    </row>
    <row r="6644" spans="2:6">
      <c r="B6644" s="44"/>
      <c r="D6644" s="8"/>
      <c r="E6644" s="8"/>
      <c r="F6644" s="8"/>
    </row>
    <row r="6645" spans="2:6">
      <c r="B6645" s="44"/>
      <c r="D6645" s="8"/>
      <c r="E6645" s="8"/>
      <c r="F6645" s="8"/>
    </row>
    <row r="6646" spans="2:6">
      <c r="B6646" s="44"/>
      <c r="D6646" s="8"/>
      <c r="E6646" s="8"/>
      <c r="F6646" s="8"/>
    </row>
    <row r="6647" spans="2:6">
      <c r="B6647" s="44"/>
      <c r="D6647" s="8"/>
      <c r="E6647" s="8"/>
      <c r="F6647" s="8"/>
    </row>
    <row r="6648" spans="2:6">
      <c r="B6648" s="44"/>
      <c r="D6648" s="8"/>
      <c r="E6648" s="8"/>
      <c r="F6648" s="8"/>
    </row>
    <row r="6649" spans="2:6">
      <c r="B6649" s="44"/>
      <c r="D6649" s="8"/>
      <c r="E6649" s="8"/>
      <c r="F6649" s="8"/>
    </row>
    <row r="6650" spans="2:6">
      <c r="B6650" s="44"/>
      <c r="D6650" s="8"/>
      <c r="E6650" s="8"/>
      <c r="F6650" s="8"/>
    </row>
    <row r="6651" spans="2:6">
      <c r="B6651" s="44"/>
      <c r="D6651" s="8"/>
      <c r="E6651" s="8"/>
      <c r="F6651" s="8"/>
    </row>
    <row r="6652" spans="2:6">
      <c r="B6652" s="44"/>
      <c r="D6652" s="8"/>
      <c r="E6652" s="8"/>
      <c r="F6652" s="8"/>
    </row>
    <row r="6653" spans="2:6">
      <c r="B6653" s="44"/>
      <c r="D6653" s="8"/>
      <c r="E6653" s="8"/>
      <c r="F6653" s="8"/>
    </row>
    <row r="6654" spans="2:6">
      <c r="B6654" s="44"/>
      <c r="D6654" s="8"/>
      <c r="E6654" s="8"/>
      <c r="F6654" s="8"/>
    </row>
    <row r="6655" spans="2:6">
      <c r="B6655" s="44"/>
      <c r="D6655" s="8"/>
      <c r="E6655" s="8"/>
      <c r="F6655" s="8"/>
    </row>
    <row r="6656" spans="2:6">
      <c r="B6656" s="44"/>
      <c r="D6656" s="8"/>
      <c r="E6656" s="8"/>
      <c r="F6656" s="8"/>
    </row>
    <row r="6657" spans="2:6">
      <c r="B6657" s="44"/>
      <c r="D6657" s="8"/>
      <c r="E6657" s="8"/>
      <c r="F6657" s="8"/>
    </row>
    <row r="6658" spans="2:6">
      <c r="B6658" s="44"/>
      <c r="D6658" s="8"/>
      <c r="E6658" s="8"/>
      <c r="F6658" s="8"/>
    </row>
    <row r="6659" spans="2:6">
      <c r="B6659" s="44"/>
      <c r="D6659" s="8"/>
      <c r="E6659" s="8"/>
      <c r="F6659" s="8"/>
    </row>
    <row r="6660" spans="2:6">
      <c r="B6660" s="44"/>
      <c r="D6660" s="8"/>
      <c r="E6660" s="8"/>
      <c r="F6660" s="8"/>
    </row>
    <row r="6661" spans="2:6">
      <c r="B6661" s="44"/>
      <c r="D6661" s="8"/>
      <c r="E6661" s="8"/>
      <c r="F6661" s="8"/>
    </row>
    <row r="6662" spans="2:6">
      <c r="B6662" s="44"/>
      <c r="D6662" s="8"/>
      <c r="E6662" s="8"/>
      <c r="F6662" s="8"/>
    </row>
    <row r="6663" spans="2:6">
      <c r="B6663" s="44"/>
      <c r="D6663" s="8"/>
      <c r="E6663" s="8"/>
      <c r="F6663" s="8"/>
    </row>
    <row r="6664" spans="2:6">
      <c r="B6664" s="44"/>
      <c r="D6664" s="8"/>
      <c r="E6664" s="8"/>
      <c r="F6664" s="8"/>
    </row>
    <row r="6665" spans="2:6">
      <c r="B6665" s="44"/>
      <c r="D6665" s="8"/>
      <c r="E6665" s="8"/>
      <c r="F6665" s="8"/>
    </row>
    <row r="6666" spans="2:6">
      <c r="B6666" s="44"/>
      <c r="D6666" s="8"/>
      <c r="E6666" s="8"/>
      <c r="F6666" s="8"/>
    </row>
    <row r="6667" spans="2:6">
      <c r="B6667" s="44"/>
      <c r="D6667" s="8"/>
      <c r="E6667" s="8"/>
      <c r="F6667" s="8"/>
    </row>
    <row r="6668" spans="2:6">
      <c r="B6668" s="44"/>
      <c r="D6668" s="8"/>
      <c r="E6668" s="8"/>
      <c r="F6668" s="8"/>
    </row>
    <row r="6669" spans="2:6">
      <c r="B6669" s="44"/>
      <c r="D6669" s="8"/>
      <c r="E6669" s="8"/>
      <c r="F6669" s="8"/>
    </row>
    <row r="6670" spans="2:6">
      <c r="B6670" s="44"/>
      <c r="D6670" s="8"/>
      <c r="E6670" s="8"/>
      <c r="F6670" s="8"/>
    </row>
    <row r="6671" spans="2:6">
      <c r="B6671" s="44"/>
      <c r="D6671" s="8"/>
      <c r="E6671" s="8"/>
      <c r="F6671" s="8"/>
    </row>
    <row r="6672" spans="2:6">
      <c r="B6672" s="44"/>
      <c r="D6672" s="8"/>
      <c r="E6672" s="8"/>
      <c r="F6672" s="8"/>
    </row>
    <row r="6673" spans="2:6">
      <c r="B6673" s="44"/>
      <c r="D6673" s="8"/>
      <c r="E6673" s="8"/>
      <c r="F6673" s="8"/>
    </row>
    <row r="6674" spans="2:6">
      <c r="B6674" s="44"/>
      <c r="D6674" s="8"/>
      <c r="E6674" s="8"/>
      <c r="F6674" s="8"/>
    </row>
    <row r="6675" spans="2:6">
      <c r="B6675" s="44"/>
      <c r="D6675" s="8"/>
      <c r="E6675" s="8"/>
      <c r="F6675" s="8"/>
    </row>
    <row r="6676" spans="2:6">
      <c r="B6676" s="44"/>
      <c r="D6676" s="8"/>
      <c r="E6676" s="8"/>
      <c r="F6676" s="8"/>
    </row>
    <row r="6677" spans="2:6">
      <c r="B6677" s="44"/>
      <c r="D6677" s="8"/>
      <c r="E6677" s="8"/>
      <c r="F6677" s="8"/>
    </row>
    <row r="6678" spans="2:6">
      <c r="B6678" s="44"/>
      <c r="D6678" s="8"/>
      <c r="E6678" s="8"/>
      <c r="F6678" s="8"/>
    </row>
    <row r="6679" spans="2:6">
      <c r="B6679" s="44"/>
      <c r="D6679" s="8"/>
      <c r="E6679" s="8"/>
      <c r="F6679" s="8"/>
    </row>
    <row r="6680" spans="2:6">
      <c r="B6680" s="44"/>
      <c r="D6680" s="8"/>
      <c r="E6680" s="8"/>
      <c r="F6680" s="8"/>
    </row>
    <row r="6681" spans="2:6">
      <c r="B6681" s="44"/>
      <c r="D6681" s="8"/>
      <c r="E6681" s="8"/>
      <c r="F6681" s="8"/>
    </row>
    <row r="6682" spans="2:6">
      <c r="B6682" s="44"/>
      <c r="D6682" s="8"/>
      <c r="E6682" s="8"/>
      <c r="F6682" s="8"/>
    </row>
    <row r="6683" spans="2:6">
      <c r="B6683" s="44"/>
      <c r="D6683" s="8"/>
      <c r="E6683" s="8"/>
      <c r="F6683" s="8"/>
    </row>
    <row r="6684" spans="2:6">
      <c r="B6684" s="44"/>
      <c r="D6684" s="8"/>
      <c r="E6684" s="8"/>
      <c r="F6684" s="8"/>
    </row>
    <row r="6685" spans="2:6">
      <c r="B6685" s="44"/>
      <c r="D6685" s="8"/>
      <c r="E6685" s="8"/>
      <c r="F6685" s="8"/>
    </row>
    <row r="6686" spans="2:6">
      <c r="B6686" s="44"/>
      <c r="D6686" s="8"/>
      <c r="E6686" s="8"/>
      <c r="F6686" s="8"/>
    </row>
    <row r="6687" spans="2:6">
      <c r="B6687" s="44"/>
      <c r="D6687" s="8"/>
      <c r="E6687" s="8"/>
      <c r="F6687" s="8"/>
    </row>
    <row r="6688" spans="2:6">
      <c r="B6688" s="44"/>
      <c r="D6688" s="8"/>
      <c r="E6688" s="8"/>
      <c r="F6688" s="8"/>
    </row>
    <row r="6689" spans="2:6">
      <c r="B6689" s="44"/>
      <c r="D6689" s="8"/>
      <c r="E6689" s="8"/>
      <c r="F6689" s="8"/>
    </row>
    <row r="6690" spans="2:6">
      <c r="B6690" s="44"/>
      <c r="D6690" s="8"/>
      <c r="E6690" s="8"/>
      <c r="F6690" s="8"/>
    </row>
    <row r="6691" spans="2:6">
      <c r="B6691" s="44"/>
      <c r="D6691" s="8"/>
      <c r="E6691" s="8"/>
      <c r="F6691" s="8"/>
    </row>
    <row r="6692" spans="2:6">
      <c r="B6692" s="44"/>
      <c r="D6692" s="8"/>
      <c r="E6692" s="8"/>
      <c r="F6692" s="8"/>
    </row>
    <row r="6693" spans="2:6">
      <c r="B6693" s="44"/>
      <c r="D6693" s="8"/>
      <c r="E6693" s="8"/>
      <c r="F6693" s="8"/>
    </row>
    <row r="6694" spans="2:6">
      <c r="B6694" s="44"/>
      <c r="D6694" s="8"/>
      <c r="E6694" s="8"/>
      <c r="F6694" s="8"/>
    </row>
    <row r="6695" spans="2:6">
      <c r="B6695" s="44"/>
      <c r="D6695" s="8"/>
      <c r="E6695" s="8"/>
      <c r="F6695" s="8"/>
    </row>
    <row r="6696" spans="2:6">
      <c r="B6696" s="44"/>
      <c r="D6696" s="8"/>
      <c r="E6696" s="8"/>
      <c r="F6696" s="8"/>
    </row>
    <row r="6697" spans="2:6">
      <c r="B6697" s="44"/>
      <c r="D6697" s="8"/>
      <c r="E6697" s="8"/>
      <c r="F6697" s="8"/>
    </row>
    <row r="6698" spans="2:6">
      <c r="B6698" s="44"/>
      <c r="D6698" s="8"/>
      <c r="E6698" s="8"/>
      <c r="F6698" s="8"/>
    </row>
    <row r="6699" spans="2:6">
      <c r="B6699" s="44"/>
      <c r="D6699" s="8"/>
      <c r="E6699" s="8"/>
      <c r="F6699" s="8"/>
    </row>
    <row r="6700" spans="2:6">
      <c r="B6700" s="44"/>
      <c r="D6700" s="8"/>
      <c r="E6700" s="8"/>
      <c r="F6700" s="8"/>
    </row>
    <row r="6701" spans="2:6">
      <c r="B6701" s="44"/>
      <c r="D6701" s="8"/>
      <c r="E6701" s="8"/>
      <c r="F6701" s="8"/>
    </row>
    <row r="6702" spans="2:6">
      <c r="B6702" s="44"/>
      <c r="D6702" s="8"/>
      <c r="E6702" s="8"/>
      <c r="F6702" s="8"/>
    </row>
    <row r="6703" spans="2:6">
      <c r="B6703" s="44"/>
      <c r="D6703" s="8"/>
      <c r="E6703" s="8"/>
      <c r="F6703" s="8"/>
    </row>
    <row r="6704" spans="2:6">
      <c r="B6704" s="44"/>
      <c r="D6704" s="8"/>
      <c r="E6704" s="8"/>
      <c r="F6704" s="8"/>
    </row>
    <row r="6705" spans="2:6">
      <c r="B6705" s="44"/>
      <c r="D6705" s="8"/>
      <c r="E6705" s="8"/>
      <c r="F6705" s="8"/>
    </row>
    <row r="6706" spans="2:6">
      <c r="B6706" s="44"/>
      <c r="D6706" s="8"/>
      <c r="E6706" s="8"/>
      <c r="F6706" s="8"/>
    </row>
    <row r="6707" spans="2:6">
      <c r="B6707" s="44"/>
      <c r="D6707" s="8"/>
      <c r="E6707" s="8"/>
      <c r="F6707" s="8"/>
    </row>
    <row r="6708" spans="2:6">
      <c r="B6708" s="44"/>
      <c r="D6708" s="8"/>
      <c r="E6708" s="8"/>
      <c r="F6708" s="8"/>
    </row>
    <row r="6709" spans="2:6">
      <c r="B6709" s="44"/>
      <c r="D6709" s="8"/>
      <c r="E6709" s="8"/>
      <c r="F6709" s="8"/>
    </row>
    <row r="6710" spans="2:6">
      <c r="B6710" s="44"/>
      <c r="D6710" s="8"/>
      <c r="E6710" s="8"/>
      <c r="F6710" s="8"/>
    </row>
    <row r="6711" spans="2:6">
      <c r="B6711" s="44"/>
      <c r="D6711" s="8"/>
      <c r="E6711" s="8"/>
      <c r="F6711" s="8"/>
    </row>
    <row r="6712" spans="2:6">
      <c r="B6712" s="44"/>
      <c r="D6712" s="8"/>
      <c r="E6712" s="8"/>
      <c r="F6712" s="8"/>
    </row>
    <row r="6713" spans="2:6">
      <c r="B6713" s="44"/>
      <c r="D6713" s="8"/>
      <c r="E6713" s="8"/>
      <c r="F6713" s="8"/>
    </row>
    <row r="6714" spans="2:6">
      <c r="B6714" s="44"/>
      <c r="D6714" s="8"/>
      <c r="E6714" s="8"/>
      <c r="F6714" s="8"/>
    </row>
    <row r="6715" spans="2:6">
      <c r="B6715" s="44"/>
      <c r="D6715" s="8"/>
      <c r="E6715" s="8"/>
      <c r="F6715" s="8"/>
    </row>
    <row r="6716" spans="2:6">
      <c r="B6716" s="44"/>
      <c r="D6716" s="8"/>
      <c r="E6716" s="8"/>
      <c r="F6716" s="8"/>
    </row>
    <row r="6717" spans="2:6">
      <c r="B6717" s="44"/>
      <c r="D6717" s="8"/>
      <c r="E6717" s="8"/>
      <c r="F6717" s="8"/>
    </row>
    <row r="6718" spans="2:6">
      <c r="B6718" s="44"/>
      <c r="D6718" s="8"/>
      <c r="E6718" s="8"/>
      <c r="F6718" s="8"/>
    </row>
    <row r="6719" spans="2:6">
      <c r="B6719" s="44"/>
      <c r="D6719" s="8"/>
      <c r="E6719" s="8"/>
      <c r="F6719" s="8"/>
    </row>
    <row r="6720" spans="2:6">
      <c r="B6720" s="44"/>
      <c r="D6720" s="8"/>
      <c r="E6720" s="8"/>
      <c r="F6720" s="8"/>
    </row>
    <row r="6721" spans="2:6">
      <c r="B6721" s="44"/>
      <c r="D6721" s="8"/>
      <c r="E6721" s="8"/>
      <c r="F6721" s="8"/>
    </row>
    <row r="6722" spans="2:6">
      <c r="B6722" s="44"/>
      <c r="D6722" s="8"/>
      <c r="E6722" s="8"/>
      <c r="F6722" s="8"/>
    </row>
    <row r="6723" spans="2:6">
      <c r="B6723" s="44"/>
      <c r="D6723" s="8"/>
      <c r="E6723" s="8"/>
      <c r="F6723" s="8"/>
    </row>
    <row r="6724" spans="2:6">
      <c r="B6724" s="44"/>
      <c r="D6724" s="8"/>
      <c r="E6724" s="8"/>
      <c r="F6724" s="8"/>
    </row>
    <row r="6725" spans="2:6">
      <c r="B6725" s="44"/>
      <c r="D6725" s="8"/>
      <c r="E6725" s="8"/>
      <c r="F6725" s="8"/>
    </row>
    <row r="6726" spans="2:6">
      <c r="B6726" s="44"/>
      <c r="D6726" s="8"/>
      <c r="E6726" s="8"/>
      <c r="F6726" s="8"/>
    </row>
    <row r="6727" spans="2:6">
      <c r="B6727" s="44"/>
      <c r="D6727" s="8"/>
      <c r="E6727" s="8"/>
      <c r="F6727" s="8"/>
    </row>
    <row r="6728" spans="2:6">
      <c r="B6728" s="44"/>
      <c r="D6728" s="8"/>
      <c r="E6728" s="8"/>
      <c r="F6728" s="8"/>
    </row>
    <row r="6729" spans="2:6">
      <c r="B6729" s="44"/>
      <c r="D6729" s="8"/>
      <c r="E6729" s="8"/>
      <c r="F6729" s="8"/>
    </row>
    <row r="6730" spans="2:6">
      <c r="B6730" s="44"/>
      <c r="D6730" s="8"/>
      <c r="E6730" s="8"/>
      <c r="F6730" s="8"/>
    </row>
    <row r="6731" spans="2:6">
      <c r="B6731" s="44"/>
      <c r="D6731" s="8"/>
      <c r="E6731" s="8"/>
      <c r="F6731" s="8"/>
    </row>
    <row r="6732" spans="2:6">
      <c r="B6732" s="44"/>
      <c r="D6732" s="8"/>
      <c r="E6732" s="8"/>
      <c r="F6732" s="8"/>
    </row>
    <row r="6733" spans="2:6">
      <c r="B6733" s="44"/>
      <c r="D6733" s="8"/>
      <c r="E6733" s="8"/>
      <c r="F6733" s="8"/>
    </row>
    <row r="6734" spans="2:6">
      <c r="B6734" s="44"/>
      <c r="D6734" s="8"/>
      <c r="E6734" s="8"/>
      <c r="F6734" s="8"/>
    </row>
    <row r="6735" spans="2:6">
      <c r="B6735" s="44"/>
      <c r="D6735" s="8"/>
      <c r="E6735" s="8"/>
      <c r="F6735" s="8"/>
    </row>
    <row r="6736" spans="2:6">
      <c r="B6736" s="44"/>
      <c r="D6736" s="8"/>
      <c r="E6736" s="8"/>
      <c r="F6736" s="8"/>
    </row>
    <row r="6737" spans="2:6">
      <c r="B6737" s="44"/>
      <c r="D6737" s="8"/>
      <c r="E6737" s="8"/>
      <c r="F6737" s="8"/>
    </row>
    <row r="6738" spans="2:6">
      <c r="B6738" s="44"/>
      <c r="D6738" s="8"/>
      <c r="E6738" s="8"/>
      <c r="F6738" s="8"/>
    </row>
    <row r="6739" spans="2:6">
      <c r="B6739" s="44"/>
      <c r="D6739" s="8"/>
      <c r="E6739" s="8"/>
      <c r="F6739" s="8"/>
    </row>
    <row r="6740" spans="2:6">
      <c r="B6740" s="44"/>
      <c r="D6740" s="8"/>
      <c r="E6740" s="8"/>
      <c r="F6740" s="8"/>
    </row>
    <row r="6741" spans="2:6">
      <c r="B6741" s="44"/>
      <c r="D6741" s="8"/>
      <c r="E6741" s="8"/>
      <c r="F6741" s="8"/>
    </row>
    <row r="6742" spans="2:6">
      <c r="B6742" s="44"/>
      <c r="D6742" s="8"/>
      <c r="E6742" s="8"/>
      <c r="F6742" s="8"/>
    </row>
    <row r="6743" spans="2:6">
      <c r="B6743" s="44"/>
      <c r="D6743" s="8"/>
      <c r="E6743" s="8"/>
      <c r="F6743" s="8"/>
    </row>
    <row r="6744" spans="2:6">
      <c r="B6744" s="44"/>
      <c r="D6744" s="8"/>
      <c r="E6744" s="8"/>
      <c r="F6744" s="8"/>
    </row>
    <row r="6745" spans="2:6">
      <c r="B6745" s="44"/>
      <c r="D6745" s="8"/>
      <c r="E6745" s="8"/>
      <c r="F6745" s="8"/>
    </row>
    <row r="6746" spans="2:6">
      <c r="B6746" s="44"/>
      <c r="D6746" s="8"/>
      <c r="E6746" s="8"/>
      <c r="F6746" s="8"/>
    </row>
    <row r="6747" spans="2:6">
      <c r="B6747" s="44"/>
      <c r="D6747" s="8"/>
      <c r="E6747" s="8"/>
      <c r="F6747" s="8"/>
    </row>
    <row r="6748" spans="2:6">
      <c r="B6748" s="44"/>
      <c r="D6748" s="8"/>
      <c r="E6748" s="8"/>
      <c r="F6748" s="8"/>
    </row>
    <row r="6749" spans="2:6">
      <c r="B6749" s="44"/>
      <c r="D6749" s="8"/>
      <c r="E6749" s="8"/>
      <c r="F6749" s="8"/>
    </row>
    <row r="6750" spans="2:6">
      <c r="B6750" s="44"/>
      <c r="D6750" s="8"/>
      <c r="E6750" s="8"/>
      <c r="F6750" s="8"/>
    </row>
    <row r="6751" spans="2:6">
      <c r="B6751" s="44"/>
      <c r="D6751" s="8"/>
      <c r="E6751" s="8"/>
      <c r="F6751" s="8"/>
    </row>
    <row r="6752" spans="2:6">
      <c r="B6752" s="44"/>
      <c r="D6752" s="8"/>
      <c r="E6752" s="8"/>
      <c r="F6752" s="8"/>
    </row>
    <row r="6753" spans="2:6">
      <c r="B6753" s="44"/>
      <c r="D6753" s="8"/>
      <c r="E6753" s="8"/>
      <c r="F6753" s="8"/>
    </row>
    <row r="6754" spans="2:6">
      <c r="B6754" s="44"/>
      <c r="D6754" s="8"/>
      <c r="E6754" s="8"/>
      <c r="F6754" s="8"/>
    </row>
    <row r="6755" spans="2:6">
      <c r="B6755" s="44"/>
      <c r="D6755" s="8"/>
      <c r="E6755" s="8"/>
      <c r="F6755" s="8"/>
    </row>
    <row r="6756" spans="2:6">
      <c r="B6756" s="44"/>
      <c r="D6756" s="8"/>
      <c r="E6756" s="8"/>
      <c r="F6756" s="8"/>
    </row>
    <row r="6757" spans="2:6">
      <c r="B6757" s="44"/>
      <c r="D6757" s="8"/>
      <c r="E6757" s="8"/>
      <c r="F6757" s="8"/>
    </row>
    <row r="6758" spans="2:6">
      <c r="B6758" s="44"/>
      <c r="D6758" s="8"/>
      <c r="E6758" s="8"/>
      <c r="F6758" s="8"/>
    </row>
    <row r="6759" spans="2:6">
      <c r="B6759" s="44"/>
      <c r="D6759" s="8"/>
      <c r="E6759" s="8"/>
      <c r="F6759" s="8"/>
    </row>
    <row r="6760" spans="2:6">
      <c r="B6760" s="44"/>
      <c r="D6760" s="8"/>
      <c r="E6760" s="8"/>
      <c r="F6760" s="8"/>
    </row>
    <row r="6761" spans="2:6">
      <c r="B6761" s="44"/>
      <c r="D6761" s="8"/>
      <c r="E6761" s="8"/>
      <c r="F6761" s="8"/>
    </row>
    <row r="6762" spans="2:6">
      <c r="B6762" s="44"/>
      <c r="D6762" s="8"/>
      <c r="E6762" s="8"/>
      <c r="F6762" s="8"/>
    </row>
    <row r="6763" spans="2:6">
      <c r="B6763" s="44"/>
      <c r="D6763" s="8"/>
      <c r="E6763" s="8"/>
      <c r="F6763" s="8"/>
    </row>
    <row r="6764" spans="2:6">
      <c r="B6764" s="44"/>
      <c r="D6764" s="8"/>
      <c r="E6764" s="8"/>
      <c r="F6764" s="8"/>
    </row>
    <row r="6765" spans="2:6">
      <c r="B6765" s="44"/>
      <c r="D6765" s="8"/>
      <c r="E6765" s="8"/>
      <c r="F6765" s="8"/>
    </row>
    <row r="6766" spans="2:6">
      <c r="B6766" s="44"/>
      <c r="D6766" s="8"/>
      <c r="E6766" s="8"/>
      <c r="F6766" s="8"/>
    </row>
    <row r="6767" spans="2:6">
      <c r="B6767" s="44"/>
      <c r="D6767" s="8"/>
      <c r="E6767" s="8"/>
      <c r="F6767" s="8"/>
    </row>
    <row r="6768" spans="2:6">
      <c r="B6768" s="44"/>
      <c r="D6768" s="8"/>
      <c r="E6768" s="8"/>
      <c r="F6768" s="8"/>
    </row>
    <row r="6769" spans="2:6">
      <c r="B6769" s="44"/>
      <c r="D6769" s="8"/>
      <c r="E6769" s="8"/>
      <c r="F6769" s="8"/>
    </row>
    <row r="6770" spans="2:6">
      <c r="B6770" s="44"/>
      <c r="D6770" s="8"/>
      <c r="E6770" s="8"/>
      <c r="F6770" s="8"/>
    </row>
    <row r="6771" spans="2:6">
      <c r="B6771" s="44"/>
      <c r="D6771" s="8"/>
      <c r="E6771" s="8"/>
      <c r="F6771" s="8"/>
    </row>
    <row r="6772" spans="2:6">
      <c r="B6772" s="44"/>
      <c r="D6772" s="8"/>
      <c r="E6772" s="8"/>
      <c r="F6772" s="8"/>
    </row>
    <row r="6773" spans="2:6">
      <c r="B6773" s="44"/>
      <c r="D6773" s="8"/>
      <c r="E6773" s="8"/>
      <c r="F6773" s="8"/>
    </row>
    <row r="6774" spans="2:6">
      <c r="B6774" s="44"/>
      <c r="D6774" s="8"/>
      <c r="E6774" s="8"/>
      <c r="F6774" s="8"/>
    </row>
    <row r="6775" spans="2:6">
      <c r="B6775" s="44"/>
      <c r="D6775" s="8"/>
      <c r="E6775" s="8"/>
      <c r="F6775" s="8"/>
    </row>
    <row r="6776" spans="2:6">
      <c r="B6776" s="44"/>
      <c r="D6776" s="8"/>
      <c r="E6776" s="8"/>
      <c r="F6776" s="8"/>
    </row>
    <row r="6777" spans="2:6">
      <c r="B6777" s="44"/>
      <c r="D6777" s="8"/>
      <c r="E6777" s="8"/>
      <c r="F6777" s="8"/>
    </row>
    <row r="6778" spans="2:6">
      <c r="B6778" s="44"/>
      <c r="D6778" s="8"/>
      <c r="E6778" s="8"/>
      <c r="F6778" s="8"/>
    </row>
    <row r="6779" spans="2:6">
      <c r="B6779" s="44"/>
      <c r="D6779" s="8"/>
      <c r="E6779" s="8"/>
      <c r="F6779" s="8"/>
    </row>
    <row r="6780" spans="2:6">
      <c r="B6780" s="44"/>
      <c r="D6780" s="8"/>
      <c r="E6780" s="8"/>
      <c r="F6780" s="8"/>
    </row>
    <row r="6781" spans="2:6">
      <c r="B6781" s="44"/>
      <c r="D6781" s="8"/>
      <c r="E6781" s="8"/>
      <c r="F6781" s="8"/>
    </row>
    <row r="6782" spans="2:6">
      <c r="B6782" s="44"/>
      <c r="D6782" s="8"/>
      <c r="E6782" s="8"/>
      <c r="F6782" s="8"/>
    </row>
    <row r="6783" spans="2:6">
      <c r="B6783" s="44"/>
      <c r="D6783" s="8"/>
      <c r="E6783" s="8"/>
      <c r="F6783" s="8"/>
    </row>
    <row r="6784" spans="2:6">
      <c r="B6784" s="44"/>
      <c r="D6784" s="8"/>
      <c r="E6784" s="8"/>
      <c r="F6784" s="8"/>
    </row>
    <row r="6785" spans="2:6">
      <c r="B6785" s="44"/>
      <c r="D6785" s="8"/>
      <c r="E6785" s="8"/>
      <c r="F6785" s="8"/>
    </row>
    <row r="6786" spans="2:6">
      <c r="B6786" s="44"/>
      <c r="D6786" s="8"/>
      <c r="E6786" s="8"/>
      <c r="F6786" s="8"/>
    </row>
    <row r="6787" spans="2:6">
      <c r="B6787" s="44"/>
      <c r="D6787" s="8"/>
      <c r="E6787" s="8"/>
      <c r="F6787" s="8"/>
    </row>
    <row r="6788" spans="2:6">
      <c r="B6788" s="44"/>
      <c r="D6788" s="8"/>
      <c r="E6788" s="8"/>
      <c r="F6788" s="8"/>
    </row>
    <row r="6789" spans="2:6">
      <c r="B6789" s="44"/>
      <c r="D6789" s="8"/>
      <c r="E6789" s="8"/>
      <c r="F6789" s="8"/>
    </row>
    <row r="6790" spans="2:6">
      <c r="B6790" s="44"/>
      <c r="D6790" s="8"/>
      <c r="E6790" s="8"/>
      <c r="F6790" s="8"/>
    </row>
    <row r="6791" spans="2:6">
      <c r="B6791" s="44"/>
      <c r="D6791" s="8"/>
      <c r="E6791" s="8"/>
      <c r="F6791" s="8"/>
    </row>
    <row r="6792" spans="2:6">
      <c r="B6792" s="44"/>
      <c r="D6792" s="8"/>
      <c r="E6792" s="8"/>
      <c r="F6792" s="8"/>
    </row>
    <row r="6793" spans="2:6">
      <c r="B6793" s="44"/>
      <c r="D6793" s="8"/>
      <c r="E6793" s="8"/>
      <c r="F6793" s="8"/>
    </row>
    <row r="6794" spans="2:6">
      <c r="B6794" s="44"/>
      <c r="D6794" s="8"/>
      <c r="E6794" s="8"/>
      <c r="F6794" s="8"/>
    </row>
    <row r="6795" spans="2:6">
      <c r="B6795" s="44"/>
      <c r="D6795" s="8"/>
      <c r="E6795" s="8"/>
      <c r="F6795" s="8"/>
    </row>
    <row r="6796" spans="2:6">
      <c r="B6796" s="44"/>
      <c r="D6796" s="8"/>
      <c r="E6796" s="8"/>
      <c r="F6796" s="8"/>
    </row>
    <row r="6797" spans="2:6">
      <c r="B6797" s="44"/>
      <c r="D6797" s="8"/>
      <c r="E6797" s="8"/>
      <c r="F6797" s="8"/>
    </row>
    <row r="6798" spans="2:6">
      <c r="B6798" s="44"/>
      <c r="D6798" s="8"/>
      <c r="E6798" s="8"/>
      <c r="F6798" s="8"/>
    </row>
    <row r="6799" spans="2:6">
      <c r="B6799" s="44"/>
      <c r="D6799" s="8"/>
      <c r="E6799" s="8"/>
      <c r="F6799" s="8"/>
    </row>
    <row r="6800" spans="2:6">
      <c r="B6800" s="44"/>
      <c r="D6800" s="8"/>
      <c r="E6800" s="8"/>
      <c r="F6800" s="8"/>
    </row>
    <row r="6801" spans="2:6">
      <c r="B6801" s="44"/>
      <c r="D6801" s="8"/>
      <c r="E6801" s="8"/>
      <c r="F6801" s="8"/>
    </row>
    <row r="6802" spans="2:6">
      <c r="B6802" s="44"/>
      <c r="D6802" s="8"/>
      <c r="E6802" s="8"/>
      <c r="F6802" s="8"/>
    </row>
    <row r="6803" spans="2:6">
      <c r="B6803" s="44"/>
      <c r="D6803" s="8"/>
      <c r="E6803" s="8"/>
      <c r="F6803" s="8"/>
    </row>
    <row r="6804" spans="2:6">
      <c r="B6804" s="44"/>
      <c r="D6804" s="8"/>
      <c r="E6804" s="8"/>
      <c r="F6804" s="8"/>
    </row>
    <row r="6805" spans="2:6">
      <c r="B6805" s="44"/>
      <c r="D6805" s="8"/>
      <c r="E6805" s="8"/>
      <c r="F6805" s="8"/>
    </row>
    <row r="6806" spans="2:6">
      <c r="B6806" s="44"/>
      <c r="D6806" s="8"/>
      <c r="E6806" s="8"/>
      <c r="F6806" s="8"/>
    </row>
    <row r="6807" spans="2:6">
      <c r="B6807" s="44"/>
      <c r="D6807" s="8"/>
      <c r="E6807" s="8"/>
      <c r="F6807" s="8"/>
    </row>
    <row r="6808" spans="2:6">
      <c r="B6808" s="44"/>
      <c r="D6808" s="8"/>
      <c r="E6808" s="8"/>
      <c r="F6808" s="8"/>
    </row>
    <row r="6809" spans="2:6">
      <c r="B6809" s="44"/>
      <c r="D6809" s="8"/>
      <c r="E6809" s="8"/>
      <c r="F6809" s="8"/>
    </row>
    <row r="6810" spans="2:6">
      <c r="B6810" s="44"/>
      <c r="D6810" s="8"/>
      <c r="E6810" s="8"/>
      <c r="F6810" s="8"/>
    </row>
    <row r="6811" spans="2:6">
      <c r="B6811" s="44"/>
      <c r="D6811" s="8"/>
      <c r="E6811" s="8"/>
      <c r="F6811" s="8"/>
    </row>
    <row r="6812" spans="2:6">
      <c r="B6812" s="44"/>
      <c r="D6812" s="8"/>
      <c r="E6812" s="8"/>
      <c r="F6812" s="8"/>
    </row>
    <row r="6813" spans="2:6">
      <c r="B6813" s="44"/>
      <c r="D6813" s="8"/>
      <c r="E6813" s="8"/>
      <c r="F6813" s="8"/>
    </row>
    <row r="6814" spans="2:6">
      <c r="B6814" s="44"/>
      <c r="D6814" s="8"/>
      <c r="E6814" s="8"/>
      <c r="F6814" s="8"/>
    </row>
    <row r="6815" spans="2:6">
      <c r="B6815" s="44"/>
      <c r="D6815" s="8"/>
      <c r="E6815" s="8"/>
      <c r="F6815" s="8"/>
    </row>
    <row r="6816" spans="2:6">
      <c r="B6816" s="44"/>
      <c r="D6816" s="8"/>
      <c r="E6816" s="8"/>
      <c r="F6816" s="8"/>
    </row>
    <row r="6817" spans="2:6">
      <c r="B6817" s="44"/>
      <c r="D6817" s="8"/>
      <c r="E6817" s="8"/>
      <c r="F6817" s="8"/>
    </row>
    <row r="6818" spans="2:6">
      <c r="B6818" s="44"/>
      <c r="D6818" s="8"/>
      <c r="E6818" s="8"/>
      <c r="F6818" s="8"/>
    </row>
    <row r="6819" spans="2:6">
      <c r="B6819" s="44"/>
      <c r="D6819" s="8"/>
      <c r="E6819" s="8"/>
      <c r="F6819" s="8"/>
    </row>
    <row r="6820" spans="2:6">
      <c r="B6820" s="44"/>
      <c r="D6820" s="8"/>
      <c r="E6820" s="8"/>
      <c r="F6820" s="8"/>
    </row>
    <row r="6821" spans="2:6">
      <c r="B6821" s="44"/>
      <c r="D6821" s="8"/>
      <c r="E6821" s="8"/>
      <c r="F6821" s="8"/>
    </row>
    <row r="6822" spans="2:6">
      <c r="B6822" s="44"/>
      <c r="D6822" s="8"/>
      <c r="E6822" s="8"/>
      <c r="F6822" s="8"/>
    </row>
    <row r="6823" spans="2:6">
      <c r="B6823" s="44"/>
      <c r="D6823" s="8"/>
      <c r="E6823" s="8"/>
      <c r="F6823" s="8"/>
    </row>
    <row r="6824" spans="2:6">
      <c r="B6824" s="44"/>
      <c r="D6824" s="8"/>
      <c r="E6824" s="8"/>
      <c r="F6824" s="8"/>
    </row>
    <row r="6825" spans="2:6">
      <c r="B6825" s="44"/>
      <c r="D6825" s="8"/>
      <c r="E6825" s="8"/>
      <c r="F6825" s="8"/>
    </row>
    <row r="6826" spans="2:6">
      <c r="B6826" s="44"/>
      <c r="D6826" s="8"/>
      <c r="E6826" s="8"/>
      <c r="F6826" s="8"/>
    </row>
    <row r="6827" spans="2:6">
      <c r="B6827" s="44"/>
      <c r="D6827" s="8"/>
      <c r="E6827" s="8"/>
      <c r="F6827" s="8"/>
    </row>
    <row r="6828" spans="2:6">
      <c r="B6828" s="44"/>
      <c r="D6828" s="8"/>
      <c r="E6828" s="8"/>
      <c r="F6828" s="8"/>
    </row>
    <row r="6829" spans="2:6">
      <c r="B6829" s="44"/>
      <c r="D6829" s="8"/>
      <c r="E6829" s="8"/>
      <c r="F6829" s="8"/>
    </row>
    <row r="6830" spans="2:6">
      <c r="B6830" s="44"/>
      <c r="D6830" s="8"/>
      <c r="E6830" s="8"/>
      <c r="F6830" s="8"/>
    </row>
    <row r="6831" spans="2:6">
      <c r="B6831" s="44"/>
      <c r="D6831" s="8"/>
      <c r="E6831" s="8"/>
      <c r="F6831" s="8"/>
    </row>
    <row r="6832" spans="2:6">
      <c r="B6832" s="44"/>
      <c r="D6832" s="8"/>
      <c r="E6832" s="8"/>
      <c r="F6832" s="8"/>
    </row>
    <row r="6833" spans="2:6">
      <c r="B6833" s="44"/>
      <c r="D6833" s="8"/>
      <c r="E6833" s="8"/>
      <c r="F6833" s="8"/>
    </row>
    <row r="6834" spans="2:6">
      <c r="B6834" s="44"/>
      <c r="D6834" s="8"/>
      <c r="E6834" s="8"/>
      <c r="F6834" s="8"/>
    </row>
    <row r="6835" spans="2:6">
      <c r="B6835" s="44"/>
      <c r="D6835" s="8"/>
      <c r="E6835" s="8"/>
      <c r="F6835" s="8"/>
    </row>
    <row r="6836" spans="2:6">
      <c r="B6836" s="44"/>
      <c r="D6836" s="8"/>
      <c r="E6836" s="8"/>
      <c r="F6836" s="8"/>
    </row>
    <row r="6837" spans="2:6">
      <c r="B6837" s="44"/>
      <c r="D6837" s="8"/>
      <c r="E6837" s="8"/>
      <c r="F6837" s="8"/>
    </row>
    <row r="6838" spans="2:6">
      <c r="B6838" s="44"/>
      <c r="D6838" s="8"/>
      <c r="E6838" s="8"/>
      <c r="F6838" s="8"/>
    </row>
    <row r="6839" spans="2:6">
      <c r="B6839" s="44"/>
      <c r="D6839" s="8"/>
      <c r="E6839" s="8"/>
      <c r="F6839" s="8"/>
    </row>
    <row r="6840" spans="2:6">
      <c r="B6840" s="44"/>
      <c r="D6840" s="8"/>
      <c r="E6840" s="8"/>
      <c r="F6840" s="8"/>
    </row>
    <row r="6841" spans="2:6">
      <c r="B6841" s="44"/>
      <c r="D6841" s="8"/>
      <c r="E6841" s="8"/>
      <c r="F6841" s="8"/>
    </row>
    <row r="6842" spans="2:6">
      <c r="B6842" s="44"/>
      <c r="D6842" s="8"/>
      <c r="E6842" s="8"/>
      <c r="F6842" s="8"/>
    </row>
    <row r="6843" spans="2:6">
      <c r="B6843" s="44"/>
      <c r="D6843" s="8"/>
      <c r="E6843" s="8"/>
      <c r="F6843" s="8"/>
    </row>
    <row r="6844" spans="2:6">
      <c r="B6844" s="44"/>
      <c r="D6844" s="8"/>
      <c r="E6844" s="8"/>
      <c r="F6844" s="8"/>
    </row>
    <row r="6845" spans="2:6">
      <c r="B6845" s="44"/>
      <c r="D6845" s="8"/>
      <c r="E6845" s="8"/>
      <c r="F6845" s="8"/>
    </row>
    <row r="6846" spans="2:6">
      <c r="B6846" s="44"/>
      <c r="D6846" s="8"/>
      <c r="E6846" s="8"/>
      <c r="F6846" s="8"/>
    </row>
    <row r="6847" spans="2:6">
      <c r="B6847" s="44"/>
      <c r="D6847" s="8"/>
      <c r="E6847" s="8"/>
      <c r="F6847" s="8"/>
    </row>
    <row r="6848" spans="2:6">
      <c r="B6848" s="44"/>
      <c r="D6848" s="8"/>
      <c r="E6848" s="8"/>
      <c r="F6848" s="8"/>
    </row>
    <row r="6849" spans="2:6">
      <c r="B6849" s="44"/>
      <c r="D6849" s="8"/>
      <c r="E6849" s="8"/>
      <c r="F6849" s="8"/>
    </row>
    <row r="6850" spans="2:6">
      <c r="B6850" s="44"/>
      <c r="D6850" s="8"/>
      <c r="E6850" s="8"/>
      <c r="F6850" s="8"/>
    </row>
    <row r="6851" spans="2:6">
      <c r="B6851" s="44"/>
      <c r="D6851" s="8"/>
      <c r="E6851" s="8"/>
      <c r="F6851" s="8"/>
    </row>
    <row r="6852" spans="2:6">
      <c r="B6852" s="44"/>
      <c r="D6852" s="8"/>
      <c r="E6852" s="8"/>
      <c r="F6852" s="8"/>
    </row>
    <row r="6853" spans="2:6">
      <c r="B6853" s="44"/>
      <c r="D6853" s="8"/>
      <c r="E6853" s="8"/>
      <c r="F6853" s="8"/>
    </row>
    <row r="6854" spans="2:6">
      <c r="B6854" s="44"/>
      <c r="D6854" s="8"/>
      <c r="E6854" s="8"/>
      <c r="F6854" s="8"/>
    </row>
    <row r="6855" spans="2:6">
      <c r="B6855" s="44"/>
      <c r="D6855" s="8"/>
      <c r="E6855" s="8"/>
      <c r="F6855" s="8"/>
    </row>
    <row r="6856" spans="2:6">
      <c r="B6856" s="44"/>
      <c r="D6856" s="8"/>
      <c r="E6856" s="8"/>
      <c r="F6856" s="8"/>
    </row>
    <row r="6857" spans="2:6">
      <c r="B6857" s="44"/>
      <c r="D6857" s="8"/>
      <c r="E6857" s="8"/>
      <c r="F6857" s="8"/>
    </row>
    <row r="6858" spans="2:6">
      <c r="B6858" s="44"/>
      <c r="D6858" s="8"/>
      <c r="E6858" s="8"/>
      <c r="F6858" s="8"/>
    </row>
    <row r="6859" spans="2:6">
      <c r="B6859" s="44"/>
      <c r="D6859" s="8"/>
      <c r="E6859" s="8"/>
      <c r="F6859" s="8"/>
    </row>
    <row r="6860" spans="2:6">
      <c r="B6860" s="44"/>
      <c r="D6860" s="8"/>
      <c r="E6860" s="8"/>
      <c r="F6860" s="8"/>
    </row>
    <row r="6861" spans="2:6">
      <c r="B6861" s="44"/>
      <c r="D6861" s="8"/>
      <c r="E6861" s="8"/>
      <c r="F6861" s="8"/>
    </row>
    <row r="6862" spans="2:6">
      <c r="B6862" s="44"/>
      <c r="D6862" s="8"/>
      <c r="E6862" s="8"/>
      <c r="F6862" s="8"/>
    </row>
    <row r="6863" spans="2:6">
      <c r="B6863" s="44"/>
      <c r="D6863" s="8"/>
      <c r="E6863" s="8"/>
      <c r="F6863" s="8"/>
    </row>
    <row r="6864" spans="2:6">
      <c r="B6864" s="44"/>
      <c r="D6864" s="8"/>
      <c r="E6864" s="8"/>
      <c r="F6864" s="8"/>
    </row>
    <row r="6865" spans="2:6">
      <c r="B6865" s="44"/>
      <c r="D6865" s="8"/>
      <c r="E6865" s="8"/>
      <c r="F6865" s="8"/>
    </row>
    <row r="6866" spans="2:6">
      <c r="B6866" s="44"/>
      <c r="D6866" s="8"/>
      <c r="E6866" s="8"/>
      <c r="F6866" s="8"/>
    </row>
    <row r="6867" spans="2:6">
      <c r="B6867" s="44"/>
      <c r="D6867" s="8"/>
      <c r="E6867" s="8"/>
      <c r="F6867" s="8"/>
    </row>
    <row r="6868" spans="2:6">
      <c r="B6868" s="44"/>
      <c r="D6868" s="8"/>
      <c r="E6868" s="8"/>
      <c r="F6868" s="8"/>
    </row>
    <row r="6869" spans="2:6">
      <c r="B6869" s="44"/>
      <c r="D6869" s="8"/>
      <c r="E6869" s="8"/>
      <c r="F6869" s="8"/>
    </row>
    <row r="6870" spans="2:6">
      <c r="B6870" s="44"/>
      <c r="D6870" s="8"/>
      <c r="E6870" s="8"/>
      <c r="F6870" s="8"/>
    </row>
    <row r="6871" spans="2:6">
      <c r="B6871" s="44"/>
      <c r="D6871" s="8"/>
      <c r="E6871" s="8"/>
      <c r="F6871" s="8"/>
    </row>
    <row r="6872" spans="2:6">
      <c r="B6872" s="44"/>
      <c r="D6872" s="8"/>
      <c r="E6872" s="8"/>
      <c r="F6872" s="8"/>
    </row>
    <row r="6873" spans="2:6">
      <c r="B6873" s="44"/>
      <c r="D6873" s="8"/>
      <c r="E6873" s="8"/>
      <c r="F6873" s="8"/>
    </row>
    <row r="6874" spans="2:6">
      <c r="B6874" s="44"/>
      <c r="D6874" s="8"/>
      <c r="E6874" s="8"/>
      <c r="F6874" s="8"/>
    </row>
    <row r="6875" spans="2:6">
      <c r="B6875" s="44"/>
      <c r="D6875" s="8"/>
      <c r="E6875" s="8"/>
      <c r="F6875" s="8"/>
    </row>
    <row r="6876" spans="2:6">
      <c r="B6876" s="44"/>
      <c r="D6876" s="8"/>
      <c r="E6876" s="8"/>
      <c r="F6876" s="8"/>
    </row>
    <row r="6877" spans="2:6">
      <c r="B6877" s="44"/>
      <c r="D6877" s="8"/>
      <c r="E6877" s="8"/>
      <c r="F6877" s="8"/>
    </row>
    <row r="6878" spans="2:6">
      <c r="B6878" s="44"/>
      <c r="D6878" s="8"/>
      <c r="E6878" s="8"/>
      <c r="F6878" s="8"/>
    </row>
    <row r="6879" spans="2:6">
      <c r="B6879" s="44"/>
      <c r="D6879" s="8"/>
      <c r="E6879" s="8"/>
      <c r="F6879" s="8"/>
    </row>
    <row r="6880" spans="2:6">
      <c r="B6880" s="44"/>
      <c r="D6880" s="8"/>
      <c r="E6880" s="8"/>
      <c r="F6880" s="8"/>
    </row>
    <row r="6881" spans="2:6">
      <c r="B6881" s="44"/>
      <c r="D6881" s="8"/>
      <c r="E6881" s="8"/>
      <c r="F6881" s="8"/>
    </row>
    <row r="6882" spans="2:6">
      <c r="B6882" s="44"/>
      <c r="D6882" s="8"/>
      <c r="E6882" s="8"/>
      <c r="F6882" s="8"/>
    </row>
    <row r="6883" spans="2:6">
      <c r="B6883" s="44"/>
      <c r="D6883" s="8"/>
      <c r="E6883" s="8"/>
      <c r="F6883" s="8"/>
    </row>
    <row r="6884" spans="2:6">
      <c r="B6884" s="44"/>
      <c r="D6884" s="8"/>
      <c r="E6884" s="8"/>
      <c r="F6884" s="8"/>
    </row>
    <row r="6885" spans="2:6">
      <c r="B6885" s="44"/>
      <c r="D6885" s="8"/>
      <c r="E6885" s="8"/>
      <c r="F6885" s="8"/>
    </row>
    <row r="6886" spans="2:6">
      <c r="B6886" s="44"/>
      <c r="D6886" s="8"/>
      <c r="E6886" s="8"/>
      <c r="F6886" s="8"/>
    </row>
    <row r="6887" spans="2:6">
      <c r="B6887" s="44"/>
      <c r="D6887" s="8"/>
      <c r="E6887" s="8"/>
      <c r="F6887" s="8"/>
    </row>
    <row r="6888" spans="2:6">
      <c r="B6888" s="44"/>
      <c r="D6888" s="8"/>
      <c r="E6888" s="8"/>
      <c r="F6888" s="8"/>
    </row>
    <row r="6889" spans="2:6">
      <c r="B6889" s="44"/>
      <c r="D6889" s="8"/>
      <c r="E6889" s="8"/>
      <c r="F6889" s="8"/>
    </row>
    <row r="6890" spans="2:6">
      <c r="B6890" s="44"/>
      <c r="D6890" s="8"/>
      <c r="E6890" s="8"/>
      <c r="F6890" s="8"/>
    </row>
    <row r="6891" spans="2:6">
      <c r="B6891" s="44"/>
      <c r="D6891" s="8"/>
      <c r="E6891" s="8"/>
      <c r="F6891" s="8"/>
    </row>
    <row r="6892" spans="2:6">
      <c r="B6892" s="44"/>
      <c r="D6892" s="8"/>
      <c r="E6892" s="8"/>
      <c r="F6892" s="8"/>
    </row>
    <row r="6893" spans="2:6">
      <c r="B6893" s="44"/>
      <c r="D6893" s="8"/>
      <c r="E6893" s="8"/>
      <c r="F6893" s="8"/>
    </row>
    <row r="6894" spans="2:6">
      <c r="B6894" s="44"/>
      <c r="D6894" s="8"/>
      <c r="E6894" s="8"/>
      <c r="F6894" s="8"/>
    </row>
    <row r="6895" spans="2:6">
      <c r="B6895" s="44"/>
      <c r="D6895" s="8"/>
      <c r="E6895" s="8"/>
      <c r="F6895" s="8"/>
    </row>
    <row r="6896" spans="2:6">
      <c r="B6896" s="44"/>
      <c r="D6896" s="8"/>
      <c r="E6896" s="8"/>
      <c r="F6896" s="8"/>
    </row>
    <row r="6897" spans="2:6">
      <c r="B6897" s="44"/>
      <c r="D6897" s="8"/>
      <c r="E6897" s="8"/>
      <c r="F6897" s="8"/>
    </row>
    <row r="6898" spans="2:6">
      <c r="B6898" s="44"/>
      <c r="D6898" s="8"/>
      <c r="E6898" s="8"/>
      <c r="F6898" s="8"/>
    </row>
    <row r="6899" spans="2:6">
      <c r="B6899" s="44"/>
      <c r="D6899" s="8"/>
      <c r="E6899" s="8"/>
      <c r="F6899" s="8"/>
    </row>
    <row r="6900" spans="2:6">
      <c r="B6900" s="44"/>
      <c r="D6900" s="8"/>
      <c r="E6900" s="8"/>
      <c r="F6900" s="8"/>
    </row>
    <row r="6901" spans="2:6">
      <c r="B6901" s="44"/>
      <c r="D6901" s="8"/>
      <c r="E6901" s="8"/>
      <c r="F6901" s="8"/>
    </row>
    <row r="6902" spans="2:6">
      <c r="B6902" s="44"/>
      <c r="D6902" s="8"/>
      <c r="E6902" s="8"/>
      <c r="F6902" s="8"/>
    </row>
    <row r="6903" spans="2:6">
      <c r="B6903" s="44"/>
      <c r="D6903" s="8"/>
      <c r="E6903" s="8"/>
      <c r="F6903" s="8"/>
    </row>
    <row r="6904" spans="2:6">
      <c r="B6904" s="44"/>
      <c r="D6904" s="8"/>
      <c r="E6904" s="8"/>
      <c r="F6904" s="8"/>
    </row>
    <row r="6905" spans="2:6">
      <c r="B6905" s="44"/>
      <c r="D6905" s="8"/>
      <c r="E6905" s="8"/>
      <c r="F6905" s="8"/>
    </row>
    <row r="6906" spans="2:6">
      <c r="B6906" s="44"/>
      <c r="D6906" s="8"/>
      <c r="E6906" s="8"/>
      <c r="F6906" s="8"/>
    </row>
    <row r="6907" spans="2:6">
      <c r="B6907" s="44"/>
      <c r="D6907" s="8"/>
      <c r="E6907" s="8"/>
      <c r="F6907" s="8"/>
    </row>
    <row r="6908" spans="2:6">
      <c r="B6908" s="44"/>
      <c r="D6908" s="8"/>
      <c r="E6908" s="8"/>
      <c r="F6908" s="8"/>
    </row>
    <row r="6909" spans="2:6">
      <c r="B6909" s="44"/>
      <c r="D6909" s="8"/>
      <c r="E6909" s="8"/>
      <c r="F6909" s="8"/>
    </row>
    <row r="6910" spans="2:6">
      <c r="B6910" s="44"/>
      <c r="D6910" s="8"/>
      <c r="E6910" s="8"/>
      <c r="F6910" s="8"/>
    </row>
    <row r="6911" spans="2:6">
      <c r="B6911" s="44"/>
      <c r="D6911" s="8"/>
      <c r="E6911" s="8"/>
      <c r="F6911" s="8"/>
    </row>
    <row r="6912" spans="2:6">
      <c r="B6912" s="44"/>
      <c r="D6912" s="8"/>
      <c r="E6912" s="8"/>
      <c r="F6912" s="8"/>
    </row>
    <row r="6913" spans="2:6">
      <c r="B6913" s="44"/>
      <c r="D6913" s="8"/>
      <c r="E6913" s="8"/>
      <c r="F6913" s="8"/>
    </row>
    <row r="6914" spans="2:6">
      <c r="B6914" s="44"/>
      <c r="D6914" s="8"/>
      <c r="E6914" s="8"/>
      <c r="F6914" s="8"/>
    </row>
    <row r="6915" spans="2:6">
      <c r="B6915" s="44"/>
      <c r="D6915" s="8"/>
      <c r="E6915" s="8"/>
      <c r="F6915" s="8"/>
    </row>
    <row r="6916" spans="2:6">
      <c r="B6916" s="44"/>
      <c r="D6916" s="8"/>
      <c r="E6916" s="8"/>
      <c r="F6916" s="8"/>
    </row>
    <row r="6917" spans="2:6">
      <c r="B6917" s="44"/>
      <c r="D6917" s="8"/>
      <c r="E6917" s="8"/>
      <c r="F6917" s="8"/>
    </row>
    <row r="6918" spans="2:6">
      <c r="B6918" s="44"/>
      <c r="D6918" s="8"/>
      <c r="E6918" s="8"/>
      <c r="F6918" s="8"/>
    </row>
    <row r="6919" spans="2:6">
      <c r="B6919" s="44"/>
      <c r="D6919" s="8"/>
      <c r="E6919" s="8"/>
      <c r="F6919" s="8"/>
    </row>
    <row r="6920" spans="2:6">
      <c r="B6920" s="44"/>
      <c r="D6920" s="8"/>
      <c r="E6920" s="8"/>
      <c r="F6920" s="8"/>
    </row>
    <row r="6921" spans="2:6">
      <c r="B6921" s="44"/>
      <c r="D6921" s="8"/>
      <c r="E6921" s="8"/>
      <c r="F6921" s="8"/>
    </row>
    <row r="6922" spans="2:6">
      <c r="B6922" s="44"/>
      <c r="D6922" s="8"/>
      <c r="E6922" s="8"/>
      <c r="F6922" s="8"/>
    </row>
    <row r="6923" spans="2:6">
      <c r="B6923" s="44"/>
      <c r="D6923" s="8"/>
      <c r="E6923" s="8"/>
      <c r="F6923" s="8"/>
    </row>
    <row r="6924" spans="2:6">
      <c r="B6924" s="44"/>
      <c r="D6924" s="8"/>
      <c r="E6924" s="8"/>
      <c r="F6924" s="8"/>
    </row>
    <row r="6925" spans="2:6">
      <c r="B6925" s="44"/>
      <c r="D6925" s="8"/>
      <c r="E6925" s="8"/>
      <c r="F6925" s="8"/>
    </row>
    <row r="6926" spans="2:6">
      <c r="B6926" s="44"/>
      <c r="D6926" s="8"/>
      <c r="E6926" s="8"/>
      <c r="F6926" s="8"/>
    </row>
    <row r="6927" spans="2:6">
      <c r="B6927" s="44"/>
      <c r="D6927" s="8"/>
      <c r="E6927" s="8"/>
      <c r="F6927" s="8"/>
    </row>
    <row r="6928" spans="2:6">
      <c r="B6928" s="44"/>
      <c r="D6928" s="8"/>
      <c r="E6928" s="8"/>
      <c r="F6928" s="8"/>
    </row>
    <row r="6929" spans="2:6">
      <c r="B6929" s="44"/>
      <c r="D6929" s="8"/>
      <c r="E6929" s="8"/>
      <c r="F6929" s="8"/>
    </row>
    <row r="6930" spans="2:6">
      <c r="B6930" s="44"/>
      <c r="D6930" s="8"/>
      <c r="E6930" s="8"/>
      <c r="F6930" s="8"/>
    </row>
    <row r="6931" spans="2:6">
      <c r="B6931" s="44"/>
      <c r="D6931" s="8"/>
      <c r="E6931" s="8"/>
      <c r="F6931" s="8"/>
    </row>
    <row r="6932" spans="2:6">
      <c r="B6932" s="44"/>
      <c r="D6932" s="8"/>
      <c r="E6932" s="8"/>
      <c r="F6932" s="8"/>
    </row>
    <row r="6933" spans="2:6">
      <c r="B6933" s="44"/>
      <c r="D6933" s="8"/>
      <c r="E6933" s="8"/>
      <c r="F6933" s="8"/>
    </row>
    <row r="6934" spans="2:6">
      <c r="B6934" s="44"/>
      <c r="D6934" s="8"/>
      <c r="E6934" s="8"/>
      <c r="F6934" s="8"/>
    </row>
    <row r="6935" spans="2:6">
      <c r="B6935" s="44"/>
      <c r="D6935" s="8"/>
      <c r="E6935" s="8"/>
      <c r="F6935" s="8"/>
    </row>
    <row r="6936" spans="2:6">
      <c r="B6936" s="44"/>
      <c r="D6936" s="8"/>
      <c r="E6936" s="8"/>
      <c r="F6936" s="8"/>
    </row>
    <row r="6937" spans="2:6">
      <c r="B6937" s="44"/>
      <c r="D6937" s="8"/>
      <c r="E6937" s="8"/>
      <c r="F6937" s="8"/>
    </row>
    <row r="6938" spans="2:6">
      <c r="B6938" s="44"/>
      <c r="D6938" s="8"/>
      <c r="E6938" s="8"/>
      <c r="F6938" s="8"/>
    </row>
    <row r="6939" spans="2:6">
      <c r="B6939" s="44"/>
      <c r="D6939" s="8"/>
      <c r="E6939" s="8"/>
      <c r="F6939" s="8"/>
    </row>
    <row r="6940" spans="2:6">
      <c r="B6940" s="44"/>
      <c r="D6940" s="8"/>
      <c r="E6940" s="8"/>
      <c r="F6940" s="8"/>
    </row>
    <row r="6941" spans="2:6">
      <c r="B6941" s="44"/>
      <c r="D6941" s="8"/>
      <c r="E6941" s="8"/>
      <c r="F6941" s="8"/>
    </row>
    <row r="6942" spans="2:6">
      <c r="B6942" s="44"/>
      <c r="D6942" s="8"/>
      <c r="E6942" s="8"/>
      <c r="F6942" s="8"/>
    </row>
    <row r="6943" spans="2:6">
      <c r="B6943" s="44"/>
      <c r="D6943" s="8"/>
      <c r="E6943" s="8"/>
      <c r="F6943" s="8"/>
    </row>
    <row r="6944" spans="2:6">
      <c r="B6944" s="44"/>
      <c r="D6944" s="8"/>
      <c r="E6944" s="8"/>
      <c r="F6944" s="8"/>
    </row>
    <row r="6945" spans="2:6">
      <c r="B6945" s="44"/>
      <c r="D6945" s="8"/>
      <c r="E6945" s="8"/>
      <c r="F6945" s="8"/>
    </row>
    <row r="6946" spans="2:6">
      <c r="B6946" s="44"/>
      <c r="D6946" s="8"/>
      <c r="E6946" s="8"/>
      <c r="F6946" s="8"/>
    </row>
    <row r="6947" spans="2:6">
      <c r="B6947" s="44"/>
      <c r="D6947" s="8"/>
      <c r="E6947" s="8"/>
      <c r="F6947" s="8"/>
    </row>
    <row r="6948" spans="2:6">
      <c r="B6948" s="44"/>
      <c r="D6948" s="8"/>
      <c r="E6948" s="8"/>
      <c r="F6948" s="8"/>
    </row>
    <row r="6949" spans="2:6">
      <c r="B6949" s="44"/>
      <c r="D6949" s="8"/>
      <c r="E6949" s="8"/>
      <c r="F6949" s="8"/>
    </row>
    <row r="6950" spans="2:6">
      <c r="B6950" s="44"/>
      <c r="D6950" s="8"/>
      <c r="E6950" s="8"/>
      <c r="F6950" s="8"/>
    </row>
    <row r="6951" spans="2:6">
      <c r="B6951" s="44"/>
      <c r="D6951" s="8"/>
      <c r="E6951" s="8"/>
      <c r="F6951" s="8"/>
    </row>
    <row r="6952" spans="2:6">
      <c r="B6952" s="44"/>
      <c r="D6952" s="8"/>
      <c r="E6952" s="8"/>
      <c r="F6952" s="8"/>
    </row>
    <row r="6953" spans="2:6">
      <c r="B6953" s="44"/>
      <c r="D6953" s="8"/>
      <c r="E6953" s="8"/>
      <c r="F6953" s="8"/>
    </row>
    <row r="6954" spans="2:6">
      <c r="B6954" s="44"/>
      <c r="D6954" s="8"/>
      <c r="E6954" s="8"/>
      <c r="F6954" s="8"/>
    </row>
    <row r="6955" spans="2:6">
      <c r="B6955" s="44"/>
      <c r="D6955" s="8"/>
      <c r="E6955" s="8"/>
      <c r="F6955" s="8"/>
    </row>
    <row r="6956" spans="2:6">
      <c r="B6956" s="44"/>
      <c r="D6956" s="8"/>
      <c r="E6956" s="8"/>
      <c r="F6956" s="8"/>
    </row>
    <row r="6957" spans="2:6">
      <c r="B6957" s="44"/>
      <c r="D6957" s="8"/>
      <c r="E6957" s="8"/>
      <c r="F6957" s="8"/>
    </row>
    <row r="6958" spans="2:6">
      <c r="B6958" s="44"/>
      <c r="D6958" s="8"/>
      <c r="E6958" s="8"/>
      <c r="F6958" s="8"/>
    </row>
    <row r="6959" spans="2:6">
      <c r="B6959" s="44"/>
      <c r="D6959" s="8"/>
      <c r="E6959" s="8"/>
      <c r="F6959" s="8"/>
    </row>
    <row r="6960" spans="2:6">
      <c r="B6960" s="44"/>
      <c r="D6960" s="8"/>
      <c r="E6960" s="8"/>
      <c r="F6960" s="8"/>
    </row>
    <row r="6961" spans="2:6">
      <c r="B6961" s="44"/>
      <c r="D6961" s="8"/>
      <c r="E6961" s="8"/>
      <c r="F6961" s="8"/>
    </row>
    <row r="6962" spans="2:6">
      <c r="B6962" s="44"/>
      <c r="D6962" s="8"/>
      <c r="E6962" s="8"/>
      <c r="F6962" s="8"/>
    </row>
    <row r="6963" spans="2:6">
      <c r="B6963" s="44"/>
      <c r="D6963" s="8"/>
      <c r="E6963" s="8"/>
      <c r="F6963" s="8"/>
    </row>
    <row r="6964" spans="2:6">
      <c r="B6964" s="44"/>
      <c r="D6964" s="8"/>
      <c r="E6964" s="8"/>
      <c r="F6964" s="8"/>
    </row>
    <row r="6965" spans="2:6">
      <c r="B6965" s="44"/>
      <c r="D6965" s="8"/>
      <c r="E6965" s="8"/>
      <c r="F6965" s="8"/>
    </row>
    <row r="6966" spans="2:6">
      <c r="B6966" s="44"/>
      <c r="D6966" s="8"/>
      <c r="E6966" s="8"/>
      <c r="F6966" s="8"/>
    </row>
    <row r="6967" spans="2:6">
      <c r="B6967" s="44"/>
      <c r="D6967" s="8"/>
      <c r="E6967" s="8"/>
      <c r="F6967" s="8"/>
    </row>
    <row r="6968" spans="2:6">
      <c r="B6968" s="44"/>
      <c r="D6968" s="8"/>
      <c r="E6968" s="8"/>
      <c r="F6968" s="8"/>
    </row>
    <row r="6969" spans="2:6">
      <c r="B6969" s="44"/>
      <c r="D6969" s="8"/>
      <c r="E6969" s="8"/>
      <c r="F6969" s="8"/>
    </row>
    <row r="6970" spans="2:6">
      <c r="B6970" s="44"/>
      <c r="D6970" s="8"/>
      <c r="E6970" s="8"/>
      <c r="F6970" s="8"/>
    </row>
    <row r="6971" spans="2:6">
      <c r="B6971" s="44"/>
      <c r="D6971" s="8"/>
      <c r="E6971" s="8"/>
      <c r="F6971" s="8"/>
    </row>
    <row r="6972" spans="2:6">
      <c r="B6972" s="44"/>
      <c r="D6972" s="8"/>
      <c r="E6972" s="8"/>
      <c r="F6972" s="8"/>
    </row>
    <row r="6973" spans="2:6">
      <c r="B6973" s="44"/>
      <c r="D6973" s="8"/>
      <c r="E6973" s="8"/>
      <c r="F6973" s="8"/>
    </row>
    <row r="6974" spans="2:6">
      <c r="B6974" s="44"/>
      <c r="D6974" s="8"/>
      <c r="E6974" s="8"/>
      <c r="F6974" s="8"/>
    </row>
    <row r="6975" spans="2:6">
      <c r="B6975" s="44"/>
      <c r="D6975" s="8"/>
      <c r="E6975" s="8"/>
      <c r="F6975" s="8"/>
    </row>
    <row r="6976" spans="2:6">
      <c r="B6976" s="44"/>
      <c r="D6976" s="8"/>
      <c r="E6976" s="8"/>
      <c r="F6976" s="8"/>
    </row>
    <row r="6977" spans="2:6">
      <c r="B6977" s="44"/>
      <c r="D6977" s="8"/>
      <c r="E6977" s="8"/>
      <c r="F6977" s="8"/>
    </row>
    <row r="6978" spans="2:6">
      <c r="B6978" s="44"/>
      <c r="D6978" s="8"/>
      <c r="E6978" s="8"/>
      <c r="F6978" s="8"/>
    </row>
    <row r="6979" spans="2:6">
      <c r="B6979" s="44"/>
      <c r="D6979" s="8"/>
      <c r="E6979" s="8"/>
      <c r="F6979" s="8"/>
    </row>
    <row r="6980" spans="2:6">
      <c r="B6980" s="44"/>
      <c r="D6980" s="8"/>
      <c r="E6980" s="8"/>
      <c r="F6980" s="8"/>
    </row>
    <row r="6981" spans="2:6">
      <c r="B6981" s="44"/>
      <c r="D6981" s="8"/>
      <c r="E6981" s="8"/>
      <c r="F6981" s="8"/>
    </row>
    <row r="6982" spans="2:6">
      <c r="B6982" s="44"/>
      <c r="D6982" s="8"/>
      <c r="E6982" s="8"/>
      <c r="F6982" s="8"/>
    </row>
    <row r="6983" spans="2:6">
      <c r="B6983" s="44"/>
      <c r="D6983" s="8"/>
      <c r="E6983" s="8"/>
      <c r="F6983" s="8"/>
    </row>
    <row r="6984" spans="2:6">
      <c r="B6984" s="44"/>
      <c r="D6984" s="8"/>
      <c r="E6984" s="8"/>
      <c r="F6984" s="8"/>
    </row>
    <row r="6985" spans="2:6">
      <c r="B6985" s="44"/>
      <c r="D6985" s="8"/>
      <c r="E6985" s="8"/>
      <c r="F6985" s="8"/>
    </row>
    <row r="6986" spans="2:6">
      <c r="B6986" s="44"/>
      <c r="D6986" s="8"/>
      <c r="E6986" s="8"/>
      <c r="F6986" s="8"/>
    </row>
    <row r="6987" spans="2:6">
      <c r="B6987" s="44"/>
      <c r="D6987" s="8"/>
      <c r="E6987" s="8"/>
      <c r="F6987" s="8"/>
    </row>
    <row r="6988" spans="2:6">
      <c r="B6988" s="44"/>
      <c r="D6988" s="8"/>
      <c r="E6988" s="8"/>
      <c r="F6988" s="8"/>
    </row>
    <row r="6989" spans="2:6">
      <c r="B6989" s="44"/>
      <c r="D6989" s="8"/>
      <c r="E6989" s="8"/>
      <c r="F6989" s="8"/>
    </row>
    <row r="6990" spans="2:6">
      <c r="B6990" s="44"/>
      <c r="D6990" s="8"/>
      <c r="E6990" s="8"/>
      <c r="F6990" s="8"/>
    </row>
    <row r="6991" spans="2:6">
      <c r="B6991" s="44"/>
      <c r="D6991" s="8"/>
      <c r="E6991" s="8"/>
      <c r="F6991" s="8"/>
    </row>
    <row r="6992" spans="2:6">
      <c r="B6992" s="44"/>
      <c r="D6992" s="8"/>
      <c r="E6992" s="8"/>
      <c r="F6992" s="8"/>
    </row>
    <row r="6993" spans="2:6">
      <c r="B6993" s="44"/>
      <c r="D6993" s="8"/>
      <c r="E6993" s="8"/>
      <c r="F6993" s="8"/>
    </row>
    <row r="6994" spans="2:6">
      <c r="B6994" s="44"/>
      <c r="D6994" s="8"/>
      <c r="E6994" s="8"/>
      <c r="F6994" s="8"/>
    </row>
    <row r="6995" spans="2:6">
      <c r="B6995" s="44"/>
      <c r="D6995" s="8"/>
      <c r="E6995" s="8"/>
      <c r="F6995" s="8"/>
    </row>
    <row r="6996" spans="2:6">
      <c r="B6996" s="44"/>
      <c r="D6996" s="8"/>
      <c r="E6996" s="8"/>
      <c r="F6996" s="8"/>
    </row>
    <row r="6997" spans="2:6">
      <c r="B6997" s="44"/>
      <c r="D6997" s="8"/>
      <c r="E6997" s="8"/>
      <c r="F6997" s="8"/>
    </row>
    <row r="6998" spans="2:6">
      <c r="B6998" s="44"/>
      <c r="D6998" s="8"/>
      <c r="E6998" s="8"/>
      <c r="F6998" s="8"/>
    </row>
    <row r="6999" spans="2:6">
      <c r="B6999" s="44"/>
      <c r="D6999" s="8"/>
      <c r="E6999" s="8"/>
      <c r="F6999" s="8"/>
    </row>
    <row r="7000" spans="2:6">
      <c r="B7000" s="44"/>
      <c r="D7000" s="8"/>
      <c r="E7000" s="8"/>
      <c r="F7000" s="8"/>
    </row>
    <row r="7001" spans="2:6">
      <c r="B7001" s="44"/>
      <c r="D7001" s="8"/>
      <c r="E7001" s="8"/>
      <c r="F7001" s="8"/>
    </row>
    <row r="7002" spans="2:6">
      <c r="B7002" s="44"/>
      <c r="D7002" s="8"/>
      <c r="E7002" s="8"/>
      <c r="F7002" s="8"/>
    </row>
    <row r="7003" spans="2:6">
      <c r="B7003" s="44"/>
      <c r="D7003" s="8"/>
      <c r="E7003" s="8"/>
      <c r="F7003" s="8"/>
    </row>
    <row r="7004" spans="2:6">
      <c r="B7004" s="44"/>
      <c r="D7004" s="8"/>
      <c r="E7004" s="8"/>
      <c r="F7004" s="8"/>
    </row>
    <row r="7005" spans="2:6">
      <c r="B7005" s="44"/>
      <c r="D7005" s="8"/>
      <c r="E7005" s="8"/>
      <c r="F7005" s="8"/>
    </row>
    <row r="7006" spans="2:6">
      <c r="B7006" s="44"/>
      <c r="D7006" s="8"/>
      <c r="E7006" s="8"/>
      <c r="F7006" s="8"/>
    </row>
    <row r="7007" spans="2:6">
      <c r="B7007" s="44"/>
      <c r="D7007" s="8"/>
      <c r="E7007" s="8"/>
      <c r="F7007" s="8"/>
    </row>
    <row r="7008" spans="2:6">
      <c r="B7008" s="44"/>
      <c r="D7008" s="8"/>
      <c r="E7008" s="8"/>
      <c r="F7008" s="8"/>
    </row>
    <row r="7009" spans="2:6">
      <c r="B7009" s="44"/>
      <c r="D7009" s="8"/>
      <c r="E7009" s="8"/>
      <c r="F7009" s="8"/>
    </row>
    <row r="7010" spans="2:6">
      <c r="B7010" s="44"/>
      <c r="D7010" s="8"/>
      <c r="E7010" s="8"/>
      <c r="F7010" s="8"/>
    </row>
    <row r="7011" spans="2:6">
      <c r="B7011" s="44"/>
      <c r="D7011" s="8"/>
      <c r="E7011" s="8"/>
      <c r="F7011" s="8"/>
    </row>
    <row r="7012" spans="2:6">
      <c r="B7012" s="44"/>
      <c r="D7012" s="8"/>
      <c r="E7012" s="8"/>
      <c r="F7012" s="8"/>
    </row>
    <row r="7013" spans="2:6">
      <c r="B7013" s="44"/>
      <c r="D7013" s="8"/>
      <c r="E7013" s="8"/>
      <c r="F7013" s="8"/>
    </row>
    <row r="7014" spans="2:6">
      <c r="B7014" s="44"/>
      <c r="D7014" s="8"/>
      <c r="E7014" s="8"/>
      <c r="F7014" s="8"/>
    </row>
    <row r="7015" spans="2:6">
      <c r="B7015" s="44"/>
      <c r="D7015" s="8"/>
      <c r="E7015" s="8"/>
      <c r="F7015" s="8"/>
    </row>
    <row r="7016" spans="2:6">
      <c r="B7016" s="44"/>
      <c r="D7016" s="8"/>
      <c r="E7016" s="8"/>
      <c r="F7016" s="8"/>
    </row>
    <row r="7017" spans="2:6">
      <c r="B7017" s="44"/>
      <c r="D7017" s="8"/>
      <c r="E7017" s="8"/>
      <c r="F7017" s="8"/>
    </row>
    <row r="7018" spans="2:6">
      <c r="B7018" s="44"/>
      <c r="D7018" s="8"/>
      <c r="E7018" s="8"/>
      <c r="F7018" s="8"/>
    </row>
    <row r="7019" spans="2:6">
      <c r="B7019" s="44"/>
      <c r="D7019" s="8"/>
      <c r="E7019" s="8"/>
      <c r="F7019" s="8"/>
    </row>
    <row r="7020" spans="2:6">
      <c r="B7020" s="44"/>
      <c r="D7020" s="8"/>
      <c r="E7020" s="8"/>
      <c r="F7020" s="8"/>
    </row>
    <row r="7021" spans="2:6">
      <c r="B7021" s="44"/>
      <c r="D7021" s="8"/>
      <c r="E7021" s="8"/>
      <c r="F7021" s="8"/>
    </row>
    <row r="7022" spans="2:6">
      <c r="B7022" s="44"/>
      <c r="D7022" s="8"/>
      <c r="E7022" s="8"/>
      <c r="F7022" s="8"/>
    </row>
    <row r="7023" spans="2:6">
      <c r="B7023" s="44"/>
      <c r="D7023" s="8"/>
      <c r="E7023" s="8"/>
      <c r="F7023" s="8"/>
    </row>
    <row r="7024" spans="2:6">
      <c r="B7024" s="44"/>
      <c r="D7024" s="8"/>
      <c r="E7024" s="8"/>
      <c r="F7024" s="8"/>
    </row>
    <row r="7025" spans="2:6">
      <c r="B7025" s="44"/>
      <c r="D7025" s="8"/>
      <c r="E7025" s="8"/>
      <c r="F7025" s="8"/>
    </row>
    <row r="7026" spans="2:6">
      <c r="B7026" s="44"/>
      <c r="D7026" s="8"/>
      <c r="E7026" s="8"/>
      <c r="F7026" s="8"/>
    </row>
    <row r="7027" spans="2:6">
      <c r="B7027" s="44"/>
      <c r="D7027" s="8"/>
      <c r="E7027" s="8"/>
      <c r="F7027" s="8"/>
    </row>
    <row r="7028" spans="2:6">
      <c r="B7028" s="44"/>
      <c r="D7028" s="8"/>
      <c r="E7028" s="8"/>
      <c r="F7028" s="8"/>
    </row>
    <row r="7029" spans="2:6">
      <c r="B7029" s="44"/>
      <c r="D7029" s="8"/>
      <c r="E7029" s="8"/>
      <c r="F7029" s="8"/>
    </row>
    <row r="7030" spans="2:6">
      <c r="B7030" s="44"/>
      <c r="D7030" s="8"/>
      <c r="E7030" s="8"/>
      <c r="F7030" s="8"/>
    </row>
    <row r="7031" spans="2:6">
      <c r="B7031" s="44"/>
      <c r="D7031" s="8"/>
      <c r="E7031" s="8"/>
      <c r="F7031" s="8"/>
    </row>
    <row r="7032" spans="2:6">
      <c r="B7032" s="44"/>
      <c r="D7032" s="8"/>
      <c r="E7032" s="8"/>
      <c r="F7032" s="8"/>
    </row>
    <row r="7033" spans="2:6">
      <c r="B7033" s="44"/>
      <c r="D7033" s="8"/>
      <c r="E7033" s="8"/>
      <c r="F7033" s="8"/>
    </row>
    <row r="7034" spans="2:6">
      <c r="B7034" s="44"/>
      <c r="D7034" s="8"/>
      <c r="E7034" s="8"/>
      <c r="F7034" s="8"/>
    </row>
    <row r="7035" spans="2:6">
      <c r="B7035" s="44"/>
      <c r="D7035" s="8"/>
      <c r="E7035" s="8"/>
      <c r="F7035" s="8"/>
    </row>
    <row r="7036" spans="2:6">
      <c r="B7036" s="44"/>
      <c r="D7036" s="8"/>
      <c r="E7036" s="8"/>
      <c r="F7036" s="8"/>
    </row>
    <row r="7037" spans="2:6">
      <c r="B7037" s="44"/>
      <c r="D7037" s="8"/>
      <c r="E7037" s="8"/>
      <c r="F7037" s="8"/>
    </row>
    <row r="7038" spans="2:6">
      <c r="B7038" s="44"/>
      <c r="D7038" s="8"/>
      <c r="E7038" s="8"/>
      <c r="F7038" s="8"/>
    </row>
    <row r="7039" spans="2:6">
      <c r="B7039" s="44"/>
      <c r="D7039" s="8"/>
      <c r="E7039" s="8"/>
      <c r="F7039" s="8"/>
    </row>
    <row r="7040" spans="2:6">
      <c r="B7040" s="44"/>
      <c r="D7040" s="8"/>
      <c r="E7040" s="8"/>
      <c r="F7040" s="8"/>
    </row>
    <row r="7041" spans="2:6">
      <c r="B7041" s="44"/>
      <c r="D7041" s="8"/>
      <c r="E7041" s="8"/>
      <c r="F7041" s="8"/>
    </row>
    <row r="7042" spans="2:6">
      <c r="B7042" s="44"/>
      <c r="D7042" s="8"/>
      <c r="E7042" s="8"/>
      <c r="F7042" s="8"/>
    </row>
    <row r="7043" spans="2:6">
      <c r="B7043" s="44"/>
      <c r="D7043" s="8"/>
      <c r="E7043" s="8"/>
      <c r="F7043" s="8"/>
    </row>
    <row r="7044" spans="2:6">
      <c r="B7044" s="44"/>
      <c r="D7044" s="8"/>
      <c r="E7044" s="8"/>
      <c r="F7044" s="8"/>
    </row>
    <row r="7045" spans="2:6">
      <c r="B7045" s="44"/>
      <c r="D7045" s="8"/>
      <c r="E7045" s="8"/>
      <c r="F7045" s="8"/>
    </row>
    <row r="7046" spans="2:6">
      <c r="B7046" s="44"/>
      <c r="D7046" s="8"/>
      <c r="E7046" s="8"/>
      <c r="F7046" s="8"/>
    </row>
    <row r="7047" spans="2:6">
      <c r="B7047" s="44"/>
      <c r="D7047" s="8"/>
      <c r="E7047" s="8"/>
      <c r="F7047" s="8"/>
    </row>
    <row r="7048" spans="2:6">
      <c r="B7048" s="44"/>
      <c r="D7048" s="8"/>
      <c r="E7048" s="8"/>
      <c r="F7048" s="8"/>
    </row>
    <row r="7049" spans="2:6">
      <c r="B7049" s="44"/>
      <c r="D7049" s="8"/>
      <c r="E7049" s="8"/>
      <c r="F7049" s="8"/>
    </row>
    <row r="7050" spans="2:6">
      <c r="B7050" s="44"/>
      <c r="D7050" s="8"/>
      <c r="E7050" s="8"/>
      <c r="F7050" s="8"/>
    </row>
    <row r="7051" spans="2:6">
      <c r="B7051" s="44"/>
      <c r="D7051" s="8"/>
      <c r="E7051" s="8"/>
      <c r="F7051" s="8"/>
    </row>
    <row r="7052" spans="2:6">
      <c r="B7052" s="44"/>
      <c r="D7052" s="8"/>
      <c r="E7052" s="8"/>
      <c r="F7052" s="8"/>
    </row>
    <row r="7053" spans="2:6">
      <c r="B7053" s="44"/>
      <c r="D7053" s="8"/>
      <c r="E7053" s="8"/>
      <c r="F7053" s="8"/>
    </row>
    <row r="7054" spans="2:6">
      <c r="B7054" s="44"/>
      <c r="D7054" s="8"/>
      <c r="E7054" s="8"/>
      <c r="F7054" s="8"/>
    </row>
    <row r="7055" spans="2:6">
      <c r="B7055" s="44"/>
      <c r="D7055" s="8"/>
      <c r="E7055" s="8"/>
      <c r="F7055" s="8"/>
    </row>
    <row r="7056" spans="2:6">
      <c r="B7056" s="44"/>
      <c r="D7056" s="8"/>
      <c r="E7056" s="8"/>
      <c r="F7056" s="8"/>
    </row>
    <row r="7057" spans="2:6">
      <c r="B7057" s="44"/>
      <c r="D7057" s="8"/>
      <c r="E7057" s="8"/>
      <c r="F7057" s="8"/>
    </row>
    <row r="7058" spans="2:6">
      <c r="B7058" s="44"/>
      <c r="D7058" s="8"/>
      <c r="E7058" s="8"/>
      <c r="F7058" s="8"/>
    </row>
    <row r="7059" spans="2:6">
      <c r="B7059" s="44"/>
      <c r="D7059" s="8"/>
      <c r="E7059" s="8"/>
      <c r="F7059" s="8"/>
    </row>
    <row r="7060" spans="2:6">
      <c r="B7060" s="44"/>
      <c r="D7060" s="8"/>
      <c r="E7060" s="8"/>
      <c r="F7060" s="8"/>
    </row>
    <row r="7061" spans="2:6">
      <c r="B7061" s="44"/>
      <c r="D7061" s="8"/>
      <c r="E7061" s="8"/>
      <c r="F7061" s="8"/>
    </row>
    <row r="7062" spans="2:6">
      <c r="B7062" s="44"/>
      <c r="D7062" s="8"/>
      <c r="E7062" s="8"/>
      <c r="F7062" s="8"/>
    </row>
    <row r="7063" spans="2:6">
      <c r="B7063" s="44"/>
      <c r="D7063" s="8"/>
      <c r="E7063" s="8"/>
      <c r="F7063" s="8"/>
    </row>
    <row r="7064" spans="2:6">
      <c r="B7064" s="44"/>
      <c r="D7064" s="8"/>
      <c r="E7064" s="8"/>
      <c r="F7064" s="8"/>
    </row>
    <row r="7065" spans="2:6">
      <c r="B7065" s="44"/>
      <c r="D7065" s="8"/>
      <c r="E7065" s="8"/>
      <c r="F7065" s="8"/>
    </row>
    <row r="7066" spans="2:6">
      <c r="B7066" s="44"/>
      <c r="D7066" s="8"/>
      <c r="E7066" s="8"/>
      <c r="F7066" s="8"/>
    </row>
    <row r="7067" spans="2:6">
      <c r="B7067" s="44"/>
      <c r="D7067" s="8"/>
      <c r="E7067" s="8"/>
      <c r="F7067" s="8"/>
    </row>
    <row r="7068" spans="2:6">
      <c r="B7068" s="44"/>
      <c r="D7068" s="8"/>
      <c r="E7068" s="8"/>
      <c r="F7068" s="8"/>
    </row>
    <row r="7069" spans="2:6">
      <c r="B7069" s="44"/>
      <c r="D7069" s="8"/>
      <c r="E7069" s="8"/>
      <c r="F7069" s="8"/>
    </row>
    <row r="7070" spans="2:6">
      <c r="B7070" s="44"/>
      <c r="D7070" s="8"/>
      <c r="E7070" s="8"/>
      <c r="F7070" s="8"/>
    </row>
    <row r="7071" spans="2:6">
      <c r="B7071" s="44"/>
      <c r="D7071" s="8"/>
      <c r="E7071" s="8"/>
      <c r="F7071" s="8"/>
    </row>
    <row r="7072" spans="2:6">
      <c r="B7072" s="44"/>
      <c r="D7072" s="8"/>
      <c r="E7072" s="8"/>
      <c r="F7072" s="8"/>
    </row>
    <row r="7073" spans="2:6">
      <c r="B7073" s="44"/>
      <c r="D7073" s="8"/>
      <c r="E7073" s="8"/>
      <c r="F7073" s="8"/>
    </row>
    <row r="7074" spans="2:6">
      <c r="B7074" s="44"/>
      <c r="D7074" s="8"/>
      <c r="E7074" s="8"/>
      <c r="F7074" s="8"/>
    </row>
    <row r="7075" spans="2:6">
      <c r="B7075" s="44"/>
      <c r="D7075" s="8"/>
      <c r="E7075" s="8"/>
      <c r="F7075" s="8"/>
    </row>
    <row r="7076" spans="2:6">
      <c r="B7076" s="44"/>
      <c r="D7076" s="8"/>
      <c r="E7076" s="8"/>
      <c r="F7076" s="8"/>
    </row>
    <row r="7077" spans="2:6">
      <c r="B7077" s="44"/>
      <c r="D7077" s="8"/>
      <c r="E7077" s="8"/>
      <c r="F7077" s="8"/>
    </row>
    <row r="7078" spans="2:6">
      <c r="B7078" s="44"/>
      <c r="D7078" s="8"/>
      <c r="E7078" s="8"/>
      <c r="F7078" s="8"/>
    </row>
    <row r="7079" spans="2:6">
      <c r="B7079" s="44"/>
      <c r="D7079" s="8"/>
      <c r="E7079" s="8"/>
      <c r="F7079" s="8"/>
    </row>
    <row r="7080" spans="2:6">
      <c r="B7080" s="44"/>
      <c r="D7080" s="8"/>
      <c r="E7080" s="8"/>
      <c r="F7080" s="8"/>
    </row>
    <row r="7081" spans="2:6">
      <c r="B7081" s="44"/>
      <c r="D7081" s="8"/>
      <c r="E7081" s="8"/>
      <c r="F7081" s="8"/>
    </row>
    <row r="7082" spans="2:6">
      <c r="B7082" s="44"/>
      <c r="D7082" s="8"/>
      <c r="E7082" s="8"/>
      <c r="F7082" s="8"/>
    </row>
    <row r="7083" spans="2:6">
      <c r="B7083" s="44"/>
      <c r="D7083" s="8"/>
      <c r="E7083" s="8"/>
      <c r="F7083" s="8"/>
    </row>
    <row r="7084" spans="2:6">
      <c r="B7084" s="44"/>
      <c r="D7084" s="8"/>
      <c r="E7084" s="8"/>
      <c r="F7084" s="8"/>
    </row>
    <row r="7085" spans="2:6">
      <c r="B7085" s="44"/>
      <c r="D7085" s="8"/>
      <c r="E7085" s="8"/>
      <c r="F7085" s="8"/>
    </row>
    <row r="7086" spans="2:6">
      <c r="B7086" s="44"/>
      <c r="D7086" s="8"/>
      <c r="E7086" s="8"/>
      <c r="F7086" s="8"/>
    </row>
    <row r="7087" spans="2:6">
      <c r="B7087" s="44"/>
      <c r="D7087" s="8"/>
      <c r="E7087" s="8"/>
      <c r="F7087" s="8"/>
    </row>
    <row r="7088" spans="2:6">
      <c r="B7088" s="44"/>
      <c r="D7088" s="8"/>
      <c r="E7088" s="8"/>
      <c r="F7088" s="8"/>
    </row>
    <row r="7089" spans="2:6">
      <c r="B7089" s="44"/>
      <c r="D7089" s="8"/>
      <c r="E7089" s="8"/>
      <c r="F7089" s="8"/>
    </row>
    <row r="7090" spans="2:6">
      <c r="B7090" s="44"/>
      <c r="D7090" s="8"/>
      <c r="E7090" s="8"/>
      <c r="F7090" s="8"/>
    </row>
    <row r="7091" spans="2:6">
      <c r="B7091" s="44"/>
      <c r="D7091" s="8"/>
      <c r="E7091" s="8"/>
      <c r="F7091" s="8"/>
    </row>
    <row r="7092" spans="2:6">
      <c r="B7092" s="44"/>
      <c r="D7092" s="8"/>
      <c r="E7092" s="8"/>
      <c r="F7092" s="8"/>
    </row>
    <row r="7093" spans="2:6">
      <c r="B7093" s="44"/>
      <c r="D7093" s="8"/>
      <c r="E7093" s="8"/>
      <c r="F7093" s="8"/>
    </row>
    <row r="7094" spans="2:6">
      <c r="B7094" s="44"/>
      <c r="D7094" s="8"/>
      <c r="E7094" s="8"/>
      <c r="F7094" s="8"/>
    </row>
    <row r="7095" spans="2:6">
      <c r="B7095" s="44"/>
      <c r="D7095" s="8"/>
      <c r="E7095" s="8"/>
      <c r="F7095" s="8"/>
    </row>
    <row r="7096" spans="2:6">
      <c r="B7096" s="44"/>
      <c r="D7096" s="8"/>
      <c r="E7096" s="8"/>
      <c r="F7096" s="8"/>
    </row>
    <row r="7097" spans="2:6">
      <c r="B7097" s="44"/>
      <c r="D7097" s="8"/>
      <c r="E7097" s="8"/>
      <c r="F7097" s="8"/>
    </row>
    <row r="7098" spans="2:6">
      <c r="B7098" s="44"/>
      <c r="D7098" s="8"/>
      <c r="E7098" s="8"/>
      <c r="F7098" s="8"/>
    </row>
    <row r="7099" spans="2:6">
      <c r="B7099" s="44"/>
      <c r="D7099" s="8"/>
      <c r="E7099" s="8"/>
      <c r="F7099" s="8"/>
    </row>
    <row r="7100" spans="2:6">
      <c r="B7100" s="44"/>
      <c r="D7100" s="8"/>
      <c r="E7100" s="8"/>
      <c r="F7100" s="8"/>
    </row>
    <row r="7101" spans="2:6">
      <c r="B7101" s="44"/>
      <c r="D7101" s="8"/>
      <c r="E7101" s="8"/>
      <c r="F7101" s="8"/>
    </row>
    <row r="7102" spans="2:6">
      <c r="B7102" s="44"/>
      <c r="D7102" s="8"/>
      <c r="E7102" s="8"/>
      <c r="F7102" s="8"/>
    </row>
    <row r="7103" spans="2:6">
      <c r="B7103" s="44"/>
      <c r="D7103" s="8"/>
      <c r="E7103" s="8"/>
      <c r="F7103" s="8"/>
    </row>
    <row r="7104" spans="2:6">
      <c r="B7104" s="44"/>
      <c r="D7104" s="8"/>
      <c r="E7104" s="8"/>
      <c r="F7104" s="8"/>
    </row>
    <row r="7105" spans="2:6">
      <c r="B7105" s="44"/>
      <c r="D7105" s="8"/>
      <c r="E7105" s="8"/>
      <c r="F7105" s="8"/>
    </row>
    <row r="7106" spans="2:6">
      <c r="B7106" s="44"/>
      <c r="D7106" s="8"/>
      <c r="E7106" s="8"/>
      <c r="F7106" s="8"/>
    </row>
    <row r="7107" spans="2:6">
      <c r="B7107" s="44"/>
      <c r="D7107" s="8"/>
      <c r="E7107" s="8"/>
      <c r="F7107" s="8"/>
    </row>
    <row r="7108" spans="2:6">
      <c r="B7108" s="44"/>
      <c r="D7108" s="8"/>
      <c r="E7108" s="8"/>
      <c r="F7108" s="8"/>
    </row>
    <row r="7109" spans="2:6">
      <c r="B7109" s="44"/>
      <c r="D7109" s="8"/>
      <c r="E7109" s="8"/>
      <c r="F7109" s="8"/>
    </row>
    <row r="7110" spans="2:6">
      <c r="B7110" s="44"/>
      <c r="D7110" s="8"/>
      <c r="E7110" s="8"/>
      <c r="F7110" s="8"/>
    </row>
    <row r="7111" spans="2:6">
      <c r="B7111" s="44"/>
      <c r="D7111" s="8"/>
      <c r="E7111" s="8"/>
      <c r="F7111" s="8"/>
    </row>
    <row r="7112" spans="2:6">
      <c r="B7112" s="44"/>
      <c r="D7112" s="8"/>
      <c r="E7112" s="8"/>
      <c r="F7112" s="8"/>
    </row>
    <row r="7113" spans="2:6">
      <c r="B7113" s="44"/>
      <c r="D7113" s="8"/>
      <c r="E7113" s="8"/>
      <c r="F7113" s="8"/>
    </row>
    <row r="7114" spans="2:6">
      <c r="B7114" s="44"/>
      <c r="D7114" s="8"/>
      <c r="E7114" s="8"/>
      <c r="F7114" s="8"/>
    </row>
    <row r="7115" spans="2:6">
      <c r="B7115" s="44"/>
      <c r="D7115" s="8"/>
      <c r="E7115" s="8"/>
      <c r="F7115" s="8"/>
    </row>
    <row r="7116" spans="2:6">
      <c r="B7116" s="44"/>
      <c r="D7116" s="8"/>
      <c r="E7116" s="8"/>
      <c r="F7116" s="8"/>
    </row>
    <row r="7117" spans="2:6">
      <c r="B7117" s="44"/>
      <c r="D7117" s="8"/>
      <c r="E7117" s="8"/>
      <c r="F7117" s="8"/>
    </row>
    <row r="7118" spans="2:6">
      <c r="B7118" s="44"/>
      <c r="D7118" s="8"/>
      <c r="E7118" s="8"/>
      <c r="F7118" s="8"/>
    </row>
    <row r="7119" spans="2:6">
      <c r="B7119" s="44"/>
      <c r="D7119" s="8"/>
      <c r="E7119" s="8"/>
      <c r="F7119" s="8"/>
    </row>
    <row r="7120" spans="2:6">
      <c r="B7120" s="44"/>
      <c r="D7120" s="8"/>
      <c r="E7120" s="8"/>
      <c r="F7120" s="8"/>
    </row>
    <row r="7121" spans="2:6">
      <c r="B7121" s="44"/>
      <c r="D7121" s="8"/>
      <c r="E7121" s="8"/>
      <c r="F7121" s="8"/>
    </row>
    <row r="7122" spans="2:6">
      <c r="B7122" s="44"/>
      <c r="D7122" s="8"/>
      <c r="E7122" s="8"/>
      <c r="F7122" s="8"/>
    </row>
    <row r="7123" spans="2:6">
      <c r="B7123" s="44"/>
      <c r="D7123" s="8"/>
      <c r="E7123" s="8"/>
      <c r="F7123" s="8"/>
    </row>
    <row r="7124" spans="2:6">
      <c r="B7124" s="44"/>
      <c r="D7124" s="8"/>
      <c r="E7124" s="8"/>
      <c r="F7124" s="8"/>
    </row>
    <row r="7125" spans="2:6">
      <c r="B7125" s="44"/>
      <c r="D7125" s="8"/>
      <c r="E7125" s="8"/>
      <c r="F7125" s="8"/>
    </row>
    <row r="7126" spans="2:6">
      <c r="B7126" s="44"/>
      <c r="D7126" s="8"/>
      <c r="E7126" s="8"/>
      <c r="F7126" s="8"/>
    </row>
    <row r="7127" spans="2:6">
      <c r="B7127" s="44"/>
      <c r="D7127" s="8"/>
      <c r="E7127" s="8"/>
      <c r="F7127" s="8"/>
    </row>
    <row r="7128" spans="2:6">
      <c r="B7128" s="44"/>
      <c r="D7128" s="8"/>
      <c r="E7128" s="8"/>
      <c r="F7128" s="8"/>
    </row>
    <row r="7129" spans="2:6">
      <c r="B7129" s="44"/>
      <c r="D7129" s="8"/>
      <c r="E7129" s="8"/>
      <c r="F7129" s="8"/>
    </row>
    <row r="7130" spans="2:6">
      <c r="B7130" s="44"/>
      <c r="D7130" s="8"/>
      <c r="E7130" s="8"/>
      <c r="F7130" s="8"/>
    </row>
    <row r="7131" spans="2:6">
      <c r="B7131" s="44"/>
      <c r="D7131" s="8"/>
      <c r="E7131" s="8"/>
      <c r="F7131" s="8"/>
    </row>
    <row r="7132" spans="2:6">
      <c r="B7132" s="44"/>
      <c r="D7132" s="8"/>
      <c r="E7132" s="8"/>
      <c r="F7132" s="8"/>
    </row>
    <row r="7133" spans="2:6">
      <c r="B7133" s="44"/>
      <c r="D7133" s="8"/>
      <c r="E7133" s="8"/>
      <c r="F7133" s="8"/>
    </row>
    <row r="7134" spans="2:6">
      <c r="B7134" s="44"/>
      <c r="D7134" s="8"/>
      <c r="E7134" s="8"/>
      <c r="F7134" s="8"/>
    </row>
    <row r="7135" spans="2:6">
      <c r="B7135" s="44"/>
      <c r="D7135" s="8"/>
      <c r="E7135" s="8"/>
      <c r="F7135" s="8"/>
    </row>
    <row r="7136" spans="2:6">
      <c r="B7136" s="44"/>
      <c r="D7136" s="8"/>
      <c r="E7136" s="8"/>
      <c r="F7136" s="8"/>
    </row>
    <row r="7137" spans="2:6">
      <c r="B7137" s="44"/>
      <c r="D7137" s="8"/>
      <c r="E7137" s="8"/>
      <c r="F7137" s="8"/>
    </row>
    <row r="7138" spans="2:6">
      <c r="B7138" s="44"/>
      <c r="D7138" s="8"/>
      <c r="E7138" s="8"/>
      <c r="F7138" s="8"/>
    </row>
    <row r="7139" spans="2:6">
      <c r="B7139" s="44"/>
      <c r="D7139" s="8"/>
      <c r="E7139" s="8"/>
      <c r="F7139" s="8"/>
    </row>
    <row r="7140" spans="2:6">
      <c r="B7140" s="44"/>
      <c r="D7140" s="8"/>
      <c r="E7140" s="8"/>
      <c r="F7140" s="8"/>
    </row>
    <row r="7141" spans="2:6">
      <c r="B7141" s="44"/>
      <c r="D7141" s="8"/>
      <c r="E7141" s="8"/>
      <c r="F7141" s="8"/>
    </row>
    <row r="7142" spans="2:6">
      <c r="B7142" s="44"/>
      <c r="D7142" s="8"/>
      <c r="E7142" s="8"/>
      <c r="F7142" s="8"/>
    </row>
    <row r="7143" spans="2:6">
      <c r="B7143" s="44"/>
      <c r="D7143" s="8"/>
      <c r="E7143" s="8"/>
      <c r="F7143" s="8"/>
    </row>
    <row r="7144" spans="2:6">
      <c r="B7144" s="44"/>
      <c r="D7144" s="8"/>
      <c r="E7144" s="8"/>
      <c r="F7144" s="8"/>
    </row>
    <row r="7145" spans="2:6">
      <c r="B7145" s="44"/>
      <c r="D7145" s="8"/>
      <c r="E7145" s="8"/>
      <c r="F7145" s="8"/>
    </row>
    <row r="7146" spans="2:6">
      <c r="B7146" s="44"/>
      <c r="D7146" s="8"/>
      <c r="E7146" s="8"/>
      <c r="F7146" s="8"/>
    </row>
    <row r="7147" spans="2:6">
      <c r="B7147" s="44"/>
      <c r="D7147" s="8"/>
      <c r="E7147" s="8"/>
      <c r="F7147" s="8"/>
    </row>
    <row r="7148" spans="2:6">
      <c r="B7148" s="44"/>
      <c r="D7148" s="8"/>
      <c r="E7148" s="8"/>
      <c r="F7148" s="8"/>
    </row>
    <row r="7149" spans="2:6">
      <c r="B7149" s="44"/>
      <c r="D7149" s="8"/>
      <c r="E7149" s="8"/>
      <c r="F7149" s="8"/>
    </row>
    <row r="7150" spans="2:6">
      <c r="B7150" s="44"/>
      <c r="D7150" s="8"/>
      <c r="E7150" s="8"/>
      <c r="F7150" s="8"/>
    </row>
    <row r="7151" spans="2:6">
      <c r="B7151" s="44"/>
      <c r="D7151" s="8"/>
      <c r="E7151" s="8"/>
      <c r="F7151" s="8"/>
    </row>
    <row r="7152" spans="2:6">
      <c r="B7152" s="44"/>
      <c r="D7152" s="8"/>
      <c r="E7152" s="8"/>
      <c r="F7152" s="8"/>
    </row>
    <row r="7153" spans="2:6">
      <c r="B7153" s="44"/>
      <c r="D7153" s="8"/>
      <c r="E7153" s="8"/>
      <c r="F7153" s="8"/>
    </row>
    <row r="7154" spans="2:6">
      <c r="B7154" s="44"/>
      <c r="D7154" s="8"/>
      <c r="E7154" s="8"/>
      <c r="F7154" s="8"/>
    </row>
    <row r="7155" spans="2:6">
      <c r="B7155" s="44"/>
      <c r="D7155" s="8"/>
      <c r="E7155" s="8"/>
      <c r="F7155" s="8"/>
    </row>
    <row r="7156" spans="2:6">
      <c r="B7156" s="44"/>
      <c r="D7156" s="8"/>
      <c r="E7156" s="8"/>
      <c r="F7156" s="8"/>
    </row>
    <row r="7157" spans="2:6">
      <c r="B7157" s="44"/>
      <c r="D7157" s="8"/>
      <c r="E7157" s="8"/>
      <c r="F7157" s="8"/>
    </row>
    <row r="7158" spans="2:6">
      <c r="B7158" s="44"/>
      <c r="D7158" s="8"/>
      <c r="E7158" s="8"/>
      <c r="F7158" s="8"/>
    </row>
    <row r="7159" spans="2:6">
      <c r="B7159" s="44"/>
      <c r="D7159" s="8"/>
      <c r="E7159" s="8"/>
      <c r="F7159" s="8"/>
    </row>
    <row r="7160" spans="2:6">
      <c r="B7160" s="44"/>
      <c r="D7160" s="8"/>
      <c r="E7160" s="8"/>
      <c r="F7160" s="8"/>
    </row>
    <row r="7161" spans="2:6">
      <c r="B7161" s="44"/>
      <c r="D7161" s="8"/>
      <c r="E7161" s="8"/>
      <c r="F7161" s="8"/>
    </row>
    <row r="7162" spans="2:6">
      <c r="B7162" s="44"/>
      <c r="D7162" s="8"/>
      <c r="E7162" s="8"/>
      <c r="F7162" s="8"/>
    </row>
    <row r="7163" spans="2:6">
      <c r="B7163" s="44"/>
      <c r="D7163" s="8"/>
      <c r="E7163" s="8"/>
      <c r="F7163" s="8"/>
    </row>
    <row r="7164" spans="2:6">
      <c r="B7164" s="44"/>
      <c r="D7164" s="8"/>
      <c r="E7164" s="8"/>
      <c r="F7164" s="8"/>
    </row>
    <row r="7165" spans="2:6">
      <c r="B7165" s="44"/>
      <c r="D7165" s="8"/>
      <c r="E7165" s="8"/>
      <c r="F7165" s="8"/>
    </row>
    <row r="7166" spans="2:6">
      <c r="B7166" s="44"/>
      <c r="D7166" s="8"/>
      <c r="E7166" s="8"/>
      <c r="F7166" s="8"/>
    </row>
    <row r="7167" spans="2:6">
      <c r="B7167" s="44"/>
      <c r="D7167" s="8"/>
      <c r="E7167" s="8"/>
      <c r="F7167" s="8"/>
    </row>
    <row r="7168" spans="2:6">
      <c r="B7168" s="44"/>
      <c r="D7168" s="8"/>
      <c r="E7168" s="8"/>
      <c r="F7168" s="8"/>
    </row>
    <row r="7169" spans="2:6">
      <c r="B7169" s="44"/>
      <c r="D7169" s="8"/>
      <c r="E7169" s="8"/>
      <c r="F7169" s="8"/>
    </row>
    <row r="7170" spans="2:6">
      <c r="B7170" s="44"/>
      <c r="D7170" s="8"/>
      <c r="E7170" s="8"/>
      <c r="F7170" s="8"/>
    </row>
    <row r="7171" spans="2:6">
      <c r="B7171" s="44"/>
      <c r="D7171" s="8"/>
      <c r="E7171" s="8"/>
      <c r="F7171" s="8"/>
    </row>
    <row r="7172" spans="2:6">
      <c r="B7172" s="44"/>
      <c r="D7172" s="8"/>
      <c r="E7172" s="8"/>
      <c r="F7172" s="8"/>
    </row>
    <row r="7173" spans="2:6">
      <c r="B7173" s="44"/>
      <c r="D7173" s="8"/>
      <c r="E7173" s="8"/>
      <c r="F7173" s="8"/>
    </row>
    <row r="7174" spans="2:6">
      <c r="B7174" s="44"/>
      <c r="D7174" s="8"/>
      <c r="E7174" s="8"/>
      <c r="F7174" s="8"/>
    </row>
    <row r="7175" spans="2:6">
      <c r="B7175" s="44"/>
      <c r="D7175" s="8"/>
      <c r="E7175" s="8"/>
      <c r="F7175" s="8"/>
    </row>
    <row r="7176" spans="2:6">
      <c r="B7176" s="44"/>
      <c r="D7176" s="8"/>
      <c r="E7176" s="8"/>
      <c r="F7176" s="8"/>
    </row>
    <row r="7177" spans="2:6">
      <c r="B7177" s="44"/>
      <c r="D7177" s="8"/>
      <c r="E7177" s="8"/>
      <c r="F7177" s="8"/>
    </row>
    <row r="7178" spans="2:6">
      <c r="B7178" s="44"/>
      <c r="D7178" s="8"/>
      <c r="E7178" s="8"/>
      <c r="F7178" s="8"/>
    </row>
    <row r="7179" spans="2:6">
      <c r="B7179" s="44"/>
      <c r="D7179" s="8"/>
      <c r="E7179" s="8"/>
      <c r="F7179" s="8"/>
    </row>
    <row r="7180" spans="2:6">
      <c r="B7180" s="44"/>
      <c r="D7180" s="8"/>
      <c r="E7180" s="8"/>
      <c r="F7180" s="8"/>
    </row>
    <row r="7181" spans="2:6">
      <c r="B7181" s="44"/>
      <c r="D7181" s="8"/>
      <c r="E7181" s="8"/>
      <c r="F7181" s="8"/>
    </row>
    <row r="7182" spans="2:6">
      <c r="B7182" s="44"/>
      <c r="D7182" s="8"/>
      <c r="E7182" s="8"/>
      <c r="F7182" s="8"/>
    </row>
    <row r="7183" spans="2:6">
      <c r="B7183" s="44"/>
      <c r="D7183" s="8"/>
      <c r="E7183" s="8"/>
      <c r="F7183" s="8"/>
    </row>
    <row r="7184" spans="2:6">
      <c r="B7184" s="44"/>
      <c r="D7184" s="8"/>
      <c r="E7184" s="8"/>
      <c r="F7184" s="8"/>
    </row>
    <row r="7185" spans="2:6">
      <c r="B7185" s="44"/>
      <c r="D7185" s="8"/>
      <c r="E7185" s="8"/>
      <c r="F7185" s="8"/>
    </row>
    <row r="7186" spans="2:6">
      <c r="B7186" s="44"/>
      <c r="D7186" s="8"/>
      <c r="E7186" s="8"/>
      <c r="F7186" s="8"/>
    </row>
    <row r="7187" spans="2:6">
      <c r="B7187" s="44"/>
      <c r="D7187" s="8"/>
      <c r="E7187" s="8"/>
      <c r="F7187" s="8"/>
    </row>
    <row r="7188" spans="2:6">
      <c r="B7188" s="44"/>
      <c r="D7188" s="8"/>
      <c r="E7188" s="8"/>
      <c r="F7188" s="8"/>
    </row>
    <row r="7189" spans="2:6">
      <c r="B7189" s="44"/>
      <c r="D7189" s="8"/>
      <c r="E7189" s="8"/>
      <c r="F7189" s="8"/>
    </row>
    <row r="7190" spans="2:6">
      <c r="B7190" s="44"/>
      <c r="D7190" s="8"/>
      <c r="E7190" s="8"/>
      <c r="F7190" s="8"/>
    </row>
    <row r="7191" spans="2:6">
      <c r="B7191" s="44"/>
      <c r="D7191" s="8"/>
      <c r="E7191" s="8"/>
      <c r="F7191" s="8"/>
    </row>
    <row r="7192" spans="2:6">
      <c r="B7192" s="44"/>
      <c r="D7192" s="8"/>
      <c r="E7192" s="8"/>
      <c r="F7192" s="8"/>
    </row>
    <row r="7193" spans="2:6">
      <c r="B7193" s="44"/>
      <c r="D7193" s="8"/>
      <c r="E7193" s="8"/>
      <c r="F7193" s="8"/>
    </row>
    <row r="7194" spans="2:6">
      <c r="B7194" s="44"/>
      <c r="D7194" s="8"/>
      <c r="E7194" s="8"/>
      <c r="F7194" s="8"/>
    </row>
    <row r="7195" spans="2:6">
      <c r="B7195" s="44"/>
      <c r="D7195" s="8"/>
      <c r="E7195" s="8"/>
      <c r="F7195" s="8"/>
    </row>
    <row r="7196" spans="2:6">
      <c r="B7196" s="44"/>
      <c r="D7196" s="8"/>
      <c r="E7196" s="8"/>
      <c r="F7196" s="8"/>
    </row>
    <row r="7197" spans="2:6">
      <c r="B7197" s="44"/>
      <c r="D7197" s="8"/>
      <c r="E7197" s="8"/>
      <c r="F7197" s="8"/>
    </row>
    <row r="7198" spans="2:6">
      <c r="B7198" s="44"/>
      <c r="D7198" s="8"/>
      <c r="E7198" s="8"/>
      <c r="F7198" s="8"/>
    </row>
    <row r="7199" spans="2:6">
      <c r="B7199" s="44"/>
      <c r="D7199" s="8"/>
      <c r="E7199" s="8"/>
      <c r="F7199" s="8"/>
    </row>
    <row r="7200" spans="2:6">
      <c r="B7200" s="44"/>
      <c r="D7200" s="8"/>
      <c r="E7200" s="8"/>
      <c r="F7200" s="8"/>
    </row>
    <row r="7201" spans="2:6">
      <c r="B7201" s="44"/>
      <c r="D7201" s="8"/>
      <c r="E7201" s="8"/>
      <c r="F7201" s="8"/>
    </row>
    <row r="7202" spans="2:6">
      <c r="B7202" s="44"/>
      <c r="D7202" s="8"/>
      <c r="E7202" s="8"/>
      <c r="F7202" s="8"/>
    </row>
    <row r="7203" spans="2:6">
      <c r="B7203" s="44"/>
      <c r="D7203" s="8"/>
      <c r="E7203" s="8"/>
      <c r="F7203" s="8"/>
    </row>
    <row r="7204" spans="2:6">
      <c r="B7204" s="44"/>
      <c r="D7204" s="8"/>
      <c r="E7204" s="8"/>
      <c r="F7204" s="8"/>
    </row>
    <row r="7205" spans="2:6">
      <c r="B7205" s="44"/>
      <c r="D7205" s="8"/>
      <c r="E7205" s="8"/>
      <c r="F7205" s="8"/>
    </row>
    <row r="7206" spans="2:6">
      <c r="B7206" s="44"/>
      <c r="D7206" s="8"/>
      <c r="E7206" s="8"/>
      <c r="F7206" s="8"/>
    </row>
    <row r="7207" spans="2:6">
      <c r="B7207" s="44"/>
      <c r="D7207" s="8"/>
      <c r="E7207" s="8"/>
      <c r="F7207" s="8"/>
    </row>
    <row r="7208" spans="2:6">
      <c r="B7208" s="44"/>
      <c r="D7208" s="8"/>
      <c r="E7208" s="8"/>
      <c r="F7208" s="8"/>
    </row>
    <row r="7209" spans="2:6">
      <c r="B7209" s="44"/>
      <c r="D7209" s="8"/>
      <c r="E7209" s="8"/>
      <c r="F7209" s="8"/>
    </row>
    <row r="7210" spans="2:6">
      <c r="B7210" s="44"/>
      <c r="D7210" s="8"/>
      <c r="E7210" s="8"/>
      <c r="F7210" s="8"/>
    </row>
    <row r="7211" spans="2:6">
      <c r="B7211" s="44"/>
      <c r="D7211" s="8"/>
      <c r="E7211" s="8"/>
      <c r="F7211" s="8"/>
    </row>
    <row r="7212" spans="2:6">
      <c r="B7212" s="44"/>
      <c r="D7212" s="8"/>
      <c r="E7212" s="8"/>
      <c r="F7212" s="8"/>
    </row>
    <row r="7213" spans="2:6">
      <c r="B7213" s="44"/>
      <c r="D7213" s="8"/>
      <c r="E7213" s="8"/>
      <c r="F7213" s="8"/>
    </row>
    <row r="7214" spans="2:6">
      <c r="B7214" s="44"/>
      <c r="D7214" s="8"/>
      <c r="E7214" s="8"/>
      <c r="F7214" s="8"/>
    </row>
    <row r="7215" spans="2:6">
      <c r="B7215" s="44"/>
      <c r="D7215" s="8"/>
      <c r="E7215" s="8"/>
      <c r="F7215" s="8"/>
    </row>
    <row r="7216" spans="2:6">
      <c r="B7216" s="44"/>
      <c r="D7216" s="8"/>
      <c r="E7216" s="8"/>
      <c r="F7216" s="8"/>
    </row>
    <row r="7217" spans="2:6">
      <c r="B7217" s="44"/>
      <c r="D7217" s="8"/>
      <c r="E7217" s="8"/>
      <c r="F7217" s="8"/>
    </row>
    <row r="7218" spans="2:6">
      <c r="B7218" s="44"/>
      <c r="D7218" s="8"/>
      <c r="E7218" s="8"/>
      <c r="F7218" s="8"/>
    </row>
    <row r="7219" spans="2:6">
      <c r="B7219" s="44"/>
      <c r="D7219" s="8"/>
      <c r="E7219" s="8"/>
      <c r="F7219" s="8"/>
    </row>
    <row r="7220" spans="2:6">
      <c r="B7220" s="44"/>
      <c r="D7220" s="8"/>
      <c r="E7220" s="8"/>
      <c r="F7220" s="8"/>
    </row>
    <row r="7221" spans="2:6">
      <c r="B7221" s="44"/>
      <c r="D7221" s="8"/>
      <c r="E7221" s="8"/>
      <c r="F7221" s="8"/>
    </row>
    <row r="7222" spans="2:6">
      <c r="B7222" s="44"/>
      <c r="D7222" s="8"/>
      <c r="E7222" s="8"/>
      <c r="F7222" s="8"/>
    </row>
    <row r="7223" spans="2:6">
      <c r="B7223" s="44"/>
      <c r="D7223" s="8"/>
      <c r="E7223" s="8"/>
      <c r="F7223" s="8"/>
    </row>
    <row r="7224" spans="2:6">
      <c r="B7224" s="44"/>
      <c r="D7224" s="8"/>
      <c r="E7224" s="8"/>
      <c r="F7224" s="8"/>
    </row>
    <row r="7225" spans="2:6">
      <c r="B7225" s="44"/>
      <c r="D7225" s="8"/>
      <c r="E7225" s="8"/>
      <c r="F7225" s="8"/>
    </row>
    <row r="7226" spans="2:6">
      <c r="B7226" s="44"/>
      <c r="D7226" s="8"/>
      <c r="E7226" s="8"/>
      <c r="F7226" s="8"/>
    </row>
    <row r="7227" spans="2:6">
      <c r="B7227" s="44"/>
      <c r="D7227" s="8"/>
      <c r="E7227" s="8"/>
      <c r="F7227" s="8"/>
    </row>
    <row r="7228" spans="2:6">
      <c r="B7228" s="44"/>
      <c r="D7228" s="8"/>
      <c r="E7228" s="8"/>
      <c r="F7228" s="8"/>
    </row>
    <row r="7229" spans="2:6">
      <c r="B7229" s="44"/>
      <c r="D7229" s="8"/>
      <c r="E7229" s="8"/>
      <c r="F7229" s="8"/>
    </row>
    <row r="7230" spans="2:6">
      <c r="B7230" s="44"/>
      <c r="D7230" s="8"/>
      <c r="E7230" s="8"/>
      <c r="F7230" s="8"/>
    </row>
    <row r="7231" spans="2:6">
      <c r="B7231" s="44"/>
      <c r="D7231" s="8"/>
      <c r="E7231" s="8"/>
      <c r="F7231" s="8"/>
    </row>
    <row r="7232" spans="2:6">
      <c r="B7232" s="44"/>
      <c r="D7232" s="8"/>
      <c r="E7232" s="8"/>
      <c r="F7232" s="8"/>
    </row>
    <row r="7233" spans="2:6">
      <c r="B7233" s="44"/>
      <c r="D7233" s="8"/>
      <c r="E7233" s="8"/>
      <c r="F7233" s="8"/>
    </row>
    <row r="7234" spans="2:6">
      <c r="B7234" s="44"/>
      <c r="D7234" s="8"/>
      <c r="E7234" s="8"/>
      <c r="F7234" s="8"/>
    </row>
    <row r="7235" spans="2:6">
      <c r="B7235" s="44"/>
      <c r="D7235" s="8"/>
      <c r="E7235" s="8"/>
      <c r="F7235" s="8"/>
    </row>
    <row r="7236" spans="2:6">
      <c r="B7236" s="44"/>
      <c r="D7236" s="8"/>
      <c r="E7236" s="8"/>
      <c r="F7236" s="8"/>
    </row>
    <row r="7237" spans="2:6">
      <c r="B7237" s="44"/>
      <c r="D7237" s="8"/>
      <c r="E7237" s="8"/>
      <c r="F7237" s="8"/>
    </row>
    <row r="7238" spans="2:6">
      <c r="B7238" s="44"/>
      <c r="D7238" s="8"/>
      <c r="E7238" s="8"/>
      <c r="F7238" s="8"/>
    </row>
    <row r="7239" spans="2:6">
      <c r="B7239" s="44"/>
      <c r="D7239" s="8"/>
      <c r="E7239" s="8"/>
      <c r="F7239" s="8"/>
    </row>
    <row r="7240" spans="2:6">
      <c r="B7240" s="44"/>
      <c r="D7240" s="8"/>
      <c r="E7240" s="8"/>
      <c r="F7240" s="8"/>
    </row>
    <row r="7241" spans="2:6">
      <c r="B7241" s="44"/>
      <c r="D7241" s="8"/>
      <c r="E7241" s="8"/>
      <c r="F7241" s="8"/>
    </row>
    <row r="7242" spans="2:6">
      <c r="B7242" s="44"/>
      <c r="D7242" s="8"/>
      <c r="E7242" s="8"/>
      <c r="F7242" s="8"/>
    </row>
    <row r="7243" spans="2:6">
      <c r="B7243" s="44"/>
      <c r="D7243" s="8"/>
      <c r="E7243" s="8"/>
      <c r="F7243" s="8"/>
    </row>
    <row r="7244" spans="2:6">
      <c r="B7244" s="44"/>
      <c r="D7244" s="8"/>
      <c r="E7244" s="8"/>
      <c r="F7244" s="8"/>
    </row>
    <row r="7245" spans="2:6">
      <c r="B7245" s="44"/>
      <c r="D7245" s="8"/>
      <c r="E7245" s="8"/>
      <c r="F7245" s="8"/>
    </row>
    <row r="7246" spans="2:6">
      <c r="B7246" s="44"/>
      <c r="D7246" s="8"/>
      <c r="E7246" s="8"/>
      <c r="F7246" s="8"/>
    </row>
    <row r="7247" spans="2:6">
      <c r="B7247" s="44"/>
      <c r="D7247" s="8"/>
      <c r="E7247" s="8"/>
      <c r="F7247" s="8"/>
    </row>
    <row r="7248" spans="2:6">
      <c r="B7248" s="44"/>
      <c r="D7248" s="8"/>
      <c r="E7248" s="8"/>
      <c r="F7248" s="8"/>
    </row>
    <row r="7249" spans="2:6">
      <c r="B7249" s="44"/>
      <c r="D7249" s="8"/>
      <c r="E7249" s="8"/>
      <c r="F7249" s="8"/>
    </row>
    <row r="7250" spans="2:6">
      <c r="B7250" s="44"/>
      <c r="D7250" s="8"/>
      <c r="E7250" s="8"/>
      <c r="F7250" s="8"/>
    </row>
    <row r="7251" spans="2:6">
      <c r="B7251" s="44"/>
      <c r="D7251" s="8"/>
      <c r="E7251" s="8"/>
      <c r="F7251" s="8"/>
    </row>
    <row r="7252" spans="2:6">
      <c r="B7252" s="44"/>
      <c r="D7252" s="8"/>
      <c r="E7252" s="8"/>
      <c r="F7252" s="8"/>
    </row>
    <row r="7253" spans="2:6">
      <c r="B7253" s="44"/>
      <c r="D7253" s="8"/>
      <c r="E7253" s="8"/>
      <c r="F7253" s="8"/>
    </row>
    <row r="7254" spans="2:6">
      <c r="B7254" s="44"/>
      <c r="D7254" s="8"/>
      <c r="E7254" s="8"/>
      <c r="F7254" s="8"/>
    </row>
    <row r="7255" spans="2:6">
      <c r="B7255" s="44"/>
      <c r="D7255" s="8"/>
      <c r="E7255" s="8"/>
      <c r="F7255" s="8"/>
    </row>
    <row r="7256" spans="2:6">
      <c r="B7256" s="44"/>
      <c r="D7256" s="8"/>
      <c r="E7256" s="8"/>
      <c r="F7256" s="8"/>
    </row>
    <row r="7257" spans="2:6">
      <c r="B7257" s="44"/>
      <c r="D7257" s="8"/>
      <c r="E7257" s="8"/>
      <c r="F7257" s="8"/>
    </row>
    <row r="7258" spans="2:6">
      <c r="B7258" s="44"/>
      <c r="D7258" s="8"/>
      <c r="E7258" s="8"/>
      <c r="F7258" s="8"/>
    </row>
    <row r="7259" spans="2:6">
      <c r="B7259" s="44"/>
      <c r="D7259" s="8"/>
      <c r="E7259" s="8"/>
      <c r="F7259" s="8"/>
    </row>
    <row r="7260" spans="2:6">
      <c r="B7260" s="44"/>
      <c r="D7260" s="8"/>
      <c r="E7260" s="8"/>
      <c r="F7260" s="8"/>
    </row>
    <row r="7261" spans="2:6">
      <c r="B7261" s="44"/>
      <c r="D7261" s="8"/>
      <c r="E7261" s="8"/>
      <c r="F7261" s="8"/>
    </row>
    <row r="7262" spans="2:6">
      <c r="B7262" s="44"/>
      <c r="D7262" s="8"/>
      <c r="E7262" s="8"/>
      <c r="F7262" s="8"/>
    </row>
    <row r="7263" spans="2:6">
      <c r="B7263" s="44"/>
      <c r="D7263" s="8"/>
      <c r="E7263" s="8"/>
      <c r="F7263" s="8"/>
    </row>
    <row r="7264" spans="2:6">
      <c r="B7264" s="44"/>
      <c r="D7264" s="8"/>
      <c r="E7264" s="8"/>
      <c r="F7264" s="8"/>
    </row>
    <row r="7265" spans="2:6">
      <c r="B7265" s="44"/>
      <c r="D7265" s="8"/>
      <c r="E7265" s="8"/>
      <c r="F7265" s="8"/>
    </row>
    <row r="7266" spans="2:6">
      <c r="B7266" s="44"/>
      <c r="D7266" s="8"/>
      <c r="E7266" s="8"/>
      <c r="F7266" s="8"/>
    </row>
    <row r="7267" spans="2:6">
      <c r="B7267" s="44"/>
      <c r="D7267" s="8"/>
      <c r="E7267" s="8"/>
      <c r="F7267" s="8"/>
    </row>
    <row r="7268" spans="2:6">
      <c r="B7268" s="44"/>
      <c r="D7268" s="8"/>
      <c r="E7268" s="8"/>
      <c r="F7268" s="8"/>
    </row>
    <row r="7269" spans="2:6">
      <c r="B7269" s="44"/>
      <c r="D7269" s="8"/>
      <c r="E7269" s="8"/>
      <c r="F7269" s="8"/>
    </row>
    <row r="7270" spans="2:6">
      <c r="B7270" s="44"/>
      <c r="D7270" s="8"/>
      <c r="E7270" s="8"/>
      <c r="F7270" s="8"/>
    </row>
    <row r="7271" spans="2:6">
      <c r="B7271" s="44"/>
      <c r="D7271" s="8"/>
      <c r="E7271" s="8"/>
      <c r="F7271" s="8"/>
    </row>
    <row r="7272" spans="2:6">
      <c r="B7272" s="44"/>
      <c r="D7272" s="8"/>
      <c r="E7272" s="8"/>
      <c r="F7272" s="8"/>
    </row>
    <row r="7273" spans="2:6">
      <c r="B7273" s="44"/>
      <c r="D7273" s="8"/>
      <c r="E7273" s="8"/>
      <c r="F7273" s="8"/>
    </row>
    <row r="7274" spans="2:6">
      <c r="B7274" s="44"/>
      <c r="D7274" s="8"/>
      <c r="E7274" s="8"/>
      <c r="F7274" s="8"/>
    </row>
    <row r="7275" spans="2:6">
      <c r="B7275" s="44"/>
      <c r="D7275" s="8"/>
      <c r="E7275" s="8"/>
      <c r="F7275" s="8"/>
    </row>
    <row r="7276" spans="2:6">
      <c r="B7276" s="44"/>
      <c r="D7276" s="8"/>
      <c r="E7276" s="8"/>
      <c r="F7276" s="8"/>
    </row>
    <row r="7277" spans="2:6">
      <c r="B7277" s="44"/>
      <c r="D7277" s="8"/>
      <c r="E7277" s="8"/>
      <c r="F7277" s="8"/>
    </row>
    <row r="7278" spans="2:6">
      <c r="B7278" s="44"/>
      <c r="D7278" s="8"/>
      <c r="E7278" s="8"/>
      <c r="F7278" s="8"/>
    </row>
    <row r="7279" spans="2:6">
      <c r="B7279" s="44"/>
      <c r="D7279" s="8"/>
      <c r="E7279" s="8"/>
      <c r="F7279" s="8"/>
    </row>
    <row r="7280" spans="2:6">
      <c r="B7280" s="44"/>
      <c r="D7280" s="8"/>
      <c r="E7280" s="8"/>
      <c r="F7280" s="8"/>
    </row>
    <row r="7281" spans="2:6">
      <c r="B7281" s="44"/>
      <c r="D7281" s="8"/>
      <c r="E7281" s="8"/>
      <c r="F7281" s="8"/>
    </row>
    <row r="7282" spans="2:6">
      <c r="B7282" s="44"/>
      <c r="D7282" s="8"/>
      <c r="E7282" s="8"/>
      <c r="F7282" s="8"/>
    </row>
    <row r="7283" spans="2:6">
      <c r="B7283" s="44"/>
      <c r="D7283" s="8"/>
      <c r="E7283" s="8"/>
      <c r="F7283" s="8"/>
    </row>
    <row r="7284" spans="2:6">
      <c r="B7284" s="44"/>
      <c r="D7284" s="8"/>
      <c r="E7284" s="8"/>
      <c r="F7284" s="8"/>
    </row>
    <row r="7285" spans="2:6">
      <c r="B7285" s="44"/>
      <c r="D7285" s="8"/>
      <c r="E7285" s="8"/>
      <c r="F7285" s="8"/>
    </row>
    <row r="7286" spans="2:6">
      <c r="B7286" s="44"/>
      <c r="D7286" s="8"/>
      <c r="E7286" s="8"/>
      <c r="F7286" s="8"/>
    </row>
    <row r="7287" spans="2:6">
      <c r="B7287" s="44"/>
      <c r="D7287" s="8"/>
      <c r="E7287" s="8"/>
      <c r="F7287" s="8"/>
    </row>
    <row r="7288" spans="2:6">
      <c r="B7288" s="44"/>
      <c r="D7288" s="8"/>
      <c r="E7288" s="8"/>
      <c r="F7288" s="8"/>
    </row>
    <row r="7289" spans="2:6">
      <c r="B7289" s="44"/>
      <c r="D7289" s="8"/>
      <c r="E7289" s="8"/>
      <c r="F7289" s="8"/>
    </row>
    <row r="7290" spans="2:6">
      <c r="B7290" s="44"/>
      <c r="D7290" s="8"/>
      <c r="E7290" s="8"/>
      <c r="F7290" s="8"/>
    </row>
    <row r="7291" spans="2:6">
      <c r="B7291" s="44"/>
      <c r="D7291" s="8"/>
      <c r="E7291" s="8"/>
      <c r="F7291" s="8"/>
    </row>
    <row r="7292" spans="2:6">
      <c r="B7292" s="44"/>
      <c r="D7292" s="8"/>
      <c r="E7292" s="8"/>
      <c r="F7292" s="8"/>
    </row>
    <row r="7293" spans="2:6">
      <c r="B7293" s="44"/>
      <c r="D7293" s="8"/>
      <c r="E7293" s="8"/>
      <c r="F7293" s="8"/>
    </row>
    <row r="7294" spans="2:6">
      <c r="B7294" s="44"/>
      <c r="D7294" s="8"/>
      <c r="E7294" s="8"/>
      <c r="F7294" s="8"/>
    </row>
    <row r="7295" spans="2:6">
      <c r="B7295" s="44"/>
      <c r="D7295" s="8"/>
      <c r="E7295" s="8"/>
      <c r="F7295" s="8"/>
    </row>
    <row r="7296" spans="2:6">
      <c r="B7296" s="44"/>
      <c r="D7296" s="8"/>
      <c r="E7296" s="8"/>
      <c r="F7296" s="8"/>
    </row>
    <row r="7297" spans="2:6">
      <c r="B7297" s="44"/>
      <c r="D7297" s="8"/>
      <c r="E7297" s="8"/>
      <c r="F7297" s="8"/>
    </row>
    <row r="7298" spans="2:6">
      <c r="B7298" s="44"/>
      <c r="D7298" s="8"/>
      <c r="E7298" s="8"/>
      <c r="F7298" s="8"/>
    </row>
    <row r="7299" spans="2:6">
      <c r="B7299" s="44"/>
      <c r="D7299" s="8"/>
      <c r="E7299" s="8"/>
      <c r="F7299" s="8"/>
    </row>
    <row r="7300" spans="2:6">
      <c r="B7300" s="44"/>
      <c r="D7300" s="8"/>
      <c r="E7300" s="8"/>
      <c r="F7300" s="8"/>
    </row>
    <row r="7301" spans="2:6">
      <c r="B7301" s="44"/>
      <c r="D7301" s="8"/>
      <c r="E7301" s="8"/>
      <c r="F7301" s="8"/>
    </row>
    <row r="7302" spans="2:6">
      <c r="B7302" s="44"/>
      <c r="D7302" s="8"/>
      <c r="E7302" s="8"/>
      <c r="F7302" s="8"/>
    </row>
    <row r="7303" spans="2:6">
      <c r="B7303" s="44"/>
      <c r="D7303" s="8"/>
      <c r="E7303" s="8"/>
      <c r="F7303" s="8"/>
    </row>
    <row r="7304" spans="2:6">
      <c r="B7304" s="44"/>
      <c r="D7304" s="8"/>
      <c r="E7304" s="8"/>
      <c r="F7304" s="8"/>
    </row>
    <row r="7305" spans="2:6">
      <c r="B7305" s="44"/>
      <c r="D7305" s="8"/>
      <c r="E7305" s="8"/>
      <c r="F7305" s="8"/>
    </row>
    <row r="7306" spans="2:6">
      <c r="B7306" s="44"/>
      <c r="D7306" s="8"/>
      <c r="E7306" s="8"/>
      <c r="F7306" s="8"/>
    </row>
    <row r="7307" spans="2:6">
      <c r="B7307" s="44"/>
      <c r="D7307" s="8"/>
      <c r="E7307" s="8"/>
      <c r="F7307" s="8"/>
    </row>
    <row r="7308" spans="2:6">
      <c r="B7308" s="44"/>
      <c r="D7308" s="8"/>
      <c r="E7308" s="8"/>
      <c r="F7308" s="8"/>
    </row>
    <row r="7309" spans="2:6">
      <c r="B7309" s="44"/>
      <c r="D7309" s="8"/>
      <c r="E7309" s="8"/>
      <c r="F7309" s="8"/>
    </row>
    <row r="7310" spans="2:6">
      <c r="B7310" s="44"/>
      <c r="D7310" s="8"/>
      <c r="E7310" s="8"/>
      <c r="F7310" s="8"/>
    </row>
    <row r="7311" spans="2:6">
      <c r="B7311" s="44"/>
      <c r="D7311" s="8"/>
      <c r="E7311" s="8"/>
      <c r="F7311" s="8"/>
    </row>
    <row r="7312" spans="2:6">
      <c r="B7312" s="44"/>
      <c r="D7312" s="8"/>
      <c r="E7312" s="8"/>
      <c r="F7312" s="8"/>
    </row>
    <row r="7313" spans="2:6">
      <c r="B7313" s="44"/>
      <c r="D7313" s="8"/>
      <c r="E7313" s="8"/>
      <c r="F7313" s="8"/>
    </row>
    <row r="7314" spans="2:6">
      <c r="B7314" s="44"/>
      <c r="D7314" s="8"/>
      <c r="E7314" s="8"/>
      <c r="F7314" s="8"/>
    </row>
    <row r="7315" spans="2:6">
      <c r="B7315" s="44"/>
      <c r="D7315" s="8"/>
      <c r="E7315" s="8"/>
      <c r="F7315" s="8"/>
    </row>
    <row r="7316" spans="2:6">
      <c r="B7316" s="44"/>
      <c r="D7316" s="8"/>
      <c r="E7316" s="8"/>
      <c r="F7316" s="8"/>
    </row>
    <row r="7317" spans="2:6">
      <c r="B7317" s="44"/>
      <c r="D7317" s="8"/>
      <c r="E7317" s="8"/>
      <c r="F7317" s="8"/>
    </row>
    <row r="7318" spans="2:6">
      <c r="B7318" s="44"/>
      <c r="D7318" s="8"/>
      <c r="E7318" s="8"/>
      <c r="F7318" s="8"/>
    </row>
    <row r="7319" spans="2:6">
      <c r="B7319" s="44"/>
      <c r="D7319" s="8"/>
      <c r="E7319" s="8"/>
      <c r="F7319" s="8"/>
    </row>
    <row r="7320" spans="2:6">
      <c r="B7320" s="44"/>
      <c r="D7320" s="8"/>
      <c r="E7320" s="8"/>
      <c r="F7320" s="8"/>
    </row>
    <row r="7321" spans="2:6">
      <c r="B7321" s="44"/>
      <c r="D7321" s="8"/>
      <c r="E7321" s="8"/>
      <c r="F7321" s="8"/>
    </row>
    <row r="7322" spans="2:6">
      <c r="B7322" s="44"/>
      <c r="D7322" s="8"/>
      <c r="E7322" s="8"/>
      <c r="F7322" s="8"/>
    </row>
    <row r="7323" spans="2:6">
      <c r="B7323" s="44"/>
      <c r="D7323" s="8"/>
      <c r="E7323" s="8"/>
      <c r="F7323" s="8"/>
    </row>
    <row r="7324" spans="2:6">
      <c r="B7324" s="44"/>
      <c r="D7324" s="8"/>
      <c r="E7324" s="8"/>
      <c r="F7324" s="8"/>
    </row>
    <row r="7325" spans="2:6">
      <c r="B7325" s="44"/>
      <c r="D7325" s="8"/>
      <c r="E7325" s="8"/>
      <c r="F7325" s="8"/>
    </row>
    <row r="7326" spans="2:6">
      <c r="B7326" s="44"/>
      <c r="D7326" s="8"/>
      <c r="E7326" s="8"/>
      <c r="F7326" s="8"/>
    </row>
    <row r="7327" spans="2:6">
      <c r="B7327" s="44"/>
      <c r="D7327" s="8"/>
      <c r="E7327" s="8"/>
      <c r="F7327" s="8"/>
    </row>
    <row r="7328" spans="2:6">
      <c r="B7328" s="44"/>
      <c r="D7328" s="8"/>
      <c r="E7328" s="8"/>
      <c r="F7328" s="8"/>
    </row>
    <row r="7329" spans="2:6">
      <c r="B7329" s="44"/>
      <c r="D7329" s="8"/>
      <c r="E7329" s="8"/>
      <c r="F7329" s="8"/>
    </row>
    <row r="7330" spans="2:6">
      <c r="B7330" s="44"/>
      <c r="D7330" s="8"/>
      <c r="E7330" s="8"/>
      <c r="F7330" s="8"/>
    </row>
    <row r="7331" spans="2:6">
      <c r="B7331" s="44"/>
      <c r="D7331" s="8"/>
      <c r="E7331" s="8"/>
      <c r="F7331" s="8"/>
    </row>
    <row r="7332" spans="2:6">
      <c r="B7332" s="44"/>
      <c r="D7332" s="8"/>
      <c r="E7332" s="8"/>
      <c r="F7332" s="8"/>
    </row>
    <row r="7333" spans="2:6">
      <c r="B7333" s="44"/>
      <c r="D7333" s="8"/>
      <c r="E7333" s="8"/>
      <c r="F7333" s="8"/>
    </row>
    <row r="7334" spans="2:6">
      <c r="B7334" s="44"/>
      <c r="D7334" s="8"/>
      <c r="E7334" s="8"/>
      <c r="F7334" s="8"/>
    </row>
    <row r="7335" spans="2:6">
      <c r="B7335" s="44"/>
      <c r="D7335" s="8"/>
      <c r="E7335" s="8"/>
      <c r="F7335" s="8"/>
    </row>
    <row r="7336" spans="2:6">
      <c r="B7336" s="44"/>
      <c r="D7336" s="8"/>
      <c r="E7336" s="8"/>
      <c r="F7336" s="8"/>
    </row>
    <row r="7337" spans="2:6">
      <c r="B7337" s="44"/>
      <c r="D7337" s="8"/>
      <c r="E7337" s="8"/>
      <c r="F7337" s="8"/>
    </row>
    <row r="7338" spans="2:6">
      <c r="B7338" s="44"/>
      <c r="D7338" s="8"/>
      <c r="E7338" s="8"/>
      <c r="F7338" s="8"/>
    </row>
    <row r="7339" spans="2:6">
      <c r="B7339" s="44"/>
      <c r="D7339" s="8"/>
      <c r="E7339" s="8"/>
      <c r="F7339" s="8"/>
    </row>
    <row r="7340" spans="2:6">
      <c r="B7340" s="44"/>
      <c r="D7340" s="8"/>
      <c r="E7340" s="8"/>
      <c r="F7340" s="8"/>
    </row>
    <row r="7341" spans="2:6">
      <c r="B7341" s="44"/>
      <c r="D7341" s="8"/>
      <c r="E7341" s="8"/>
      <c r="F7341" s="8"/>
    </row>
    <row r="7342" spans="2:6">
      <c r="B7342" s="44"/>
      <c r="D7342" s="8"/>
      <c r="E7342" s="8"/>
      <c r="F7342" s="8"/>
    </row>
    <row r="7343" spans="2:6">
      <c r="B7343" s="44"/>
      <c r="D7343" s="8"/>
      <c r="E7343" s="8"/>
      <c r="F7343" s="8"/>
    </row>
    <row r="7344" spans="2:6">
      <c r="B7344" s="44"/>
      <c r="D7344" s="8"/>
      <c r="E7344" s="8"/>
      <c r="F7344" s="8"/>
    </row>
    <row r="7345" spans="2:6">
      <c r="B7345" s="44"/>
      <c r="D7345" s="8"/>
      <c r="E7345" s="8"/>
      <c r="F7345" s="8"/>
    </row>
    <row r="7346" spans="2:6">
      <c r="B7346" s="44"/>
      <c r="D7346" s="8"/>
      <c r="E7346" s="8"/>
      <c r="F7346" s="8"/>
    </row>
    <row r="7347" spans="2:6">
      <c r="B7347" s="44"/>
      <c r="D7347" s="8"/>
      <c r="E7347" s="8"/>
      <c r="F7347" s="8"/>
    </row>
    <row r="7348" spans="2:6">
      <c r="B7348" s="44"/>
      <c r="D7348" s="8"/>
      <c r="E7348" s="8"/>
      <c r="F7348" s="8"/>
    </row>
    <row r="7349" spans="2:6">
      <c r="B7349" s="44"/>
      <c r="D7349" s="8"/>
      <c r="E7349" s="8"/>
      <c r="F7349" s="8"/>
    </row>
    <row r="7350" spans="2:6">
      <c r="B7350" s="44"/>
      <c r="D7350" s="8"/>
      <c r="E7350" s="8"/>
      <c r="F7350" s="8"/>
    </row>
    <row r="7351" spans="2:6">
      <c r="B7351" s="44"/>
      <c r="D7351" s="8"/>
      <c r="E7351" s="8"/>
      <c r="F7351" s="8"/>
    </row>
    <row r="7352" spans="2:6">
      <c r="B7352" s="44"/>
      <c r="D7352" s="8"/>
      <c r="E7352" s="8"/>
      <c r="F7352" s="8"/>
    </row>
    <row r="7353" spans="2:6">
      <c r="B7353" s="44"/>
      <c r="D7353" s="8"/>
      <c r="E7353" s="8"/>
      <c r="F7353" s="8"/>
    </row>
    <row r="7354" spans="2:6">
      <c r="B7354" s="44"/>
      <c r="D7354" s="8"/>
      <c r="E7354" s="8"/>
      <c r="F7354" s="8"/>
    </row>
    <row r="7355" spans="2:6">
      <c r="B7355" s="44"/>
      <c r="D7355" s="8"/>
      <c r="E7355" s="8"/>
      <c r="F7355" s="8"/>
    </row>
    <row r="7356" spans="2:6">
      <c r="B7356" s="44"/>
      <c r="D7356" s="8"/>
      <c r="E7356" s="8"/>
      <c r="F7356" s="8"/>
    </row>
    <row r="7357" spans="2:6">
      <c r="B7357" s="44"/>
      <c r="D7357" s="8"/>
      <c r="E7357" s="8"/>
      <c r="F7357" s="8"/>
    </row>
    <row r="7358" spans="2:6">
      <c r="B7358" s="44"/>
      <c r="D7358" s="8"/>
      <c r="E7358" s="8"/>
      <c r="F7358" s="8"/>
    </row>
    <row r="7359" spans="2:6">
      <c r="B7359" s="44"/>
      <c r="D7359" s="8"/>
      <c r="E7359" s="8"/>
      <c r="F7359" s="8"/>
    </row>
    <row r="7360" spans="2:6">
      <c r="B7360" s="44"/>
      <c r="D7360" s="8"/>
      <c r="E7360" s="8"/>
      <c r="F7360" s="8"/>
    </row>
    <row r="7361" spans="2:6">
      <c r="B7361" s="44"/>
      <c r="D7361" s="8"/>
      <c r="E7361" s="8"/>
      <c r="F7361" s="8"/>
    </row>
    <row r="7362" spans="2:6">
      <c r="B7362" s="44"/>
      <c r="D7362" s="8"/>
      <c r="E7362" s="8"/>
      <c r="F7362" s="8"/>
    </row>
    <row r="7363" spans="2:6">
      <c r="B7363" s="44"/>
      <c r="D7363" s="8"/>
      <c r="E7363" s="8"/>
      <c r="F7363" s="8"/>
    </row>
    <row r="7364" spans="2:6">
      <c r="B7364" s="44"/>
      <c r="D7364" s="8"/>
      <c r="E7364" s="8"/>
      <c r="F7364" s="8"/>
    </row>
    <row r="7365" spans="2:6">
      <c r="B7365" s="44"/>
      <c r="D7365" s="8"/>
      <c r="E7365" s="8"/>
      <c r="F7365" s="8"/>
    </row>
    <row r="7366" spans="2:6">
      <c r="B7366" s="44"/>
      <c r="D7366" s="8"/>
      <c r="E7366" s="8"/>
      <c r="F7366" s="8"/>
    </row>
    <row r="7367" spans="2:6">
      <c r="B7367" s="44"/>
      <c r="D7367" s="8"/>
      <c r="E7367" s="8"/>
      <c r="F7367" s="8"/>
    </row>
    <row r="7368" spans="2:6">
      <c r="B7368" s="44"/>
      <c r="D7368" s="8"/>
      <c r="E7368" s="8"/>
      <c r="F7368" s="8"/>
    </row>
    <row r="7369" spans="2:6">
      <c r="B7369" s="44"/>
      <c r="D7369" s="8"/>
      <c r="E7369" s="8"/>
      <c r="F7369" s="8"/>
    </row>
    <row r="7370" spans="2:6">
      <c r="B7370" s="44"/>
      <c r="D7370" s="8"/>
      <c r="E7370" s="8"/>
      <c r="F7370" s="8"/>
    </row>
    <row r="7371" spans="2:6">
      <c r="B7371" s="44"/>
      <c r="D7371" s="8"/>
      <c r="E7371" s="8"/>
      <c r="F7371" s="8"/>
    </row>
    <row r="7372" spans="2:6">
      <c r="B7372" s="44"/>
      <c r="D7372" s="8"/>
      <c r="E7372" s="8"/>
      <c r="F7372" s="8"/>
    </row>
    <row r="7373" spans="2:6">
      <c r="B7373" s="44"/>
      <c r="D7373" s="8"/>
      <c r="E7373" s="8"/>
      <c r="F7373" s="8"/>
    </row>
    <row r="7374" spans="2:6">
      <c r="B7374" s="44"/>
      <c r="D7374" s="8"/>
      <c r="E7374" s="8"/>
      <c r="F7374" s="8"/>
    </row>
    <row r="7375" spans="2:6">
      <c r="B7375" s="44"/>
      <c r="D7375" s="8"/>
      <c r="E7375" s="8"/>
      <c r="F7375" s="8"/>
    </row>
    <row r="7376" spans="2:6">
      <c r="B7376" s="44"/>
      <c r="D7376" s="8"/>
      <c r="E7376" s="8"/>
      <c r="F7376" s="8"/>
    </row>
    <row r="7377" spans="2:6">
      <c r="B7377" s="44"/>
      <c r="D7377" s="8"/>
      <c r="E7377" s="8"/>
      <c r="F7377" s="8"/>
    </row>
    <row r="7378" spans="2:6">
      <c r="B7378" s="44"/>
      <c r="D7378" s="8"/>
      <c r="E7378" s="8"/>
      <c r="F7378" s="8"/>
    </row>
    <row r="7379" spans="2:6">
      <c r="B7379" s="44"/>
      <c r="D7379" s="8"/>
      <c r="E7379" s="8"/>
      <c r="F7379" s="8"/>
    </row>
    <row r="7380" spans="2:6">
      <c r="B7380" s="44"/>
      <c r="D7380" s="8"/>
      <c r="E7380" s="8"/>
      <c r="F7380" s="8"/>
    </row>
    <row r="7381" spans="2:6">
      <c r="B7381" s="44"/>
      <c r="D7381" s="8"/>
      <c r="E7381" s="8"/>
      <c r="F7381" s="8"/>
    </row>
    <row r="7382" spans="2:6">
      <c r="B7382" s="44"/>
      <c r="D7382" s="8"/>
      <c r="E7382" s="8"/>
      <c r="F7382" s="8"/>
    </row>
    <row r="7383" spans="2:6">
      <c r="B7383" s="44"/>
      <c r="D7383" s="8"/>
      <c r="E7383" s="8"/>
      <c r="F7383" s="8"/>
    </row>
    <row r="7384" spans="2:6">
      <c r="B7384" s="44"/>
      <c r="D7384" s="8"/>
      <c r="E7384" s="8"/>
      <c r="F7384" s="8"/>
    </row>
    <row r="7385" spans="2:6">
      <c r="B7385" s="44"/>
      <c r="D7385" s="8"/>
      <c r="E7385" s="8"/>
      <c r="F7385" s="8"/>
    </row>
    <row r="7386" spans="2:6">
      <c r="B7386" s="44"/>
      <c r="D7386" s="8"/>
      <c r="E7386" s="8"/>
      <c r="F7386" s="8"/>
    </row>
    <row r="7387" spans="2:6">
      <c r="B7387" s="44"/>
      <c r="D7387" s="8"/>
      <c r="E7387" s="8"/>
      <c r="F7387" s="8"/>
    </row>
    <row r="7388" spans="2:6">
      <c r="B7388" s="44"/>
      <c r="D7388" s="8"/>
      <c r="E7388" s="8"/>
      <c r="F7388" s="8"/>
    </row>
    <row r="7389" spans="2:6">
      <c r="B7389" s="44"/>
      <c r="D7389" s="8"/>
      <c r="E7389" s="8"/>
      <c r="F7389" s="8"/>
    </row>
    <row r="7390" spans="2:6">
      <c r="B7390" s="44"/>
      <c r="D7390" s="8"/>
      <c r="E7390" s="8"/>
      <c r="F7390" s="8"/>
    </row>
    <row r="7391" spans="2:6">
      <c r="B7391" s="44"/>
      <c r="D7391" s="8"/>
      <c r="E7391" s="8"/>
      <c r="F7391" s="8"/>
    </row>
    <row r="7392" spans="2:6">
      <c r="B7392" s="44"/>
      <c r="D7392" s="8"/>
      <c r="E7392" s="8"/>
      <c r="F7392" s="8"/>
    </row>
    <row r="7393" spans="2:6">
      <c r="B7393" s="44"/>
      <c r="D7393" s="8"/>
      <c r="E7393" s="8"/>
      <c r="F7393" s="8"/>
    </row>
    <row r="7394" spans="2:6">
      <c r="B7394" s="44"/>
      <c r="D7394" s="8"/>
      <c r="E7394" s="8"/>
      <c r="F7394" s="8"/>
    </row>
    <row r="7395" spans="2:6">
      <c r="B7395" s="44"/>
      <c r="D7395" s="8"/>
      <c r="E7395" s="8"/>
      <c r="F7395" s="8"/>
    </row>
    <row r="7396" spans="2:6">
      <c r="B7396" s="44"/>
      <c r="D7396" s="8"/>
      <c r="E7396" s="8"/>
      <c r="F7396" s="8"/>
    </row>
    <row r="7397" spans="2:6">
      <c r="B7397" s="44"/>
      <c r="D7397" s="8"/>
      <c r="E7397" s="8"/>
      <c r="F7397" s="8"/>
    </row>
    <row r="7398" spans="2:6">
      <c r="B7398" s="44"/>
      <c r="D7398" s="8"/>
      <c r="E7398" s="8"/>
      <c r="F7398" s="8"/>
    </row>
    <row r="7399" spans="2:6">
      <c r="B7399" s="44"/>
      <c r="D7399" s="8"/>
      <c r="E7399" s="8"/>
      <c r="F7399" s="8"/>
    </row>
    <row r="7400" spans="2:6">
      <c r="B7400" s="44"/>
      <c r="D7400" s="8"/>
      <c r="E7400" s="8"/>
      <c r="F7400" s="8"/>
    </row>
    <row r="7401" spans="2:6">
      <c r="B7401" s="44"/>
      <c r="D7401" s="8"/>
      <c r="E7401" s="8"/>
      <c r="F7401" s="8"/>
    </row>
    <row r="7402" spans="2:6">
      <c r="B7402" s="44"/>
      <c r="D7402" s="8"/>
      <c r="E7402" s="8"/>
      <c r="F7402" s="8"/>
    </row>
    <row r="7403" spans="2:6">
      <c r="B7403" s="44"/>
      <c r="D7403" s="8"/>
      <c r="E7403" s="8"/>
      <c r="F7403" s="8"/>
    </row>
    <row r="7404" spans="2:6">
      <c r="B7404" s="44"/>
      <c r="D7404" s="8"/>
      <c r="E7404" s="8"/>
      <c r="F7404" s="8"/>
    </row>
    <row r="7405" spans="2:6">
      <c r="B7405" s="44"/>
      <c r="D7405" s="8"/>
      <c r="E7405" s="8"/>
      <c r="F7405" s="8"/>
    </row>
    <row r="7406" spans="2:6">
      <c r="B7406" s="44"/>
      <c r="D7406" s="8"/>
      <c r="E7406" s="8"/>
      <c r="F7406" s="8"/>
    </row>
    <row r="7407" spans="2:6">
      <c r="B7407" s="44"/>
      <c r="D7407" s="8"/>
      <c r="E7407" s="8"/>
      <c r="F7407" s="8"/>
    </row>
    <row r="7408" spans="2:6">
      <c r="B7408" s="44"/>
      <c r="D7408" s="8"/>
      <c r="E7408" s="8"/>
      <c r="F7408" s="8"/>
    </row>
    <row r="7409" spans="2:6">
      <c r="B7409" s="44"/>
      <c r="D7409" s="8"/>
      <c r="E7409" s="8"/>
      <c r="F7409" s="8"/>
    </row>
    <row r="7410" spans="2:6">
      <c r="B7410" s="44"/>
      <c r="D7410" s="8"/>
      <c r="E7410" s="8"/>
      <c r="F7410" s="8"/>
    </row>
    <row r="7411" spans="2:6">
      <c r="B7411" s="44"/>
      <c r="D7411" s="8"/>
      <c r="E7411" s="8"/>
      <c r="F7411" s="8"/>
    </row>
    <row r="7412" spans="2:6">
      <c r="B7412" s="44"/>
      <c r="D7412" s="8"/>
      <c r="E7412" s="8"/>
      <c r="F7412" s="8"/>
    </row>
    <row r="7413" spans="2:6">
      <c r="B7413" s="44"/>
      <c r="D7413" s="8"/>
      <c r="E7413" s="8"/>
      <c r="F7413" s="8"/>
    </row>
    <row r="7414" spans="2:6">
      <c r="B7414" s="44"/>
      <c r="D7414" s="8"/>
      <c r="E7414" s="8"/>
      <c r="F7414" s="8"/>
    </row>
    <row r="7415" spans="2:6">
      <c r="B7415" s="44"/>
      <c r="D7415" s="8"/>
      <c r="E7415" s="8"/>
      <c r="F7415" s="8"/>
    </row>
    <row r="7416" spans="2:6">
      <c r="B7416" s="44"/>
      <c r="D7416" s="8"/>
      <c r="E7416" s="8"/>
      <c r="F7416" s="8"/>
    </row>
    <row r="7417" spans="2:6">
      <c r="B7417" s="44"/>
      <c r="D7417" s="8"/>
      <c r="E7417" s="8"/>
      <c r="F7417" s="8"/>
    </row>
    <row r="7418" spans="2:6">
      <c r="B7418" s="44"/>
      <c r="D7418" s="8"/>
      <c r="E7418" s="8"/>
      <c r="F7418" s="8"/>
    </row>
    <row r="7419" spans="2:6">
      <c r="B7419" s="44"/>
      <c r="D7419" s="8"/>
      <c r="E7419" s="8"/>
      <c r="F7419" s="8"/>
    </row>
    <row r="7420" spans="2:6">
      <c r="B7420" s="44"/>
      <c r="D7420" s="8"/>
      <c r="E7420" s="8"/>
      <c r="F7420" s="8"/>
    </row>
    <row r="7421" spans="2:6">
      <c r="B7421" s="44"/>
      <c r="D7421" s="8"/>
      <c r="E7421" s="8"/>
      <c r="F7421" s="8"/>
    </row>
    <row r="7422" spans="2:6">
      <c r="B7422" s="44"/>
      <c r="D7422" s="8"/>
      <c r="E7422" s="8"/>
      <c r="F7422" s="8"/>
    </row>
    <row r="7423" spans="2:6">
      <c r="B7423" s="44"/>
      <c r="D7423" s="8"/>
      <c r="E7423" s="8"/>
      <c r="F7423" s="8"/>
    </row>
    <row r="7424" spans="2:6">
      <c r="B7424" s="44"/>
      <c r="D7424" s="8"/>
      <c r="E7424" s="8"/>
      <c r="F7424" s="8"/>
    </row>
    <row r="7425" spans="2:6">
      <c r="B7425" s="44"/>
      <c r="D7425" s="8"/>
      <c r="E7425" s="8"/>
      <c r="F7425" s="8"/>
    </row>
    <row r="7426" spans="2:6">
      <c r="B7426" s="44"/>
      <c r="D7426" s="8"/>
      <c r="E7426" s="8"/>
      <c r="F7426" s="8"/>
    </row>
    <row r="7427" spans="2:6">
      <c r="B7427" s="44"/>
      <c r="D7427" s="8"/>
      <c r="E7427" s="8"/>
      <c r="F7427" s="8"/>
    </row>
    <row r="7428" spans="2:6">
      <c r="B7428" s="44"/>
      <c r="D7428" s="8"/>
      <c r="E7428" s="8"/>
      <c r="F7428" s="8"/>
    </row>
    <row r="7429" spans="2:6">
      <c r="B7429" s="44"/>
      <c r="D7429" s="8"/>
      <c r="E7429" s="8"/>
      <c r="F7429" s="8"/>
    </row>
    <row r="7430" spans="2:6">
      <c r="B7430" s="44"/>
      <c r="D7430" s="8"/>
      <c r="E7430" s="8"/>
      <c r="F7430" s="8"/>
    </row>
    <row r="7431" spans="2:6">
      <c r="B7431" s="44"/>
      <c r="D7431" s="8"/>
      <c r="E7431" s="8"/>
      <c r="F7431" s="8"/>
    </row>
    <row r="7432" spans="2:6">
      <c r="B7432" s="44"/>
      <c r="D7432" s="8"/>
      <c r="E7432" s="8"/>
      <c r="F7432" s="8"/>
    </row>
    <row r="7433" spans="2:6">
      <c r="B7433" s="44"/>
      <c r="D7433" s="8"/>
      <c r="E7433" s="8"/>
      <c r="F7433" s="8"/>
    </row>
    <row r="7434" spans="2:6">
      <c r="B7434" s="44"/>
      <c r="D7434" s="8"/>
      <c r="E7434" s="8"/>
      <c r="F7434" s="8"/>
    </row>
    <row r="7435" spans="2:6">
      <c r="B7435" s="44"/>
      <c r="D7435" s="8"/>
      <c r="E7435" s="8"/>
      <c r="F7435" s="8"/>
    </row>
    <row r="7436" spans="2:6">
      <c r="B7436" s="44"/>
      <c r="D7436" s="8"/>
      <c r="E7436" s="8"/>
      <c r="F7436" s="8"/>
    </row>
    <row r="7437" spans="2:6">
      <c r="B7437" s="44"/>
      <c r="D7437" s="8"/>
      <c r="E7437" s="8"/>
      <c r="F7437" s="8"/>
    </row>
    <row r="7438" spans="2:6">
      <c r="B7438" s="44"/>
      <c r="D7438" s="8"/>
      <c r="E7438" s="8"/>
      <c r="F7438" s="8"/>
    </row>
    <row r="7439" spans="2:6">
      <c r="B7439" s="44"/>
      <c r="D7439" s="8"/>
      <c r="E7439" s="8"/>
      <c r="F7439" s="8"/>
    </row>
    <row r="7440" spans="2:6">
      <c r="B7440" s="44"/>
      <c r="D7440" s="8"/>
      <c r="E7440" s="8"/>
      <c r="F7440" s="8"/>
    </row>
    <row r="7441" spans="2:6">
      <c r="B7441" s="44"/>
      <c r="D7441" s="8"/>
      <c r="E7441" s="8"/>
      <c r="F7441" s="8"/>
    </row>
    <row r="7442" spans="2:6">
      <c r="B7442" s="44"/>
      <c r="D7442" s="8"/>
      <c r="E7442" s="8"/>
      <c r="F7442" s="8"/>
    </row>
    <row r="7443" spans="2:6">
      <c r="B7443" s="44"/>
      <c r="D7443" s="8"/>
      <c r="E7443" s="8"/>
      <c r="F7443" s="8"/>
    </row>
    <row r="7444" spans="2:6">
      <c r="B7444" s="44"/>
      <c r="D7444" s="8"/>
      <c r="E7444" s="8"/>
      <c r="F7444" s="8"/>
    </row>
    <row r="7445" spans="2:6">
      <c r="B7445" s="44"/>
      <c r="D7445" s="8"/>
      <c r="E7445" s="8"/>
      <c r="F7445" s="8"/>
    </row>
    <row r="7446" spans="2:6">
      <c r="B7446" s="44"/>
      <c r="D7446" s="8"/>
      <c r="E7446" s="8"/>
      <c r="F7446" s="8"/>
    </row>
    <row r="7447" spans="2:6">
      <c r="B7447" s="44"/>
      <c r="D7447" s="8"/>
      <c r="E7447" s="8"/>
      <c r="F7447" s="8"/>
    </row>
    <row r="7448" spans="2:6">
      <c r="B7448" s="44"/>
      <c r="D7448" s="8"/>
      <c r="E7448" s="8"/>
      <c r="F7448" s="8"/>
    </row>
    <row r="7449" spans="2:6">
      <c r="B7449" s="44"/>
      <c r="D7449" s="8"/>
      <c r="E7449" s="8"/>
      <c r="F7449" s="8"/>
    </row>
    <row r="7450" spans="2:6">
      <c r="B7450" s="44"/>
      <c r="D7450" s="8"/>
      <c r="E7450" s="8"/>
      <c r="F7450" s="8"/>
    </row>
    <row r="7451" spans="2:6">
      <c r="B7451" s="44"/>
      <c r="D7451" s="8"/>
      <c r="E7451" s="8"/>
      <c r="F7451" s="8"/>
    </row>
    <row r="7452" spans="2:6">
      <c r="B7452" s="44"/>
      <c r="D7452" s="8"/>
      <c r="E7452" s="8"/>
      <c r="F7452" s="8"/>
    </row>
    <row r="7453" spans="2:6">
      <c r="B7453" s="44"/>
      <c r="D7453" s="8"/>
      <c r="E7453" s="8"/>
      <c r="F7453" s="8"/>
    </row>
    <row r="7454" spans="2:6">
      <c r="B7454" s="44"/>
      <c r="D7454" s="8"/>
      <c r="E7454" s="8"/>
      <c r="F7454" s="8"/>
    </row>
    <row r="7455" spans="2:6">
      <c r="B7455" s="44"/>
      <c r="D7455" s="8"/>
      <c r="E7455" s="8"/>
      <c r="F7455" s="8"/>
    </row>
    <row r="7456" spans="2:6">
      <c r="B7456" s="44"/>
      <c r="D7456" s="8"/>
      <c r="E7456" s="8"/>
      <c r="F7456" s="8"/>
    </row>
    <row r="7457" spans="2:6">
      <c r="B7457" s="44"/>
      <c r="D7457" s="8"/>
      <c r="E7457" s="8"/>
      <c r="F7457" s="8"/>
    </row>
    <row r="7458" spans="2:6">
      <c r="B7458" s="44"/>
      <c r="D7458" s="8"/>
      <c r="E7458" s="8"/>
      <c r="F7458" s="8"/>
    </row>
    <row r="7459" spans="2:6">
      <c r="B7459" s="44"/>
      <c r="D7459" s="8"/>
      <c r="E7459" s="8"/>
      <c r="F7459" s="8"/>
    </row>
    <row r="7460" spans="2:6">
      <c r="B7460" s="44"/>
      <c r="D7460" s="8"/>
      <c r="E7460" s="8"/>
      <c r="F7460" s="8"/>
    </row>
    <row r="7461" spans="2:6">
      <c r="B7461" s="44"/>
      <c r="D7461" s="8"/>
      <c r="E7461" s="8"/>
      <c r="F7461" s="8"/>
    </row>
    <row r="7462" spans="2:6">
      <c r="B7462" s="44"/>
      <c r="D7462" s="8"/>
      <c r="E7462" s="8"/>
      <c r="F7462" s="8"/>
    </row>
    <row r="7463" spans="2:6">
      <c r="B7463" s="44"/>
      <c r="D7463" s="8"/>
      <c r="E7463" s="8"/>
      <c r="F7463" s="8"/>
    </row>
    <row r="7464" spans="2:6">
      <c r="B7464" s="44"/>
      <c r="D7464" s="8"/>
      <c r="E7464" s="8"/>
      <c r="F7464" s="8"/>
    </row>
    <row r="7465" spans="2:6">
      <c r="B7465" s="44"/>
      <c r="D7465" s="8"/>
      <c r="E7465" s="8"/>
      <c r="F7465" s="8"/>
    </row>
    <row r="7466" spans="2:6">
      <c r="B7466" s="44"/>
      <c r="D7466" s="8"/>
      <c r="E7466" s="8"/>
      <c r="F7466" s="8"/>
    </row>
    <row r="7467" spans="2:6">
      <c r="B7467" s="44"/>
      <c r="D7467" s="8"/>
      <c r="E7467" s="8"/>
      <c r="F7467" s="8"/>
    </row>
    <row r="7468" spans="2:6">
      <c r="B7468" s="44"/>
      <c r="D7468" s="8"/>
      <c r="E7468" s="8"/>
      <c r="F7468" s="8"/>
    </row>
    <row r="7469" spans="2:6">
      <c r="B7469" s="44"/>
      <c r="D7469" s="8"/>
      <c r="E7469" s="8"/>
      <c r="F7469" s="8"/>
    </row>
    <row r="7470" spans="2:6">
      <c r="B7470" s="44"/>
      <c r="D7470" s="8"/>
      <c r="E7470" s="8"/>
      <c r="F7470" s="8"/>
    </row>
    <row r="7471" spans="2:6">
      <c r="B7471" s="44"/>
      <c r="D7471" s="8"/>
      <c r="E7471" s="8"/>
      <c r="F7471" s="8"/>
    </row>
    <row r="7472" spans="2:6">
      <c r="B7472" s="44"/>
      <c r="D7472" s="8"/>
      <c r="E7472" s="8"/>
      <c r="F7472" s="8"/>
    </row>
    <row r="7473" spans="2:6">
      <c r="B7473" s="44"/>
      <c r="D7473" s="8"/>
      <c r="E7473" s="8"/>
      <c r="F7473" s="8"/>
    </row>
    <row r="7474" spans="2:6">
      <c r="B7474" s="44"/>
      <c r="D7474" s="8"/>
      <c r="E7474" s="8"/>
      <c r="F7474" s="8"/>
    </row>
    <row r="7475" spans="2:6">
      <c r="B7475" s="44"/>
      <c r="D7475" s="8"/>
      <c r="E7475" s="8"/>
      <c r="F7475" s="8"/>
    </row>
    <row r="7476" spans="2:6">
      <c r="B7476" s="44"/>
      <c r="D7476" s="8"/>
      <c r="E7476" s="8"/>
      <c r="F7476" s="8"/>
    </row>
    <row r="7477" spans="2:6">
      <c r="B7477" s="44"/>
      <c r="D7477" s="8"/>
      <c r="E7477" s="8"/>
      <c r="F7477" s="8"/>
    </row>
    <row r="7478" spans="2:6">
      <c r="B7478" s="44"/>
      <c r="D7478" s="8"/>
      <c r="E7478" s="8"/>
      <c r="F7478" s="8"/>
    </row>
    <row r="7479" spans="2:6">
      <c r="B7479" s="44"/>
      <c r="D7479" s="8"/>
      <c r="E7479" s="8"/>
      <c r="F7479" s="8"/>
    </row>
    <row r="7480" spans="2:6">
      <c r="B7480" s="44"/>
      <c r="D7480" s="8"/>
      <c r="E7480" s="8"/>
      <c r="F7480" s="8"/>
    </row>
    <row r="7481" spans="2:6">
      <c r="B7481" s="44"/>
      <c r="D7481" s="8"/>
      <c r="E7481" s="8"/>
      <c r="F7481" s="8"/>
    </row>
    <row r="7482" spans="2:6">
      <c r="B7482" s="44"/>
      <c r="D7482" s="8"/>
      <c r="E7482" s="8"/>
      <c r="F7482" s="8"/>
    </row>
    <row r="7483" spans="2:6">
      <c r="B7483" s="44"/>
      <c r="D7483" s="8"/>
      <c r="E7483" s="8"/>
      <c r="F7483" s="8"/>
    </row>
    <row r="7484" spans="2:6">
      <c r="B7484" s="44"/>
      <c r="D7484" s="8"/>
      <c r="E7484" s="8"/>
      <c r="F7484" s="8"/>
    </row>
    <row r="7485" spans="2:6">
      <c r="B7485" s="44"/>
      <c r="D7485" s="8"/>
      <c r="E7485" s="8"/>
      <c r="F7485" s="8"/>
    </row>
    <row r="7486" spans="2:6">
      <c r="B7486" s="44"/>
      <c r="D7486" s="8"/>
      <c r="E7486" s="8"/>
      <c r="F7486" s="8"/>
    </row>
    <row r="7487" spans="2:6">
      <c r="B7487" s="44"/>
      <c r="D7487" s="8"/>
      <c r="E7487" s="8"/>
      <c r="F7487" s="8"/>
    </row>
    <row r="7488" spans="2:6">
      <c r="B7488" s="44"/>
      <c r="D7488" s="8"/>
      <c r="E7488" s="8"/>
      <c r="F7488" s="8"/>
    </row>
    <row r="7489" spans="2:6">
      <c r="B7489" s="44"/>
      <c r="D7489" s="8"/>
      <c r="E7489" s="8"/>
      <c r="F7489" s="8"/>
    </row>
    <row r="7490" spans="2:6">
      <c r="B7490" s="44"/>
      <c r="D7490" s="8"/>
      <c r="E7490" s="8"/>
      <c r="F7490" s="8"/>
    </row>
    <row r="7491" spans="2:6">
      <c r="B7491" s="44"/>
      <c r="D7491" s="8"/>
      <c r="E7491" s="8"/>
      <c r="F7491" s="8"/>
    </row>
    <row r="7492" spans="2:6">
      <c r="B7492" s="44"/>
      <c r="D7492" s="8"/>
      <c r="E7492" s="8"/>
      <c r="F7492" s="8"/>
    </row>
    <row r="7493" spans="2:6">
      <c r="B7493" s="44"/>
      <c r="D7493" s="8"/>
      <c r="E7493" s="8"/>
      <c r="F7493" s="8"/>
    </row>
    <row r="7494" spans="2:6">
      <c r="B7494" s="44"/>
      <c r="D7494" s="8"/>
      <c r="E7494" s="8"/>
      <c r="F7494" s="8"/>
    </row>
    <row r="7495" spans="2:6">
      <c r="B7495" s="44"/>
      <c r="D7495" s="8"/>
      <c r="E7495" s="8"/>
      <c r="F7495" s="8"/>
    </row>
    <row r="7496" spans="2:6">
      <c r="B7496" s="44"/>
      <c r="D7496" s="8"/>
      <c r="E7496" s="8"/>
      <c r="F7496" s="8"/>
    </row>
    <row r="7497" spans="2:6">
      <c r="B7497" s="44"/>
      <c r="D7497" s="8"/>
      <c r="E7497" s="8"/>
      <c r="F7497" s="8"/>
    </row>
    <row r="7498" spans="2:6">
      <c r="B7498" s="44"/>
      <c r="D7498" s="8"/>
      <c r="E7498" s="8"/>
      <c r="F7498" s="8"/>
    </row>
    <row r="7499" spans="2:6">
      <c r="B7499" s="44"/>
      <c r="D7499" s="8"/>
      <c r="E7499" s="8"/>
      <c r="F7499" s="8"/>
    </row>
    <row r="7500" spans="2:6">
      <c r="B7500" s="44"/>
      <c r="D7500" s="8"/>
      <c r="E7500" s="8"/>
      <c r="F7500" s="8"/>
    </row>
    <row r="7501" spans="2:6">
      <c r="B7501" s="44"/>
      <c r="D7501" s="8"/>
      <c r="E7501" s="8"/>
      <c r="F7501" s="8"/>
    </row>
    <row r="7502" spans="2:6">
      <c r="B7502" s="44"/>
      <c r="D7502" s="8"/>
      <c r="E7502" s="8"/>
      <c r="F7502" s="8"/>
    </row>
    <row r="7503" spans="2:6">
      <c r="B7503" s="44"/>
      <c r="D7503" s="8"/>
      <c r="E7503" s="8"/>
      <c r="F7503" s="8"/>
    </row>
    <row r="7504" spans="2:6">
      <c r="B7504" s="44"/>
      <c r="D7504" s="8"/>
      <c r="E7504" s="8"/>
      <c r="F7504" s="8"/>
    </row>
    <row r="7505" spans="2:6">
      <c r="B7505" s="44"/>
      <c r="D7505" s="8"/>
      <c r="E7505" s="8"/>
      <c r="F7505" s="8"/>
    </row>
    <row r="7506" spans="2:6">
      <c r="B7506" s="44"/>
      <c r="D7506" s="8"/>
      <c r="E7506" s="8"/>
      <c r="F7506" s="8"/>
    </row>
    <row r="7507" spans="2:6">
      <c r="B7507" s="44"/>
      <c r="D7507" s="8"/>
      <c r="E7507" s="8"/>
      <c r="F7507" s="8"/>
    </row>
    <row r="7508" spans="2:6">
      <c r="B7508" s="44"/>
      <c r="D7508" s="8"/>
      <c r="E7508" s="8"/>
      <c r="F7508" s="8"/>
    </row>
    <row r="7509" spans="2:6">
      <c r="B7509" s="44"/>
      <c r="D7509" s="8"/>
      <c r="E7509" s="8"/>
      <c r="F7509" s="8"/>
    </row>
    <row r="7510" spans="2:6">
      <c r="B7510" s="44"/>
      <c r="D7510" s="8"/>
      <c r="E7510" s="8"/>
      <c r="F7510" s="8"/>
    </row>
    <row r="7511" spans="2:6">
      <c r="B7511" s="44"/>
      <c r="D7511" s="8"/>
      <c r="E7511" s="8"/>
      <c r="F7511" s="8"/>
    </row>
    <row r="7512" spans="2:6">
      <c r="B7512" s="44"/>
      <c r="D7512" s="8"/>
      <c r="E7512" s="8"/>
      <c r="F7512" s="8"/>
    </row>
    <row r="7513" spans="2:6">
      <c r="B7513" s="44"/>
      <c r="D7513" s="8"/>
      <c r="E7513" s="8"/>
      <c r="F7513" s="8"/>
    </row>
    <row r="7514" spans="2:6">
      <c r="B7514" s="44"/>
      <c r="D7514" s="8"/>
      <c r="E7514" s="8"/>
      <c r="F7514" s="8"/>
    </row>
    <row r="7515" spans="2:6">
      <c r="B7515" s="44"/>
      <c r="D7515" s="8"/>
      <c r="E7515" s="8"/>
      <c r="F7515" s="8"/>
    </row>
    <row r="7516" spans="2:6">
      <c r="B7516" s="44"/>
      <c r="D7516" s="8"/>
      <c r="E7516" s="8"/>
      <c r="F7516" s="8"/>
    </row>
    <row r="7517" spans="2:6">
      <c r="B7517" s="44"/>
      <c r="D7517" s="8"/>
      <c r="E7517" s="8"/>
      <c r="F7517" s="8"/>
    </row>
    <row r="7518" spans="2:6">
      <c r="B7518" s="44"/>
      <c r="D7518" s="8"/>
      <c r="E7518" s="8"/>
      <c r="F7518" s="8"/>
    </row>
    <row r="7519" spans="2:6">
      <c r="B7519" s="44"/>
      <c r="D7519" s="8"/>
      <c r="E7519" s="8"/>
      <c r="F7519" s="8"/>
    </row>
    <row r="7520" spans="2:6">
      <c r="B7520" s="44"/>
      <c r="D7520" s="8"/>
      <c r="E7520" s="8"/>
      <c r="F7520" s="8"/>
    </row>
    <row r="7521" spans="2:6">
      <c r="B7521" s="44"/>
      <c r="D7521" s="8"/>
      <c r="E7521" s="8"/>
      <c r="F7521" s="8"/>
    </row>
    <row r="7522" spans="2:6">
      <c r="B7522" s="44"/>
      <c r="D7522" s="8"/>
      <c r="E7522" s="8"/>
      <c r="F7522" s="8"/>
    </row>
    <row r="7523" spans="2:6">
      <c r="B7523" s="44"/>
      <c r="D7523" s="8"/>
      <c r="E7523" s="8"/>
      <c r="F7523" s="8"/>
    </row>
    <row r="7524" spans="2:6">
      <c r="B7524" s="44"/>
      <c r="D7524" s="8"/>
      <c r="E7524" s="8"/>
      <c r="F7524" s="8"/>
    </row>
    <row r="7525" spans="2:6">
      <c r="B7525" s="44"/>
      <c r="D7525" s="8"/>
      <c r="E7525" s="8"/>
      <c r="F7525" s="8"/>
    </row>
    <row r="7526" spans="2:6">
      <c r="B7526" s="44"/>
      <c r="D7526" s="8"/>
      <c r="E7526" s="8"/>
      <c r="F7526" s="8"/>
    </row>
    <row r="7527" spans="2:6">
      <c r="B7527" s="44"/>
      <c r="D7527" s="8"/>
      <c r="E7527" s="8"/>
      <c r="F7527" s="8"/>
    </row>
    <row r="7528" spans="2:6">
      <c r="B7528" s="44"/>
      <c r="D7528" s="8"/>
      <c r="E7528" s="8"/>
      <c r="F7528" s="8"/>
    </row>
    <row r="7529" spans="2:6">
      <c r="B7529" s="44"/>
      <c r="D7529" s="8"/>
      <c r="E7529" s="8"/>
      <c r="F7529" s="8"/>
    </row>
    <row r="7530" spans="2:6">
      <c r="B7530" s="44"/>
      <c r="D7530" s="8"/>
      <c r="E7530" s="8"/>
      <c r="F7530" s="8"/>
    </row>
    <row r="7531" spans="2:6">
      <c r="B7531" s="44"/>
      <c r="D7531" s="8"/>
      <c r="E7531" s="8"/>
      <c r="F7531" s="8"/>
    </row>
    <row r="7532" spans="2:6">
      <c r="B7532" s="44"/>
      <c r="D7532" s="8"/>
      <c r="E7532" s="8"/>
      <c r="F7532" s="8"/>
    </row>
    <row r="7533" spans="2:6">
      <c r="B7533" s="44"/>
      <c r="D7533" s="8"/>
      <c r="E7533" s="8"/>
      <c r="F7533" s="8"/>
    </row>
    <row r="7534" spans="2:6">
      <c r="B7534" s="44"/>
      <c r="D7534" s="8"/>
      <c r="E7534" s="8"/>
      <c r="F7534" s="8"/>
    </row>
    <row r="7535" spans="2:6">
      <c r="B7535" s="44"/>
      <c r="D7535" s="8"/>
      <c r="E7535" s="8"/>
      <c r="F7535" s="8"/>
    </row>
    <row r="7536" spans="2:6">
      <c r="B7536" s="44"/>
      <c r="D7536" s="8"/>
      <c r="E7536" s="8"/>
      <c r="F7536" s="8"/>
    </row>
    <row r="7537" spans="2:6">
      <c r="B7537" s="44"/>
      <c r="D7537" s="8"/>
      <c r="E7537" s="8"/>
      <c r="F7537" s="8"/>
    </row>
    <row r="7538" spans="2:6">
      <c r="B7538" s="44"/>
      <c r="D7538" s="8"/>
      <c r="E7538" s="8"/>
      <c r="F7538" s="8"/>
    </row>
    <row r="7539" spans="2:6">
      <c r="B7539" s="44"/>
      <c r="D7539" s="8"/>
      <c r="E7539" s="8"/>
      <c r="F7539" s="8"/>
    </row>
    <row r="7540" spans="2:6">
      <c r="B7540" s="44"/>
      <c r="D7540" s="8"/>
      <c r="E7540" s="8"/>
      <c r="F7540" s="8"/>
    </row>
    <row r="7541" spans="2:6">
      <c r="B7541" s="44"/>
      <c r="D7541" s="8"/>
      <c r="E7541" s="8"/>
      <c r="F7541" s="8"/>
    </row>
    <row r="7542" spans="2:6">
      <c r="B7542" s="44"/>
      <c r="D7542" s="8"/>
      <c r="E7542" s="8"/>
      <c r="F7542" s="8"/>
    </row>
    <row r="7543" spans="2:6">
      <c r="B7543" s="44"/>
      <c r="D7543" s="8"/>
      <c r="E7543" s="8"/>
      <c r="F7543" s="8"/>
    </row>
    <row r="7544" spans="2:6">
      <c r="B7544" s="44"/>
      <c r="D7544" s="8"/>
      <c r="E7544" s="8"/>
      <c r="F7544" s="8"/>
    </row>
    <row r="7545" spans="2:6">
      <c r="B7545" s="44"/>
      <c r="D7545" s="8"/>
      <c r="E7545" s="8"/>
      <c r="F7545" s="8"/>
    </row>
    <row r="7546" spans="2:6">
      <c r="B7546" s="44"/>
      <c r="D7546" s="8"/>
      <c r="E7546" s="8"/>
      <c r="F7546" s="8"/>
    </row>
    <row r="7547" spans="2:6">
      <c r="B7547" s="44"/>
      <c r="D7547" s="8"/>
      <c r="E7547" s="8"/>
      <c r="F7547" s="8"/>
    </row>
    <row r="7548" spans="2:6">
      <c r="B7548" s="44"/>
      <c r="D7548" s="8"/>
      <c r="E7548" s="8"/>
      <c r="F7548" s="8"/>
    </row>
    <row r="7549" spans="2:6">
      <c r="B7549" s="44"/>
      <c r="D7549" s="8"/>
      <c r="E7549" s="8"/>
      <c r="F7549" s="8"/>
    </row>
    <row r="7550" spans="2:6">
      <c r="B7550" s="44"/>
      <c r="D7550" s="8"/>
      <c r="E7550" s="8"/>
      <c r="F7550" s="8"/>
    </row>
    <row r="7551" spans="2:6">
      <c r="B7551" s="44"/>
      <c r="D7551" s="8"/>
      <c r="E7551" s="8"/>
      <c r="F7551" s="8"/>
    </row>
    <row r="7552" spans="2:6">
      <c r="B7552" s="44"/>
      <c r="D7552" s="8"/>
      <c r="E7552" s="8"/>
      <c r="F7552" s="8"/>
    </row>
    <row r="7553" spans="2:6">
      <c r="B7553" s="44"/>
      <c r="D7553" s="8"/>
      <c r="E7553" s="8"/>
      <c r="F7553" s="8"/>
    </row>
    <row r="7554" spans="2:6">
      <c r="B7554" s="44"/>
      <c r="D7554" s="8"/>
      <c r="E7554" s="8"/>
      <c r="F7554" s="8"/>
    </row>
    <row r="7555" spans="2:6">
      <c r="B7555" s="44"/>
      <c r="D7555" s="8"/>
      <c r="E7555" s="8"/>
      <c r="F7555" s="8"/>
    </row>
    <row r="7556" spans="2:6">
      <c r="B7556" s="44"/>
      <c r="D7556" s="8"/>
      <c r="E7556" s="8"/>
      <c r="F7556" s="8"/>
    </row>
    <row r="7557" spans="2:6">
      <c r="B7557" s="44"/>
      <c r="D7557" s="8"/>
      <c r="E7557" s="8"/>
      <c r="F7557" s="8"/>
    </row>
    <row r="7558" spans="2:6">
      <c r="B7558" s="44"/>
      <c r="D7558" s="8"/>
      <c r="E7558" s="8"/>
      <c r="F7558" s="8"/>
    </row>
    <row r="7559" spans="2:6">
      <c r="B7559" s="44"/>
      <c r="D7559" s="8"/>
      <c r="E7559" s="8"/>
      <c r="F7559" s="8"/>
    </row>
    <row r="7560" spans="2:6">
      <c r="B7560" s="44"/>
      <c r="D7560" s="8"/>
      <c r="E7560" s="8"/>
      <c r="F7560" s="8"/>
    </row>
    <row r="7561" spans="2:6">
      <c r="B7561" s="44"/>
      <c r="D7561" s="8"/>
      <c r="E7561" s="8"/>
      <c r="F7561" s="8"/>
    </row>
    <row r="7562" spans="2:6">
      <c r="B7562" s="44"/>
      <c r="D7562" s="8"/>
      <c r="E7562" s="8"/>
      <c r="F7562" s="8"/>
    </row>
    <row r="7563" spans="2:6">
      <c r="B7563" s="44"/>
      <c r="D7563" s="8"/>
      <c r="E7563" s="8"/>
      <c r="F7563" s="8"/>
    </row>
    <row r="7564" spans="2:6">
      <c r="B7564" s="44"/>
      <c r="D7564" s="8"/>
      <c r="E7564" s="8"/>
      <c r="F7564" s="8"/>
    </row>
    <row r="7565" spans="2:6">
      <c r="B7565" s="44"/>
      <c r="D7565" s="8"/>
      <c r="E7565" s="8"/>
      <c r="F7565" s="8"/>
    </row>
    <row r="7566" spans="2:6">
      <c r="B7566" s="44"/>
      <c r="D7566" s="8"/>
      <c r="E7566" s="8"/>
      <c r="F7566" s="8"/>
    </row>
    <row r="7567" spans="2:6">
      <c r="B7567" s="44"/>
      <c r="D7567" s="8"/>
      <c r="E7567" s="8"/>
      <c r="F7567" s="8"/>
    </row>
    <row r="7568" spans="2:6">
      <c r="B7568" s="44"/>
      <c r="D7568" s="8"/>
      <c r="E7568" s="8"/>
      <c r="F7568" s="8"/>
    </row>
    <row r="7569" spans="2:6">
      <c r="B7569" s="44"/>
      <c r="D7569" s="8"/>
      <c r="E7569" s="8"/>
      <c r="F7569" s="8"/>
    </row>
    <row r="7570" spans="2:6">
      <c r="B7570" s="44"/>
      <c r="D7570" s="8"/>
      <c r="E7570" s="8"/>
      <c r="F7570" s="8"/>
    </row>
    <row r="7571" spans="2:6">
      <c r="B7571" s="44"/>
      <c r="D7571" s="8"/>
      <c r="E7571" s="8"/>
      <c r="F7571" s="8"/>
    </row>
    <row r="7572" spans="2:6">
      <c r="B7572" s="44"/>
      <c r="D7572" s="8"/>
      <c r="E7572" s="8"/>
      <c r="F7572" s="8"/>
    </row>
    <row r="7573" spans="2:6">
      <c r="B7573" s="44"/>
      <c r="D7573" s="8"/>
      <c r="E7573" s="8"/>
      <c r="F7573" s="8"/>
    </row>
    <row r="7574" spans="2:6">
      <c r="B7574" s="44"/>
      <c r="D7574" s="8"/>
      <c r="E7574" s="8"/>
      <c r="F7574" s="8"/>
    </row>
    <row r="7575" spans="2:6">
      <c r="B7575" s="44"/>
      <c r="D7575" s="8"/>
      <c r="E7575" s="8"/>
      <c r="F7575" s="8"/>
    </row>
    <row r="7576" spans="2:6">
      <c r="B7576" s="44"/>
      <c r="D7576" s="8"/>
      <c r="E7576" s="8"/>
      <c r="F7576" s="8"/>
    </row>
    <row r="7577" spans="2:6">
      <c r="B7577" s="44"/>
      <c r="D7577" s="8"/>
      <c r="E7577" s="8"/>
      <c r="F7577" s="8"/>
    </row>
    <row r="7578" spans="2:6">
      <c r="B7578" s="44"/>
      <c r="D7578" s="8"/>
      <c r="E7578" s="8"/>
      <c r="F7578" s="8"/>
    </row>
    <row r="7579" spans="2:6">
      <c r="B7579" s="44"/>
      <c r="D7579" s="8"/>
      <c r="E7579" s="8"/>
      <c r="F7579" s="8"/>
    </row>
    <row r="7580" spans="2:6">
      <c r="B7580" s="44"/>
      <c r="D7580" s="8"/>
      <c r="E7580" s="8"/>
      <c r="F7580" s="8"/>
    </row>
    <row r="7581" spans="2:6">
      <c r="B7581" s="44"/>
      <c r="D7581" s="8"/>
      <c r="E7581" s="8"/>
      <c r="F7581" s="8"/>
    </row>
    <row r="7582" spans="2:6">
      <c r="B7582" s="44"/>
      <c r="D7582" s="8"/>
      <c r="E7582" s="8"/>
      <c r="F7582" s="8"/>
    </row>
    <row r="7583" spans="2:6">
      <c r="B7583" s="44"/>
      <c r="D7583" s="8"/>
      <c r="E7583" s="8"/>
      <c r="F7583" s="8"/>
    </row>
    <row r="7584" spans="2:6">
      <c r="B7584" s="44"/>
      <c r="D7584" s="8"/>
      <c r="E7584" s="8"/>
      <c r="F7584" s="8"/>
    </row>
    <row r="7585" spans="2:6">
      <c r="B7585" s="44"/>
      <c r="D7585" s="8"/>
      <c r="E7585" s="8"/>
      <c r="F7585" s="8"/>
    </row>
    <row r="7586" spans="2:6">
      <c r="B7586" s="44"/>
      <c r="D7586" s="8"/>
      <c r="E7586" s="8"/>
      <c r="F7586" s="8"/>
    </row>
    <row r="7587" spans="2:6">
      <c r="B7587" s="44"/>
      <c r="D7587" s="8"/>
      <c r="E7587" s="8"/>
      <c r="F7587" s="8"/>
    </row>
    <row r="7588" spans="2:6">
      <c r="B7588" s="44"/>
      <c r="D7588" s="8"/>
      <c r="E7588" s="8"/>
      <c r="F7588" s="8"/>
    </row>
    <row r="7589" spans="2:6">
      <c r="B7589" s="44"/>
      <c r="D7589" s="8"/>
      <c r="E7589" s="8"/>
      <c r="F7589" s="8"/>
    </row>
    <row r="7590" spans="2:6">
      <c r="B7590" s="44"/>
      <c r="D7590" s="8"/>
      <c r="E7590" s="8"/>
      <c r="F7590" s="8"/>
    </row>
    <row r="7591" spans="2:6">
      <c r="B7591" s="44"/>
      <c r="D7591" s="8"/>
      <c r="E7591" s="8"/>
      <c r="F7591" s="8"/>
    </row>
    <row r="7592" spans="2:6">
      <c r="B7592" s="44"/>
      <c r="D7592" s="8"/>
      <c r="E7592" s="8"/>
      <c r="F7592" s="8"/>
    </row>
    <row r="7593" spans="2:6">
      <c r="B7593" s="44"/>
      <c r="D7593" s="8"/>
      <c r="E7593" s="8"/>
      <c r="F7593" s="8"/>
    </row>
    <row r="7594" spans="2:6">
      <c r="B7594" s="44"/>
      <c r="D7594" s="8"/>
      <c r="E7594" s="8"/>
      <c r="F7594" s="8"/>
    </row>
    <row r="7595" spans="2:6">
      <c r="B7595" s="44"/>
      <c r="D7595" s="8"/>
      <c r="E7595" s="8"/>
      <c r="F7595" s="8"/>
    </row>
    <row r="7596" spans="2:6">
      <c r="B7596" s="44"/>
      <c r="D7596" s="8"/>
      <c r="E7596" s="8"/>
      <c r="F7596" s="8"/>
    </row>
    <row r="7597" spans="2:6">
      <c r="B7597" s="44"/>
      <c r="D7597" s="8"/>
      <c r="E7597" s="8"/>
      <c r="F7597" s="8"/>
    </row>
    <row r="7598" spans="2:6">
      <c r="B7598" s="44"/>
      <c r="D7598" s="8"/>
      <c r="E7598" s="8"/>
      <c r="F7598" s="8"/>
    </row>
    <row r="7599" spans="2:6">
      <c r="B7599" s="44"/>
      <c r="D7599" s="8"/>
      <c r="E7599" s="8"/>
      <c r="F7599" s="8"/>
    </row>
    <row r="7600" spans="2:6">
      <c r="B7600" s="44"/>
      <c r="D7600" s="8"/>
      <c r="E7600" s="8"/>
      <c r="F7600" s="8"/>
    </row>
    <row r="7601" spans="2:6">
      <c r="B7601" s="44"/>
      <c r="D7601" s="8"/>
      <c r="E7601" s="8"/>
      <c r="F7601" s="8"/>
    </row>
    <row r="7602" spans="2:6">
      <c r="B7602" s="44"/>
      <c r="D7602" s="8"/>
      <c r="E7602" s="8"/>
      <c r="F7602" s="8"/>
    </row>
    <row r="7603" spans="2:6">
      <c r="B7603" s="44"/>
      <c r="D7603" s="8"/>
      <c r="E7603" s="8"/>
      <c r="F7603" s="8"/>
    </row>
    <row r="7604" spans="2:6">
      <c r="B7604" s="44"/>
      <c r="D7604" s="8"/>
      <c r="E7604" s="8"/>
      <c r="F7604" s="8"/>
    </row>
    <row r="7605" spans="2:6">
      <c r="B7605" s="44"/>
      <c r="D7605" s="8"/>
      <c r="E7605" s="8"/>
      <c r="F7605" s="8"/>
    </row>
    <row r="7606" spans="2:6">
      <c r="B7606" s="44"/>
      <c r="D7606" s="8"/>
      <c r="E7606" s="8"/>
      <c r="F7606" s="8"/>
    </row>
    <row r="7607" spans="2:6">
      <c r="B7607" s="44"/>
      <c r="D7607" s="8"/>
      <c r="E7607" s="8"/>
      <c r="F7607" s="8"/>
    </row>
    <row r="7608" spans="2:6">
      <c r="B7608" s="44"/>
      <c r="D7608" s="8"/>
      <c r="E7608" s="8"/>
      <c r="F7608" s="8"/>
    </row>
    <row r="7609" spans="2:6">
      <c r="B7609" s="44"/>
      <c r="D7609" s="8"/>
      <c r="E7609" s="8"/>
      <c r="F7609" s="8"/>
    </row>
    <row r="7610" spans="2:6">
      <c r="B7610" s="44"/>
      <c r="D7610" s="8"/>
      <c r="E7610" s="8"/>
      <c r="F7610" s="8"/>
    </row>
    <row r="7611" spans="2:6">
      <c r="B7611" s="44"/>
      <c r="D7611" s="8"/>
      <c r="E7611" s="8"/>
      <c r="F7611" s="8"/>
    </row>
    <row r="7612" spans="2:6">
      <c r="B7612" s="44"/>
      <c r="D7612" s="8"/>
      <c r="E7612" s="8"/>
      <c r="F7612" s="8"/>
    </row>
    <row r="7613" spans="2:6">
      <c r="B7613" s="44"/>
      <c r="D7613" s="8"/>
      <c r="E7613" s="8"/>
      <c r="F7613" s="8"/>
    </row>
    <row r="7614" spans="2:6">
      <c r="B7614" s="44"/>
      <c r="D7614" s="8"/>
      <c r="E7614" s="8"/>
      <c r="F7614" s="8"/>
    </row>
    <row r="7615" spans="2:6">
      <c r="B7615" s="44"/>
      <c r="D7615" s="8"/>
      <c r="E7615" s="8"/>
      <c r="F7615" s="8"/>
    </row>
    <row r="7616" spans="2:6">
      <c r="B7616" s="44"/>
      <c r="D7616" s="8"/>
      <c r="E7616" s="8"/>
      <c r="F7616" s="8"/>
    </row>
    <row r="7617" spans="2:6">
      <c r="B7617" s="44"/>
      <c r="D7617" s="8"/>
      <c r="E7617" s="8"/>
      <c r="F7617" s="8"/>
    </row>
    <row r="7618" spans="2:6">
      <c r="B7618" s="44"/>
      <c r="D7618" s="8"/>
      <c r="E7618" s="8"/>
      <c r="F7618" s="8"/>
    </row>
    <row r="7619" spans="2:6">
      <c r="B7619" s="44"/>
      <c r="D7619" s="8"/>
      <c r="E7619" s="8"/>
      <c r="F7619" s="8"/>
    </row>
    <row r="7620" spans="2:6">
      <c r="B7620" s="44"/>
      <c r="D7620" s="8"/>
      <c r="E7620" s="8"/>
      <c r="F7620" s="8"/>
    </row>
    <row r="7621" spans="2:6">
      <c r="B7621" s="44"/>
      <c r="D7621" s="8"/>
      <c r="E7621" s="8"/>
      <c r="F7621" s="8"/>
    </row>
    <row r="7622" spans="2:6">
      <c r="B7622" s="44"/>
      <c r="D7622" s="8"/>
      <c r="E7622" s="8"/>
      <c r="F7622" s="8"/>
    </row>
    <row r="7623" spans="2:6">
      <c r="B7623" s="44"/>
      <c r="D7623" s="8"/>
      <c r="E7623" s="8"/>
      <c r="F7623" s="8"/>
    </row>
    <row r="7624" spans="2:6">
      <c r="B7624" s="44"/>
      <c r="D7624" s="8"/>
      <c r="E7624" s="8"/>
      <c r="F7624" s="8"/>
    </row>
    <row r="7625" spans="2:6">
      <c r="B7625" s="44"/>
      <c r="D7625" s="8"/>
      <c r="E7625" s="8"/>
      <c r="F7625" s="8"/>
    </row>
    <row r="7626" spans="2:6">
      <c r="B7626" s="44"/>
      <c r="D7626" s="8"/>
      <c r="E7626" s="8"/>
      <c r="F7626" s="8"/>
    </row>
    <row r="7627" spans="2:6">
      <c r="B7627" s="44"/>
      <c r="D7627" s="8"/>
      <c r="E7627" s="8"/>
      <c r="F7627" s="8"/>
    </row>
    <row r="7628" spans="2:6">
      <c r="B7628" s="44"/>
      <c r="D7628" s="8"/>
      <c r="E7628" s="8"/>
      <c r="F7628" s="8"/>
    </row>
    <row r="7629" spans="2:6">
      <c r="B7629" s="44"/>
      <c r="D7629" s="8"/>
      <c r="E7629" s="8"/>
      <c r="F7629" s="8"/>
    </row>
    <row r="7630" spans="2:6">
      <c r="B7630" s="44"/>
      <c r="D7630" s="8"/>
      <c r="E7630" s="8"/>
      <c r="F7630" s="8"/>
    </row>
    <row r="7631" spans="2:6">
      <c r="B7631" s="44"/>
      <c r="D7631" s="8"/>
      <c r="E7631" s="8"/>
      <c r="F7631" s="8"/>
    </row>
    <row r="7632" spans="2:6">
      <c r="B7632" s="44"/>
      <c r="D7632" s="8"/>
      <c r="E7632" s="8"/>
      <c r="F7632" s="8"/>
    </row>
    <row r="7633" spans="2:6">
      <c r="B7633" s="44"/>
      <c r="D7633" s="8"/>
      <c r="E7633" s="8"/>
      <c r="F7633" s="8"/>
    </row>
    <row r="7634" spans="2:6">
      <c r="B7634" s="44"/>
      <c r="D7634" s="8"/>
      <c r="E7634" s="8"/>
      <c r="F7634" s="8"/>
    </row>
    <row r="7635" spans="2:6">
      <c r="B7635" s="44"/>
      <c r="D7635" s="8"/>
      <c r="E7635" s="8"/>
      <c r="F7635" s="8"/>
    </row>
    <row r="7636" spans="2:6">
      <c r="B7636" s="44"/>
      <c r="D7636" s="8"/>
      <c r="E7636" s="8"/>
      <c r="F7636" s="8"/>
    </row>
    <row r="7637" spans="2:6">
      <c r="B7637" s="44"/>
      <c r="D7637" s="8"/>
      <c r="E7637" s="8"/>
      <c r="F7637" s="8"/>
    </row>
    <row r="7638" spans="2:6">
      <c r="B7638" s="44"/>
      <c r="D7638" s="8"/>
      <c r="E7638" s="8"/>
      <c r="F7638" s="8"/>
    </row>
    <row r="7639" spans="2:6">
      <c r="B7639" s="44"/>
      <c r="D7639" s="8"/>
      <c r="E7639" s="8"/>
      <c r="F7639" s="8"/>
    </row>
    <row r="7640" spans="2:6">
      <c r="B7640" s="44"/>
      <c r="D7640" s="8"/>
      <c r="E7640" s="8"/>
      <c r="F7640" s="8"/>
    </row>
    <row r="7641" spans="2:6">
      <c r="B7641" s="44"/>
      <c r="D7641" s="8"/>
      <c r="E7641" s="8"/>
      <c r="F7641" s="8"/>
    </row>
    <row r="7642" spans="2:6">
      <c r="B7642" s="44"/>
      <c r="D7642" s="8"/>
      <c r="E7642" s="8"/>
      <c r="F7642" s="8"/>
    </row>
    <row r="7643" spans="2:6">
      <c r="B7643" s="44"/>
      <c r="D7643" s="8"/>
      <c r="E7643" s="8"/>
      <c r="F7643" s="8"/>
    </row>
    <row r="7644" spans="2:6">
      <c r="B7644" s="44"/>
      <c r="D7644" s="8"/>
      <c r="E7644" s="8"/>
      <c r="F7644" s="8"/>
    </row>
    <row r="7645" spans="2:6">
      <c r="B7645" s="44"/>
      <c r="D7645" s="8"/>
      <c r="E7645" s="8"/>
      <c r="F7645" s="8"/>
    </row>
    <row r="7646" spans="2:6">
      <c r="B7646" s="44"/>
      <c r="D7646" s="8"/>
      <c r="E7646" s="8"/>
      <c r="F7646" s="8"/>
    </row>
    <row r="7647" spans="2:6">
      <c r="B7647" s="44"/>
      <c r="D7647" s="8"/>
      <c r="E7647" s="8"/>
      <c r="F7647" s="8"/>
    </row>
    <row r="7648" spans="2:6">
      <c r="B7648" s="44"/>
      <c r="D7648" s="8"/>
      <c r="E7648" s="8"/>
      <c r="F7648" s="8"/>
    </row>
    <row r="7649" spans="2:6">
      <c r="B7649" s="44"/>
      <c r="D7649" s="8"/>
      <c r="E7649" s="8"/>
      <c r="F7649" s="8"/>
    </row>
    <row r="7650" spans="2:6">
      <c r="B7650" s="44"/>
      <c r="D7650" s="8"/>
      <c r="E7650" s="8"/>
      <c r="F7650" s="8"/>
    </row>
    <row r="7651" spans="2:6">
      <c r="B7651" s="44"/>
      <c r="D7651" s="8"/>
      <c r="E7651" s="8"/>
      <c r="F7651" s="8"/>
    </row>
    <row r="7652" spans="2:6">
      <c r="B7652" s="44"/>
      <c r="D7652" s="8"/>
      <c r="E7652" s="8"/>
      <c r="F7652" s="8"/>
    </row>
    <row r="7653" spans="2:6">
      <c r="B7653" s="44"/>
      <c r="D7653" s="8"/>
      <c r="E7653" s="8"/>
      <c r="F7653" s="8"/>
    </row>
    <row r="7654" spans="2:6">
      <c r="B7654" s="44"/>
      <c r="D7654" s="8"/>
      <c r="E7654" s="8"/>
      <c r="F7654" s="8"/>
    </row>
    <row r="7655" spans="2:6">
      <c r="B7655" s="44"/>
      <c r="D7655" s="8"/>
      <c r="E7655" s="8"/>
      <c r="F7655" s="8"/>
    </row>
    <row r="7656" spans="2:6">
      <c r="B7656" s="44"/>
      <c r="D7656" s="8"/>
      <c r="E7656" s="8"/>
      <c r="F7656" s="8"/>
    </row>
    <row r="7657" spans="2:6">
      <c r="B7657" s="44"/>
      <c r="D7657" s="8"/>
      <c r="E7657" s="8"/>
      <c r="F7657" s="8"/>
    </row>
    <row r="7658" spans="2:6">
      <c r="B7658" s="44"/>
      <c r="D7658" s="8"/>
      <c r="E7658" s="8"/>
      <c r="F7658" s="8"/>
    </row>
    <row r="7659" spans="2:6">
      <c r="B7659" s="44"/>
      <c r="D7659" s="8"/>
      <c r="E7659" s="8"/>
      <c r="F7659" s="8"/>
    </row>
    <row r="7660" spans="2:6">
      <c r="B7660" s="44"/>
      <c r="D7660" s="8"/>
      <c r="E7660" s="8"/>
      <c r="F7660" s="8"/>
    </row>
    <row r="7661" spans="2:6">
      <c r="B7661" s="44"/>
      <c r="D7661" s="8"/>
      <c r="E7661" s="8"/>
      <c r="F7661" s="8"/>
    </row>
    <row r="7662" spans="2:6">
      <c r="B7662" s="44"/>
      <c r="D7662" s="8"/>
      <c r="E7662" s="8"/>
      <c r="F7662" s="8"/>
    </row>
    <row r="7663" spans="2:6">
      <c r="B7663" s="44"/>
      <c r="D7663" s="8"/>
      <c r="E7663" s="8"/>
      <c r="F7663" s="8"/>
    </row>
    <row r="7664" spans="2:6">
      <c r="B7664" s="44"/>
      <c r="D7664" s="8"/>
      <c r="E7664" s="8"/>
      <c r="F7664" s="8"/>
    </row>
    <row r="7665" spans="2:6">
      <c r="B7665" s="44"/>
      <c r="D7665" s="8"/>
      <c r="E7665" s="8"/>
      <c r="F7665" s="8"/>
    </row>
    <row r="7666" spans="2:6">
      <c r="B7666" s="44"/>
      <c r="D7666" s="8"/>
      <c r="E7666" s="8"/>
      <c r="F7666" s="8"/>
    </row>
    <row r="7667" spans="2:6">
      <c r="B7667" s="44"/>
      <c r="D7667" s="8"/>
      <c r="E7667" s="8"/>
      <c r="F7667" s="8"/>
    </row>
    <row r="7668" spans="2:6">
      <c r="B7668" s="44"/>
      <c r="D7668" s="8"/>
      <c r="E7668" s="8"/>
      <c r="F7668" s="8"/>
    </row>
    <row r="7669" spans="2:6">
      <c r="B7669" s="44"/>
      <c r="D7669" s="8"/>
      <c r="E7669" s="8"/>
      <c r="F7669" s="8"/>
    </row>
    <row r="7670" spans="2:6">
      <c r="B7670" s="44"/>
      <c r="D7670" s="8"/>
      <c r="E7670" s="8"/>
      <c r="F7670" s="8"/>
    </row>
    <row r="7671" spans="2:6">
      <c r="B7671" s="44"/>
      <c r="D7671" s="8"/>
      <c r="E7671" s="8"/>
      <c r="F7671" s="8"/>
    </row>
    <row r="7672" spans="2:6">
      <c r="B7672" s="44"/>
      <c r="D7672" s="8"/>
      <c r="E7672" s="8"/>
      <c r="F7672" s="8"/>
    </row>
    <row r="7673" spans="2:6">
      <c r="B7673" s="44"/>
      <c r="D7673" s="8"/>
      <c r="E7673" s="8"/>
      <c r="F7673" s="8"/>
    </row>
    <row r="7674" spans="2:6">
      <c r="B7674" s="44"/>
      <c r="D7674" s="8"/>
      <c r="E7674" s="8"/>
      <c r="F7674" s="8"/>
    </row>
    <row r="7675" spans="2:6">
      <c r="B7675" s="44"/>
      <c r="D7675" s="8"/>
      <c r="E7675" s="8"/>
      <c r="F7675" s="8"/>
    </row>
    <row r="7676" spans="2:6">
      <c r="B7676" s="44"/>
      <c r="D7676" s="8"/>
      <c r="E7676" s="8"/>
      <c r="F7676" s="8"/>
    </row>
    <row r="7677" spans="2:6">
      <c r="B7677" s="44"/>
      <c r="D7677" s="8"/>
      <c r="E7677" s="8"/>
      <c r="F7677" s="8"/>
    </row>
    <row r="7678" spans="2:6">
      <c r="B7678" s="44"/>
      <c r="D7678" s="8"/>
      <c r="E7678" s="8"/>
      <c r="F7678" s="8"/>
    </row>
    <row r="7679" spans="2:6">
      <c r="B7679" s="44"/>
      <c r="D7679" s="8"/>
      <c r="E7679" s="8"/>
      <c r="F7679" s="8"/>
    </row>
    <row r="7680" spans="2:6">
      <c r="B7680" s="44"/>
      <c r="D7680" s="8"/>
      <c r="E7680" s="8"/>
      <c r="F7680" s="8"/>
    </row>
    <row r="7681" spans="2:6">
      <c r="B7681" s="44"/>
      <c r="D7681" s="8"/>
      <c r="E7681" s="8"/>
      <c r="F7681" s="8"/>
    </row>
    <row r="7682" spans="2:6">
      <c r="B7682" s="44"/>
      <c r="D7682" s="8"/>
      <c r="E7682" s="8"/>
      <c r="F7682" s="8"/>
    </row>
    <row r="7683" spans="2:6">
      <c r="B7683" s="44"/>
      <c r="D7683" s="8"/>
      <c r="E7683" s="8"/>
      <c r="F7683" s="8"/>
    </row>
    <row r="7684" spans="2:6">
      <c r="B7684" s="44"/>
      <c r="D7684" s="8"/>
      <c r="E7684" s="8"/>
      <c r="F7684" s="8"/>
    </row>
    <row r="7685" spans="2:6">
      <c r="B7685" s="44"/>
      <c r="D7685" s="8"/>
      <c r="E7685" s="8"/>
      <c r="F7685" s="8"/>
    </row>
    <row r="7686" spans="2:6">
      <c r="B7686" s="44"/>
      <c r="D7686" s="8"/>
      <c r="E7686" s="8"/>
      <c r="F7686" s="8"/>
    </row>
    <row r="7687" spans="2:6">
      <c r="B7687" s="44"/>
      <c r="D7687" s="8"/>
      <c r="E7687" s="8"/>
      <c r="F7687" s="8"/>
    </row>
    <row r="7688" spans="2:6">
      <c r="B7688" s="44"/>
      <c r="D7688" s="8"/>
      <c r="E7688" s="8"/>
      <c r="F7688" s="8"/>
    </row>
    <row r="7689" spans="2:6">
      <c r="B7689" s="44"/>
      <c r="D7689" s="8"/>
      <c r="E7689" s="8"/>
      <c r="F7689" s="8"/>
    </row>
    <row r="7690" spans="2:6">
      <c r="B7690" s="44"/>
      <c r="D7690" s="8"/>
      <c r="E7690" s="8"/>
      <c r="F7690" s="8"/>
    </row>
    <row r="7691" spans="2:6">
      <c r="B7691" s="44"/>
      <c r="D7691" s="8"/>
      <c r="E7691" s="8"/>
      <c r="F7691" s="8"/>
    </row>
    <row r="7692" spans="2:6">
      <c r="B7692" s="44"/>
      <c r="D7692" s="8"/>
      <c r="E7692" s="8"/>
      <c r="F7692" s="8"/>
    </row>
    <row r="7693" spans="2:6">
      <c r="B7693" s="44"/>
      <c r="D7693" s="8"/>
      <c r="E7693" s="8"/>
      <c r="F7693" s="8"/>
    </row>
    <row r="7694" spans="2:6">
      <c r="B7694" s="44"/>
      <c r="D7694" s="8"/>
      <c r="E7694" s="8"/>
      <c r="F7694" s="8"/>
    </row>
    <row r="7695" spans="2:6">
      <c r="B7695" s="44"/>
      <c r="D7695" s="8"/>
      <c r="E7695" s="8"/>
      <c r="F7695" s="8"/>
    </row>
    <row r="7696" spans="2:6">
      <c r="B7696" s="44"/>
      <c r="D7696" s="8"/>
      <c r="E7696" s="8"/>
      <c r="F7696" s="8"/>
    </row>
    <row r="7697" spans="2:6">
      <c r="B7697" s="44"/>
      <c r="D7697" s="8"/>
      <c r="E7697" s="8"/>
      <c r="F7697" s="8"/>
    </row>
    <row r="7698" spans="2:6">
      <c r="B7698" s="44"/>
      <c r="D7698" s="8"/>
      <c r="E7698" s="8"/>
      <c r="F7698" s="8"/>
    </row>
    <row r="7699" spans="2:6">
      <c r="B7699" s="44"/>
      <c r="D7699" s="8"/>
      <c r="E7699" s="8"/>
      <c r="F7699" s="8"/>
    </row>
    <row r="7700" spans="2:6">
      <c r="B7700" s="44"/>
      <c r="D7700" s="8"/>
      <c r="E7700" s="8"/>
      <c r="F7700" s="8"/>
    </row>
    <row r="7701" spans="2:6">
      <c r="B7701" s="44"/>
      <c r="D7701" s="8"/>
      <c r="E7701" s="8"/>
      <c r="F7701" s="8"/>
    </row>
    <row r="7702" spans="2:6">
      <c r="B7702" s="44"/>
      <c r="D7702" s="8"/>
      <c r="E7702" s="8"/>
      <c r="F7702" s="8"/>
    </row>
    <row r="7703" spans="2:6">
      <c r="B7703" s="44"/>
      <c r="D7703" s="8"/>
      <c r="E7703" s="8"/>
      <c r="F7703" s="8"/>
    </row>
    <row r="7704" spans="2:6">
      <c r="B7704" s="44"/>
      <c r="D7704" s="8"/>
      <c r="E7704" s="8"/>
      <c r="F7704" s="8"/>
    </row>
    <row r="7705" spans="2:6">
      <c r="B7705" s="44"/>
      <c r="D7705" s="8"/>
      <c r="E7705" s="8"/>
      <c r="F7705" s="8"/>
    </row>
    <row r="7706" spans="2:6">
      <c r="B7706" s="44"/>
      <c r="D7706" s="8"/>
      <c r="E7706" s="8"/>
      <c r="F7706" s="8"/>
    </row>
    <row r="7707" spans="2:6">
      <c r="B7707" s="44"/>
      <c r="D7707" s="8"/>
      <c r="E7707" s="8"/>
      <c r="F7707" s="8"/>
    </row>
    <row r="7708" spans="2:6">
      <c r="B7708" s="44"/>
      <c r="D7708" s="8"/>
      <c r="E7708" s="8"/>
      <c r="F7708" s="8"/>
    </row>
    <row r="7709" spans="2:6">
      <c r="B7709" s="44"/>
      <c r="D7709" s="8"/>
      <c r="E7709" s="8"/>
      <c r="F7709" s="8"/>
    </row>
    <row r="7710" spans="2:6">
      <c r="B7710" s="44"/>
      <c r="D7710" s="8"/>
      <c r="E7710" s="8"/>
      <c r="F7710" s="8"/>
    </row>
    <row r="7711" spans="2:6">
      <c r="B7711" s="44"/>
      <c r="D7711" s="8"/>
      <c r="E7711" s="8"/>
      <c r="F7711" s="8"/>
    </row>
    <row r="7712" spans="2:6">
      <c r="B7712" s="44"/>
      <c r="D7712" s="8"/>
      <c r="E7712" s="8"/>
      <c r="F7712" s="8"/>
    </row>
    <row r="7713" spans="2:6">
      <c r="B7713" s="44"/>
      <c r="D7713" s="8"/>
      <c r="E7713" s="8"/>
      <c r="F7713" s="8"/>
    </row>
    <row r="7714" spans="2:6">
      <c r="B7714" s="44"/>
      <c r="D7714" s="8"/>
      <c r="E7714" s="8"/>
      <c r="F7714" s="8"/>
    </row>
    <row r="7715" spans="2:6">
      <c r="B7715" s="44"/>
      <c r="D7715" s="8"/>
      <c r="E7715" s="8"/>
      <c r="F7715" s="8"/>
    </row>
    <row r="7716" spans="2:6">
      <c r="B7716" s="44"/>
      <c r="D7716" s="8"/>
      <c r="E7716" s="8"/>
      <c r="F7716" s="8"/>
    </row>
    <row r="7717" spans="2:6">
      <c r="B7717" s="44"/>
      <c r="D7717" s="8"/>
      <c r="E7717" s="8"/>
      <c r="F7717" s="8"/>
    </row>
    <row r="7718" spans="2:6">
      <c r="B7718" s="44"/>
      <c r="D7718" s="8"/>
      <c r="E7718" s="8"/>
      <c r="F7718" s="8"/>
    </row>
    <row r="7719" spans="2:6">
      <c r="B7719" s="44"/>
      <c r="D7719" s="8"/>
      <c r="E7719" s="8"/>
      <c r="F7719" s="8"/>
    </row>
    <row r="7720" spans="2:6">
      <c r="B7720" s="44"/>
      <c r="D7720" s="8"/>
      <c r="E7720" s="8"/>
      <c r="F7720" s="8"/>
    </row>
    <row r="7721" spans="2:6">
      <c r="B7721" s="44"/>
      <c r="D7721" s="8"/>
      <c r="E7721" s="8"/>
      <c r="F7721" s="8"/>
    </row>
    <row r="7722" spans="2:6">
      <c r="B7722" s="44"/>
      <c r="D7722" s="8"/>
      <c r="E7722" s="8"/>
      <c r="F7722" s="8"/>
    </row>
    <row r="7723" spans="2:6">
      <c r="B7723" s="44"/>
      <c r="D7723" s="8"/>
      <c r="E7723" s="8"/>
      <c r="F7723" s="8"/>
    </row>
    <row r="7724" spans="2:6">
      <c r="B7724" s="44"/>
      <c r="D7724" s="8"/>
      <c r="E7724" s="8"/>
      <c r="F7724" s="8"/>
    </row>
    <row r="7725" spans="2:6">
      <c r="B7725" s="44"/>
      <c r="D7725" s="8"/>
      <c r="E7725" s="8"/>
      <c r="F7725" s="8"/>
    </row>
    <row r="7726" spans="2:6">
      <c r="B7726" s="44"/>
      <c r="D7726" s="8"/>
      <c r="E7726" s="8"/>
      <c r="F7726" s="8"/>
    </row>
    <row r="7727" spans="2:6">
      <c r="B7727" s="44"/>
      <c r="D7727" s="8"/>
      <c r="E7727" s="8"/>
      <c r="F7727" s="8"/>
    </row>
    <row r="7728" spans="2:6">
      <c r="B7728" s="44"/>
      <c r="D7728" s="8"/>
      <c r="E7728" s="8"/>
      <c r="F7728" s="8"/>
    </row>
    <row r="7729" spans="2:6">
      <c r="B7729" s="44"/>
      <c r="D7729" s="8"/>
      <c r="E7729" s="8"/>
      <c r="F7729" s="8"/>
    </row>
    <row r="7730" spans="2:6">
      <c r="B7730" s="44"/>
      <c r="D7730" s="8"/>
      <c r="E7730" s="8"/>
      <c r="F7730" s="8"/>
    </row>
    <row r="7731" spans="2:6">
      <c r="B7731" s="44"/>
      <c r="D7731" s="8"/>
      <c r="E7731" s="8"/>
      <c r="F7731" s="8"/>
    </row>
    <row r="7732" spans="2:6">
      <c r="B7732" s="44"/>
      <c r="D7732" s="8"/>
      <c r="E7732" s="8"/>
      <c r="F7732" s="8"/>
    </row>
    <row r="7733" spans="2:6">
      <c r="B7733" s="44"/>
      <c r="D7733" s="8"/>
      <c r="E7733" s="8"/>
      <c r="F7733" s="8"/>
    </row>
    <row r="7734" spans="2:6">
      <c r="B7734" s="44"/>
      <c r="D7734" s="8"/>
      <c r="E7734" s="8"/>
      <c r="F7734" s="8"/>
    </row>
    <row r="7735" spans="2:6">
      <c r="B7735" s="44"/>
      <c r="D7735" s="8"/>
      <c r="E7735" s="8"/>
      <c r="F7735" s="8"/>
    </row>
    <row r="7736" spans="2:6">
      <c r="B7736" s="44"/>
      <c r="D7736" s="8"/>
      <c r="E7736" s="8"/>
      <c r="F7736" s="8"/>
    </row>
    <row r="7737" spans="2:6">
      <c r="B7737" s="44"/>
      <c r="D7737" s="8"/>
      <c r="E7737" s="8"/>
      <c r="F7737" s="8"/>
    </row>
    <row r="7738" spans="2:6">
      <c r="B7738" s="44"/>
      <c r="D7738" s="8"/>
      <c r="E7738" s="8"/>
      <c r="F7738" s="8"/>
    </row>
    <row r="7739" spans="2:6">
      <c r="B7739" s="44"/>
      <c r="D7739" s="8"/>
      <c r="E7739" s="8"/>
      <c r="F7739" s="8"/>
    </row>
    <row r="7740" spans="2:6">
      <c r="B7740" s="44"/>
      <c r="D7740" s="8"/>
      <c r="E7740" s="8"/>
      <c r="F7740" s="8"/>
    </row>
    <row r="7741" spans="2:6">
      <c r="B7741" s="44"/>
      <c r="D7741" s="8"/>
      <c r="E7741" s="8"/>
      <c r="F7741" s="8"/>
    </row>
    <row r="7742" spans="2:6">
      <c r="B7742" s="44"/>
      <c r="D7742" s="8"/>
      <c r="E7742" s="8"/>
      <c r="F7742" s="8"/>
    </row>
    <row r="7743" spans="2:6">
      <c r="B7743" s="44"/>
      <c r="D7743" s="8"/>
      <c r="E7743" s="8"/>
      <c r="F7743" s="8"/>
    </row>
    <row r="7744" spans="2:6">
      <c r="B7744" s="44"/>
      <c r="D7744" s="8"/>
      <c r="E7744" s="8"/>
      <c r="F7744" s="8"/>
    </row>
    <row r="7745" spans="2:6">
      <c r="B7745" s="44"/>
      <c r="D7745" s="8"/>
      <c r="E7745" s="8"/>
      <c r="F7745" s="8"/>
    </row>
    <row r="7746" spans="2:6">
      <c r="B7746" s="44"/>
      <c r="D7746" s="8"/>
      <c r="E7746" s="8"/>
      <c r="F7746" s="8"/>
    </row>
    <row r="7747" spans="2:6">
      <c r="B7747" s="44"/>
      <c r="D7747" s="8"/>
      <c r="E7747" s="8"/>
      <c r="F7747" s="8"/>
    </row>
    <row r="7748" spans="2:6">
      <c r="B7748" s="44"/>
      <c r="D7748" s="8"/>
      <c r="E7748" s="8"/>
      <c r="F7748" s="8"/>
    </row>
    <row r="7749" spans="2:6">
      <c r="B7749" s="44"/>
      <c r="D7749" s="8"/>
      <c r="E7749" s="8"/>
      <c r="F7749" s="8"/>
    </row>
    <row r="7750" spans="2:6">
      <c r="B7750" s="44"/>
      <c r="D7750" s="8"/>
      <c r="E7750" s="8"/>
      <c r="F7750" s="8"/>
    </row>
    <row r="7751" spans="2:6">
      <c r="B7751" s="44"/>
      <c r="D7751" s="8"/>
      <c r="E7751" s="8"/>
      <c r="F7751" s="8"/>
    </row>
    <row r="7752" spans="2:6">
      <c r="B7752" s="44"/>
      <c r="D7752" s="8"/>
      <c r="E7752" s="8"/>
      <c r="F7752" s="8"/>
    </row>
    <row r="7753" spans="2:6">
      <c r="B7753" s="44"/>
      <c r="D7753" s="8"/>
      <c r="E7753" s="8"/>
      <c r="F7753" s="8"/>
    </row>
    <row r="7754" spans="2:6">
      <c r="B7754" s="44"/>
      <c r="D7754" s="8"/>
      <c r="E7754" s="8"/>
      <c r="F7754" s="8"/>
    </row>
    <row r="7755" spans="2:6">
      <c r="B7755" s="44"/>
      <c r="D7755" s="8"/>
      <c r="E7755" s="8"/>
      <c r="F7755" s="8"/>
    </row>
    <row r="7756" spans="2:6">
      <c r="B7756" s="44"/>
      <c r="D7756" s="8"/>
      <c r="E7756" s="8"/>
      <c r="F7756" s="8"/>
    </row>
    <row r="7757" spans="2:6">
      <c r="B7757" s="44"/>
      <c r="D7757" s="8"/>
      <c r="E7757" s="8"/>
      <c r="F7757" s="8"/>
    </row>
    <row r="7758" spans="2:6">
      <c r="B7758" s="44"/>
      <c r="D7758" s="8"/>
      <c r="E7758" s="8"/>
      <c r="F7758" s="8"/>
    </row>
    <row r="7759" spans="2:6">
      <c r="B7759" s="44"/>
      <c r="D7759" s="8"/>
      <c r="E7759" s="8"/>
      <c r="F7759" s="8"/>
    </row>
    <row r="7760" spans="2:6">
      <c r="B7760" s="44"/>
      <c r="D7760" s="8"/>
      <c r="E7760" s="8"/>
      <c r="F7760" s="8"/>
    </row>
    <row r="7761" spans="2:6">
      <c r="B7761" s="44"/>
      <c r="D7761" s="8"/>
      <c r="E7761" s="8"/>
      <c r="F7761" s="8"/>
    </row>
    <row r="7762" spans="2:6">
      <c r="B7762" s="44"/>
      <c r="D7762" s="8"/>
      <c r="E7762" s="8"/>
      <c r="F7762" s="8"/>
    </row>
    <row r="7763" spans="2:6">
      <c r="B7763" s="44"/>
      <c r="D7763" s="8"/>
      <c r="E7763" s="8"/>
      <c r="F7763" s="8"/>
    </row>
    <row r="7764" spans="2:6">
      <c r="B7764" s="44"/>
      <c r="D7764" s="8"/>
      <c r="E7764" s="8"/>
      <c r="F7764" s="8"/>
    </row>
    <row r="7765" spans="2:6">
      <c r="B7765" s="44"/>
      <c r="D7765" s="8"/>
      <c r="E7765" s="8"/>
      <c r="F7765" s="8"/>
    </row>
    <row r="7766" spans="2:6">
      <c r="B7766" s="44"/>
      <c r="D7766" s="8"/>
      <c r="E7766" s="8"/>
      <c r="F7766" s="8"/>
    </row>
    <row r="7767" spans="2:6">
      <c r="B7767" s="44"/>
      <c r="D7767" s="8"/>
      <c r="E7767" s="8"/>
      <c r="F7767" s="8"/>
    </row>
    <row r="7768" spans="2:6">
      <c r="B7768" s="44"/>
      <c r="D7768" s="8"/>
      <c r="E7768" s="8"/>
      <c r="F7768" s="8"/>
    </row>
    <row r="7769" spans="2:6">
      <c r="B7769" s="44"/>
      <c r="D7769" s="8"/>
      <c r="E7769" s="8"/>
      <c r="F7769" s="8"/>
    </row>
    <row r="7770" spans="2:6">
      <c r="B7770" s="44"/>
      <c r="D7770" s="8"/>
      <c r="E7770" s="8"/>
      <c r="F7770" s="8"/>
    </row>
    <row r="7771" spans="2:6">
      <c r="B7771" s="44"/>
      <c r="D7771" s="8"/>
      <c r="E7771" s="8"/>
      <c r="F7771" s="8"/>
    </row>
    <row r="7772" spans="2:6">
      <c r="B7772" s="44"/>
      <c r="D7772" s="8"/>
      <c r="E7772" s="8"/>
      <c r="F7772" s="8"/>
    </row>
    <row r="7773" spans="2:6">
      <c r="B7773" s="44"/>
      <c r="D7773" s="8"/>
      <c r="E7773" s="8"/>
      <c r="F7773" s="8"/>
    </row>
    <row r="7774" spans="2:6">
      <c r="B7774" s="44"/>
      <c r="D7774" s="8"/>
      <c r="E7774" s="8"/>
      <c r="F7774" s="8"/>
    </row>
    <row r="7775" spans="2:6">
      <c r="B7775" s="44"/>
      <c r="D7775" s="8"/>
      <c r="E7775" s="8"/>
      <c r="F7775" s="8"/>
    </row>
    <row r="7776" spans="2:6">
      <c r="B7776" s="44"/>
      <c r="D7776" s="8"/>
      <c r="E7776" s="8"/>
      <c r="F7776" s="8"/>
    </row>
    <row r="7777" spans="2:6">
      <c r="B7777" s="44"/>
      <c r="D7777" s="8"/>
      <c r="E7777" s="8"/>
      <c r="F7777" s="8"/>
    </row>
    <row r="7778" spans="2:6">
      <c r="B7778" s="44"/>
      <c r="D7778" s="8"/>
      <c r="E7778" s="8"/>
      <c r="F7778" s="8"/>
    </row>
    <row r="7779" spans="2:6">
      <c r="B7779" s="44"/>
      <c r="D7779" s="8"/>
      <c r="E7779" s="8"/>
      <c r="F7779" s="8"/>
    </row>
    <row r="7780" spans="2:6">
      <c r="B7780" s="44"/>
      <c r="D7780" s="8"/>
      <c r="E7780" s="8"/>
      <c r="F7780" s="8"/>
    </row>
    <row r="7781" spans="2:6">
      <c r="B7781" s="44"/>
      <c r="D7781" s="8"/>
      <c r="E7781" s="8"/>
      <c r="F7781" s="8"/>
    </row>
    <row r="7782" spans="2:6">
      <c r="B7782" s="44"/>
      <c r="D7782" s="8"/>
      <c r="E7782" s="8"/>
      <c r="F7782" s="8"/>
    </row>
    <row r="7783" spans="2:6">
      <c r="B7783" s="44"/>
      <c r="D7783" s="8"/>
      <c r="E7783" s="8"/>
      <c r="F7783" s="8"/>
    </row>
    <row r="7784" spans="2:6">
      <c r="B7784" s="44"/>
      <c r="D7784" s="8"/>
      <c r="E7784" s="8"/>
      <c r="F7784" s="8"/>
    </row>
    <row r="7785" spans="2:6">
      <c r="B7785" s="44"/>
      <c r="D7785" s="8"/>
      <c r="E7785" s="8"/>
      <c r="F7785" s="8"/>
    </row>
    <row r="7786" spans="2:6">
      <c r="B7786" s="44"/>
      <c r="D7786" s="8"/>
      <c r="E7786" s="8"/>
      <c r="F7786" s="8"/>
    </row>
    <row r="7787" spans="2:6">
      <c r="B7787" s="44"/>
      <c r="D7787" s="8"/>
      <c r="E7787" s="8"/>
      <c r="F7787" s="8"/>
    </row>
    <row r="7788" spans="2:6">
      <c r="B7788" s="44"/>
      <c r="D7788" s="8"/>
      <c r="E7788" s="8"/>
      <c r="F7788" s="8"/>
    </row>
    <row r="7789" spans="2:6">
      <c r="B7789" s="44"/>
      <c r="D7789" s="8"/>
      <c r="E7789" s="8"/>
      <c r="F7789" s="8"/>
    </row>
    <row r="7790" spans="2:6">
      <c r="B7790" s="44"/>
      <c r="D7790" s="8"/>
      <c r="E7790" s="8"/>
      <c r="F7790" s="8"/>
    </row>
    <row r="7791" spans="2:6">
      <c r="B7791" s="44"/>
      <c r="D7791" s="8"/>
      <c r="E7791" s="8"/>
      <c r="F7791" s="8"/>
    </row>
    <row r="7792" spans="2:6">
      <c r="B7792" s="44"/>
      <c r="D7792" s="8"/>
      <c r="E7792" s="8"/>
      <c r="F7792" s="8"/>
    </row>
    <row r="7793" spans="2:6">
      <c r="B7793" s="44"/>
      <c r="D7793" s="8"/>
      <c r="E7793" s="8"/>
      <c r="F7793" s="8"/>
    </row>
    <row r="7794" spans="2:6">
      <c r="B7794" s="44"/>
      <c r="D7794" s="8"/>
      <c r="E7794" s="8"/>
      <c r="F7794" s="8"/>
    </row>
    <row r="7795" spans="2:6">
      <c r="B7795" s="44"/>
      <c r="D7795" s="8"/>
      <c r="E7795" s="8"/>
      <c r="F7795" s="8"/>
    </row>
    <row r="7796" spans="2:6">
      <c r="B7796" s="44"/>
      <c r="D7796" s="8"/>
      <c r="E7796" s="8"/>
      <c r="F7796" s="8"/>
    </row>
    <row r="7797" spans="2:6">
      <c r="B7797" s="44"/>
      <c r="D7797" s="8"/>
      <c r="E7797" s="8"/>
      <c r="F7797" s="8"/>
    </row>
    <row r="7798" spans="2:6">
      <c r="B7798" s="44"/>
      <c r="D7798" s="8"/>
      <c r="E7798" s="8"/>
      <c r="F7798" s="8"/>
    </row>
    <row r="7799" spans="2:6">
      <c r="B7799" s="44"/>
      <c r="D7799" s="8"/>
      <c r="E7799" s="8"/>
      <c r="F7799" s="8"/>
    </row>
    <row r="7800" spans="2:6">
      <c r="B7800" s="44"/>
      <c r="D7800" s="8"/>
      <c r="E7800" s="8"/>
      <c r="F7800" s="8"/>
    </row>
    <row r="7801" spans="2:6">
      <c r="B7801" s="44"/>
      <c r="D7801" s="8"/>
      <c r="E7801" s="8"/>
      <c r="F7801" s="8"/>
    </row>
    <row r="7802" spans="2:6">
      <c r="B7802" s="44"/>
      <c r="D7802" s="8"/>
      <c r="E7802" s="8"/>
      <c r="F7802" s="8"/>
    </row>
    <row r="7803" spans="2:6">
      <c r="B7803" s="44"/>
      <c r="D7803" s="8"/>
      <c r="E7803" s="8"/>
      <c r="F7803" s="8"/>
    </row>
    <row r="7804" spans="2:6">
      <c r="B7804" s="44"/>
      <c r="D7804" s="8"/>
      <c r="E7804" s="8"/>
      <c r="F7804" s="8"/>
    </row>
    <row r="7805" spans="2:6">
      <c r="B7805" s="44"/>
      <c r="D7805" s="8"/>
      <c r="E7805" s="8"/>
      <c r="F7805" s="8"/>
    </row>
    <row r="7806" spans="2:6">
      <c r="B7806" s="44"/>
      <c r="D7806" s="8"/>
      <c r="E7806" s="8"/>
      <c r="F7806" s="8"/>
    </row>
    <row r="7807" spans="2:6">
      <c r="B7807" s="44"/>
      <c r="D7807" s="8"/>
      <c r="E7807" s="8"/>
      <c r="F7807" s="8"/>
    </row>
    <row r="7808" spans="2:6">
      <c r="B7808" s="44"/>
      <c r="D7808" s="8"/>
      <c r="E7808" s="8"/>
      <c r="F7808" s="8"/>
    </row>
    <row r="7809" spans="2:6">
      <c r="B7809" s="44"/>
      <c r="D7809" s="8"/>
      <c r="E7809" s="8"/>
      <c r="F7809" s="8"/>
    </row>
    <row r="7810" spans="2:6">
      <c r="B7810" s="44"/>
      <c r="D7810" s="8"/>
      <c r="E7810" s="8"/>
      <c r="F7810" s="8"/>
    </row>
    <row r="7811" spans="2:6">
      <c r="B7811" s="44"/>
      <c r="D7811" s="8"/>
      <c r="E7811" s="8"/>
      <c r="F7811" s="8"/>
    </row>
    <row r="7812" spans="2:6">
      <c r="B7812" s="44"/>
      <c r="D7812" s="8"/>
      <c r="E7812" s="8"/>
      <c r="F7812" s="8"/>
    </row>
    <row r="7813" spans="2:6">
      <c r="B7813" s="44"/>
      <c r="D7813" s="8"/>
      <c r="E7813" s="8"/>
      <c r="F7813" s="8"/>
    </row>
    <row r="7814" spans="2:6">
      <c r="B7814" s="44"/>
      <c r="D7814" s="8"/>
      <c r="E7814" s="8"/>
      <c r="F7814" s="8"/>
    </row>
    <row r="7815" spans="2:6">
      <c r="B7815" s="44"/>
      <c r="D7815" s="8"/>
      <c r="E7815" s="8"/>
      <c r="F7815" s="8"/>
    </row>
    <row r="7816" spans="2:6">
      <c r="B7816" s="44"/>
      <c r="D7816" s="8"/>
      <c r="E7816" s="8"/>
      <c r="F7816" s="8"/>
    </row>
    <row r="7817" spans="2:6">
      <c r="B7817" s="44"/>
      <c r="D7817" s="8"/>
      <c r="E7817" s="8"/>
      <c r="F7817" s="8"/>
    </row>
    <row r="7818" spans="2:6">
      <c r="B7818" s="44"/>
      <c r="D7818" s="8"/>
      <c r="E7818" s="8"/>
      <c r="F7818" s="8"/>
    </row>
    <row r="7819" spans="2:6">
      <c r="B7819" s="44"/>
      <c r="D7819" s="8"/>
      <c r="E7819" s="8"/>
      <c r="F7819" s="8"/>
    </row>
    <row r="7820" spans="2:6">
      <c r="B7820" s="44"/>
      <c r="D7820" s="8"/>
      <c r="E7820" s="8"/>
      <c r="F7820" s="8"/>
    </row>
    <row r="7821" spans="2:6">
      <c r="B7821" s="44"/>
      <c r="D7821" s="8"/>
      <c r="E7821" s="8"/>
      <c r="F7821" s="8"/>
    </row>
    <row r="7822" spans="2:6">
      <c r="B7822" s="44"/>
      <c r="D7822" s="8"/>
      <c r="E7822" s="8"/>
      <c r="F7822" s="8"/>
    </row>
    <row r="7823" spans="2:6">
      <c r="B7823" s="44"/>
      <c r="D7823" s="8"/>
      <c r="E7823" s="8"/>
      <c r="F7823" s="8"/>
    </row>
    <row r="7824" spans="2:6">
      <c r="B7824" s="44"/>
      <c r="D7824" s="8"/>
      <c r="E7824" s="8"/>
      <c r="F7824" s="8"/>
    </row>
    <row r="7825" spans="2:6">
      <c r="B7825" s="44"/>
      <c r="D7825" s="8"/>
      <c r="E7825" s="8"/>
      <c r="F7825" s="8"/>
    </row>
    <row r="7826" spans="2:6">
      <c r="B7826" s="44"/>
      <c r="D7826" s="8"/>
      <c r="E7826" s="8"/>
      <c r="F7826" s="8"/>
    </row>
    <row r="7827" spans="2:6">
      <c r="B7827" s="44"/>
      <c r="D7827" s="8"/>
      <c r="E7827" s="8"/>
      <c r="F7827" s="8"/>
    </row>
    <row r="7828" spans="2:6">
      <c r="B7828" s="44"/>
      <c r="D7828" s="8"/>
      <c r="E7828" s="8"/>
      <c r="F7828" s="8"/>
    </row>
    <row r="7829" spans="2:6">
      <c r="B7829" s="44"/>
      <c r="D7829" s="8"/>
      <c r="E7829" s="8"/>
      <c r="F7829" s="8"/>
    </row>
    <row r="7830" spans="2:6">
      <c r="B7830" s="44"/>
      <c r="D7830" s="8"/>
      <c r="E7830" s="8"/>
      <c r="F7830" s="8"/>
    </row>
    <row r="7831" spans="2:6">
      <c r="B7831" s="44"/>
      <c r="D7831" s="8"/>
      <c r="E7831" s="8"/>
      <c r="F7831" s="8"/>
    </row>
    <row r="7832" spans="2:6">
      <c r="B7832" s="44"/>
      <c r="D7832" s="8"/>
      <c r="E7832" s="8"/>
      <c r="F7832" s="8"/>
    </row>
    <row r="7833" spans="2:6">
      <c r="B7833" s="44"/>
      <c r="D7833" s="8"/>
      <c r="E7833" s="8"/>
      <c r="F7833" s="8"/>
    </row>
    <row r="7834" spans="2:6">
      <c r="B7834" s="44"/>
      <c r="D7834" s="8"/>
      <c r="E7834" s="8"/>
      <c r="F7834" s="8"/>
    </row>
    <row r="7835" spans="2:6">
      <c r="B7835" s="44"/>
      <c r="D7835" s="8"/>
      <c r="E7835" s="8"/>
      <c r="F7835" s="8"/>
    </row>
    <row r="7836" spans="2:6">
      <c r="B7836" s="44"/>
      <c r="D7836" s="8"/>
      <c r="E7836" s="8"/>
      <c r="F7836" s="8"/>
    </row>
    <row r="7837" spans="2:6">
      <c r="B7837" s="44"/>
      <c r="D7837" s="8"/>
      <c r="E7837" s="8"/>
      <c r="F7837" s="8"/>
    </row>
    <row r="7838" spans="2:6">
      <c r="B7838" s="44"/>
      <c r="D7838" s="8"/>
      <c r="E7838" s="8"/>
      <c r="F7838" s="8"/>
    </row>
    <row r="7839" spans="2:6">
      <c r="B7839" s="44"/>
      <c r="D7839" s="8"/>
      <c r="E7839" s="8"/>
      <c r="F7839" s="8"/>
    </row>
    <row r="7840" spans="2:6">
      <c r="B7840" s="44"/>
      <c r="D7840" s="8"/>
      <c r="E7840" s="8"/>
      <c r="F7840" s="8"/>
    </row>
    <row r="7841" spans="2:6">
      <c r="B7841" s="44"/>
      <c r="D7841" s="8"/>
      <c r="E7841" s="8"/>
      <c r="F7841" s="8"/>
    </row>
    <row r="7842" spans="2:6">
      <c r="B7842" s="44"/>
      <c r="D7842" s="8"/>
      <c r="E7842" s="8"/>
      <c r="F7842" s="8"/>
    </row>
    <row r="7843" spans="2:6">
      <c r="B7843" s="44"/>
      <c r="D7843" s="8"/>
      <c r="E7843" s="8"/>
      <c r="F7843" s="8"/>
    </row>
    <row r="7844" spans="2:6">
      <c r="B7844" s="44"/>
      <c r="D7844" s="8"/>
      <c r="E7844" s="8"/>
      <c r="F7844" s="8"/>
    </row>
    <row r="7845" spans="2:6">
      <c r="B7845" s="44"/>
      <c r="D7845" s="8"/>
      <c r="E7845" s="8"/>
      <c r="F7845" s="8"/>
    </row>
    <row r="7846" spans="2:6">
      <c r="B7846" s="44"/>
      <c r="D7846" s="8"/>
      <c r="E7846" s="8"/>
      <c r="F7846" s="8"/>
    </row>
    <row r="7847" spans="2:6">
      <c r="B7847" s="44"/>
      <c r="D7847" s="8"/>
      <c r="E7847" s="8"/>
      <c r="F7847" s="8"/>
    </row>
    <row r="7848" spans="2:6">
      <c r="B7848" s="44"/>
      <c r="D7848" s="8"/>
      <c r="E7848" s="8"/>
      <c r="F7848" s="8"/>
    </row>
    <row r="7849" spans="2:6">
      <c r="B7849" s="44"/>
      <c r="D7849" s="8"/>
      <c r="E7849" s="8"/>
      <c r="F7849" s="8"/>
    </row>
    <row r="7850" spans="2:6">
      <c r="B7850" s="44"/>
      <c r="D7850" s="8"/>
      <c r="E7850" s="8"/>
      <c r="F7850" s="8"/>
    </row>
    <row r="7851" spans="2:6">
      <c r="B7851" s="44"/>
      <c r="D7851" s="8"/>
      <c r="E7851" s="8"/>
      <c r="F7851" s="8"/>
    </row>
    <row r="7852" spans="2:6">
      <c r="B7852" s="44"/>
      <c r="D7852" s="8"/>
      <c r="E7852" s="8"/>
      <c r="F7852" s="8"/>
    </row>
    <row r="7853" spans="2:6">
      <c r="B7853" s="44"/>
      <c r="D7853" s="8"/>
      <c r="E7853" s="8"/>
      <c r="F7853" s="8"/>
    </row>
    <row r="7854" spans="2:6">
      <c r="B7854" s="44"/>
      <c r="D7854" s="8"/>
      <c r="E7854" s="8"/>
      <c r="F7854" s="8"/>
    </row>
    <row r="7855" spans="2:6">
      <c r="B7855" s="44"/>
      <c r="D7855" s="8"/>
      <c r="E7855" s="8"/>
      <c r="F7855" s="8"/>
    </row>
    <row r="7856" spans="2:6">
      <c r="B7856" s="44"/>
      <c r="D7856" s="8"/>
      <c r="E7856" s="8"/>
      <c r="F7856" s="8"/>
    </row>
    <row r="7857" spans="2:6">
      <c r="B7857" s="44"/>
      <c r="D7857" s="8"/>
      <c r="E7857" s="8"/>
      <c r="F7857" s="8"/>
    </row>
    <row r="7858" spans="2:6">
      <c r="B7858" s="44"/>
      <c r="D7858" s="8"/>
      <c r="E7858" s="8"/>
      <c r="F7858" s="8"/>
    </row>
    <row r="7859" spans="2:6">
      <c r="B7859" s="44"/>
      <c r="D7859" s="8"/>
      <c r="E7859" s="8"/>
      <c r="F7859" s="8"/>
    </row>
    <row r="7860" spans="2:6">
      <c r="B7860" s="44"/>
      <c r="D7860" s="8"/>
      <c r="E7860" s="8"/>
      <c r="F7860" s="8"/>
    </row>
    <row r="7861" spans="2:6">
      <c r="B7861" s="44"/>
      <c r="D7861" s="8"/>
      <c r="E7861" s="8"/>
      <c r="F7861" s="8"/>
    </row>
    <row r="7862" spans="2:6">
      <c r="B7862" s="44"/>
      <c r="D7862" s="8"/>
      <c r="E7862" s="8"/>
      <c r="F7862" s="8"/>
    </row>
    <row r="7863" spans="2:6">
      <c r="B7863" s="44"/>
      <c r="D7863" s="8"/>
      <c r="E7863" s="8"/>
      <c r="F7863" s="8"/>
    </row>
    <row r="7864" spans="2:6">
      <c r="B7864" s="44"/>
      <c r="D7864" s="8"/>
      <c r="E7864" s="8"/>
      <c r="F7864" s="8"/>
    </row>
    <row r="7865" spans="2:6">
      <c r="B7865" s="44"/>
      <c r="D7865" s="8"/>
      <c r="E7865" s="8"/>
      <c r="F7865" s="8"/>
    </row>
    <row r="7866" spans="2:6">
      <c r="B7866" s="44"/>
      <c r="D7866" s="8"/>
      <c r="E7866" s="8"/>
      <c r="F7866" s="8"/>
    </row>
    <row r="7867" spans="2:6">
      <c r="B7867" s="44"/>
      <c r="D7867" s="8"/>
      <c r="E7867" s="8"/>
      <c r="F7867" s="8"/>
    </row>
    <row r="7868" spans="2:6">
      <c r="B7868" s="44"/>
      <c r="D7868" s="8"/>
      <c r="E7868" s="8"/>
      <c r="F7868" s="8"/>
    </row>
    <row r="7869" spans="2:6">
      <c r="B7869" s="44"/>
      <c r="D7869" s="8"/>
      <c r="E7869" s="8"/>
      <c r="F7869" s="8"/>
    </row>
    <row r="7870" spans="2:6">
      <c r="B7870" s="44"/>
      <c r="D7870" s="8"/>
      <c r="E7870" s="8"/>
      <c r="F7870" s="8"/>
    </row>
    <row r="7871" spans="2:6">
      <c r="B7871" s="44"/>
      <c r="D7871" s="8"/>
      <c r="E7871" s="8"/>
      <c r="F7871" s="8"/>
    </row>
    <row r="7872" spans="2:6">
      <c r="B7872" s="44"/>
      <c r="D7872" s="8"/>
      <c r="E7872" s="8"/>
      <c r="F7872" s="8"/>
    </row>
    <row r="7873" spans="2:6">
      <c r="B7873" s="44"/>
      <c r="D7873" s="8"/>
      <c r="E7873" s="8"/>
      <c r="F7873" s="8"/>
    </row>
    <row r="7874" spans="2:6">
      <c r="B7874" s="44"/>
      <c r="D7874" s="8"/>
      <c r="E7874" s="8"/>
      <c r="F7874" s="8"/>
    </row>
    <row r="7875" spans="2:6">
      <c r="B7875" s="44"/>
      <c r="D7875" s="8"/>
      <c r="E7875" s="8"/>
      <c r="F7875" s="8"/>
    </row>
    <row r="7876" spans="2:6">
      <c r="B7876" s="44"/>
      <c r="D7876" s="8"/>
      <c r="E7876" s="8"/>
      <c r="F7876" s="8"/>
    </row>
    <row r="7877" spans="2:6">
      <c r="B7877" s="44"/>
      <c r="D7877" s="8"/>
      <c r="E7877" s="8"/>
      <c r="F7877" s="8"/>
    </row>
    <row r="7878" spans="2:6">
      <c r="B7878" s="44"/>
      <c r="D7878" s="8"/>
      <c r="E7878" s="8"/>
      <c r="F7878" s="8"/>
    </row>
    <row r="7879" spans="2:6">
      <c r="B7879" s="44"/>
      <c r="D7879" s="8"/>
      <c r="E7879" s="8"/>
      <c r="F7879" s="8"/>
    </row>
    <row r="7880" spans="2:6">
      <c r="B7880" s="44"/>
      <c r="D7880" s="8"/>
      <c r="E7880" s="8"/>
      <c r="F7880" s="8"/>
    </row>
    <row r="7881" spans="2:6">
      <c r="B7881" s="44"/>
      <c r="D7881" s="8"/>
      <c r="E7881" s="8"/>
      <c r="F7881" s="8"/>
    </row>
    <row r="7882" spans="2:6">
      <c r="B7882" s="44"/>
      <c r="D7882" s="8"/>
      <c r="E7882" s="8"/>
      <c r="F7882" s="8"/>
    </row>
    <row r="7883" spans="2:6">
      <c r="B7883" s="44"/>
      <c r="D7883" s="8"/>
      <c r="E7883" s="8"/>
      <c r="F7883" s="8"/>
    </row>
    <row r="7884" spans="2:6">
      <c r="B7884" s="44"/>
      <c r="D7884" s="8"/>
      <c r="E7884" s="8"/>
      <c r="F7884" s="8"/>
    </row>
    <row r="7885" spans="2:6">
      <c r="B7885" s="44"/>
      <c r="D7885" s="8"/>
      <c r="E7885" s="8"/>
      <c r="F7885" s="8"/>
    </row>
    <row r="7886" spans="2:6">
      <c r="B7886" s="44"/>
      <c r="D7886" s="8"/>
      <c r="E7886" s="8"/>
      <c r="F7886" s="8"/>
    </row>
    <row r="7887" spans="2:6">
      <c r="B7887" s="44"/>
      <c r="D7887" s="8"/>
      <c r="E7887" s="8"/>
      <c r="F7887" s="8"/>
    </row>
    <row r="7888" spans="2:6">
      <c r="B7888" s="44"/>
      <c r="D7888" s="8"/>
      <c r="E7888" s="8"/>
      <c r="F7888" s="8"/>
    </row>
    <row r="7889" spans="2:6">
      <c r="B7889" s="44"/>
      <c r="D7889" s="8"/>
      <c r="E7889" s="8"/>
      <c r="F7889" s="8"/>
    </row>
    <row r="7890" spans="2:6">
      <c r="B7890" s="44"/>
      <c r="D7890" s="8"/>
      <c r="E7890" s="8"/>
      <c r="F7890" s="8"/>
    </row>
    <row r="7891" spans="2:6">
      <c r="B7891" s="44"/>
      <c r="D7891" s="8"/>
      <c r="E7891" s="8"/>
      <c r="F7891" s="8"/>
    </row>
    <row r="7892" spans="2:6">
      <c r="B7892" s="44"/>
      <c r="D7892" s="8"/>
      <c r="E7892" s="8"/>
      <c r="F7892" s="8"/>
    </row>
    <row r="7893" spans="2:6">
      <c r="B7893" s="44"/>
      <c r="D7893" s="8"/>
      <c r="E7893" s="8"/>
      <c r="F7893" s="8"/>
    </row>
    <row r="7894" spans="2:6">
      <c r="B7894" s="44"/>
      <c r="D7894" s="8"/>
      <c r="E7894" s="8"/>
      <c r="F7894" s="8"/>
    </row>
    <row r="7895" spans="2:6">
      <c r="B7895" s="44"/>
      <c r="D7895" s="8"/>
      <c r="E7895" s="8"/>
      <c r="F7895" s="8"/>
    </row>
    <row r="7896" spans="2:6">
      <c r="B7896" s="44"/>
      <c r="D7896" s="8"/>
      <c r="E7896" s="8"/>
      <c r="F7896" s="8"/>
    </row>
    <row r="7897" spans="2:6">
      <c r="B7897" s="44"/>
      <c r="D7897" s="8"/>
      <c r="E7897" s="8"/>
      <c r="F7897" s="8"/>
    </row>
    <row r="7898" spans="2:6">
      <c r="B7898" s="44"/>
      <c r="D7898" s="8"/>
      <c r="E7898" s="8"/>
      <c r="F7898" s="8"/>
    </row>
    <row r="7899" spans="2:6">
      <c r="B7899" s="44"/>
      <c r="D7899" s="8"/>
      <c r="E7899" s="8"/>
      <c r="F7899" s="8"/>
    </row>
    <row r="7900" spans="2:6">
      <c r="B7900" s="44"/>
      <c r="D7900" s="8"/>
      <c r="E7900" s="8"/>
      <c r="F7900" s="8"/>
    </row>
    <row r="7901" spans="2:6">
      <c r="B7901" s="44"/>
      <c r="D7901" s="8"/>
      <c r="E7901" s="8"/>
      <c r="F7901" s="8"/>
    </row>
    <row r="7902" spans="2:6">
      <c r="B7902" s="44"/>
      <c r="D7902" s="8"/>
      <c r="E7902" s="8"/>
      <c r="F7902" s="8"/>
    </row>
    <row r="7903" spans="2:6">
      <c r="B7903" s="44"/>
      <c r="D7903" s="8"/>
      <c r="E7903" s="8"/>
      <c r="F7903" s="8"/>
    </row>
    <row r="7904" spans="2:6">
      <c r="B7904" s="44"/>
      <c r="D7904" s="8"/>
      <c r="E7904" s="8"/>
      <c r="F7904" s="8"/>
    </row>
    <row r="7905" spans="2:6">
      <c r="B7905" s="44"/>
      <c r="D7905" s="8"/>
      <c r="E7905" s="8"/>
      <c r="F7905" s="8"/>
    </row>
    <row r="7906" spans="2:6">
      <c r="B7906" s="44"/>
      <c r="D7906" s="8"/>
      <c r="E7906" s="8"/>
      <c r="F7906" s="8"/>
    </row>
    <row r="7907" spans="2:6">
      <c r="B7907" s="44"/>
      <c r="D7907" s="8"/>
      <c r="E7907" s="8"/>
      <c r="F7907" s="8"/>
    </row>
    <row r="7908" spans="2:6">
      <c r="B7908" s="44"/>
      <c r="D7908" s="8"/>
      <c r="E7908" s="8"/>
      <c r="F7908" s="8"/>
    </row>
    <row r="7909" spans="2:6">
      <c r="B7909" s="44"/>
      <c r="D7909" s="8"/>
      <c r="E7909" s="8"/>
      <c r="F7909" s="8"/>
    </row>
    <row r="7910" spans="2:6">
      <c r="B7910" s="44"/>
      <c r="D7910" s="8"/>
      <c r="E7910" s="8"/>
      <c r="F7910" s="8"/>
    </row>
    <row r="7911" spans="2:6">
      <c r="B7911" s="44"/>
      <c r="D7911" s="8"/>
      <c r="E7911" s="8"/>
      <c r="F7911" s="8"/>
    </row>
    <row r="7912" spans="2:6">
      <c r="B7912" s="44"/>
      <c r="D7912" s="8"/>
      <c r="E7912" s="8"/>
      <c r="F7912" s="8"/>
    </row>
    <row r="7913" spans="2:6">
      <c r="B7913" s="44"/>
      <c r="D7913" s="8"/>
      <c r="E7913" s="8"/>
      <c r="F7913" s="8"/>
    </row>
    <row r="7914" spans="2:6">
      <c r="B7914" s="44"/>
      <c r="D7914" s="8"/>
      <c r="E7914" s="8"/>
      <c r="F7914" s="8"/>
    </row>
    <row r="7915" spans="2:6">
      <c r="B7915" s="44"/>
      <c r="D7915" s="8"/>
      <c r="E7915" s="8"/>
      <c r="F7915" s="8"/>
    </row>
    <row r="7916" spans="2:6">
      <c r="B7916" s="44"/>
      <c r="D7916" s="8"/>
      <c r="E7916" s="8"/>
      <c r="F7916" s="8"/>
    </row>
    <row r="7917" spans="2:6">
      <c r="B7917" s="44"/>
      <c r="D7917" s="8"/>
      <c r="E7917" s="8"/>
      <c r="F7917" s="8"/>
    </row>
    <row r="7918" spans="2:6">
      <c r="B7918" s="44"/>
      <c r="D7918" s="8"/>
      <c r="E7918" s="8"/>
      <c r="F7918" s="8"/>
    </row>
    <row r="7919" spans="2:6">
      <c r="B7919" s="44"/>
      <c r="D7919" s="8"/>
      <c r="E7919" s="8"/>
      <c r="F7919" s="8"/>
    </row>
    <row r="7920" spans="2:6">
      <c r="B7920" s="44"/>
      <c r="D7920" s="8"/>
      <c r="E7920" s="8"/>
      <c r="F7920" s="8"/>
    </row>
    <row r="7921" spans="2:6">
      <c r="B7921" s="44"/>
      <c r="D7921" s="8"/>
      <c r="E7921" s="8"/>
      <c r="F7921" s="8"/>
    </row>
    <row r="7922" spans="2:6">
      <c r="B7922" s="44"/>
      <c r="D7922" s="8"/>
      <c r="E7922" s="8"/>
      <c r="F7922" s="8"/>
    </row>
    <row r="7923" spans="2:6">
      <c r="B7923" s="44"/>
      <c r="D7923" s="8"/>
      <c r="E7923" s="8"/>
      <c r="F7923" s="8"/>
    </row>
    <row r="7924" spans="2:6">
      <c r="B7924" s="44"/>
      <c r="D7924" s="8"/>
      <c r="E7924" s="8"/>
      <c r="F7924" s="8"/>
    </row>
    <row r="7925" spans="2:6">
      <c r="B7925" s="44"/>
      <c r="D7925" s="8"/>
      <c r="E7925" s="8"/>
      <c r="F7925" s="8"/>
    </row>
    <row r="7926" spans="2:6">
      <c r="B7926" s="44"/>
      <c r="D7926" s="8"/>
      <c r="E7926" s="8"/>
      <c r="F7926" s="8"/>
    </row>
    <row r="7927" spans="2:6">
      <c r="B7927" s="44"/>
      <c r="D7927" s="8"/>
      <c r="E7927" s="8"/>
      <c r="F7927" s="8"/>
    </row>
    <row r="7928" spans="2:6">
      <c r="B7928" s="44"/>
      <c r="D7928" s="8"/>
      <c r="E7928" s="8"/>
      <c r="F7928" s="8"/>
    </row>
    <row r="7929" spans="2:6">
      <c r="B7929" s="44"/>
      <c r="D7929" s="8"/>
      <c r="E7929" s="8"/>
      <c r="F7929" s="8"/>
    </row>
    <row r="7930" spans="2:6">
      <c r="B7930" s="44"/>
      <c r="D7930" s="8"/>
      <c r="E7930" s="8"/>
      <c r="F7930" s="8"/>
    </row>
    <row r="7931" spans="2:6">
      <c r="B7931" s="44"/>
      <c r="D7931" s="8"/>
      <c r="E7931" s="8"/>
      <c r="F7931" s="8"/>
    </row>
    <row r="7932" spans="2:6">
      <c r="B7932" s="44"/>
      <c r="D7932" s="8"/>
      <c r="E7932" s="8"/>
      <c r="F7932" s="8"/>
    </row>
    <row r="7933" spans="2:6">
      <c r="B7933" s="44"/>
      <c r="D7933" s="8"/>
      <c r="E7933" s="8"/>
      <c r="F7933" s="8"/>
    </row>
    <row r="7934" spans="2:6">
      <c r="B7934" s="44"/>
      <c r="D7934" s="8"/>
      <c r="E7934" s="8"/>
      <c r="F7934" s="8"/>
    </row>
    <row r="7935" spans="2:6">
      <c r="B7935" s="44"/>
      <c r="D7935" s="8"/>
      <c r="E7935" s="8"/>
      <c r="F7935" s="8"/>
    </row>
    <row r="7936" spans="2:6">
      <c r="B7936" s="44"/>
      <c r="D7936" s="8"/>
      <c r="E7936" s="8"/>
      <c r="F7936" s="8"/>
    </row>
    <row r="7937" spans="2:6">
      <c r="B7937" s="44"/>
      <c r="D7937" s="8"/>
      <c r="E7937" s="8"/>
      <c r="F7937" s="8"/>
    </row>
    <row r="7938" spans="2:6">
      <c r="B7938" s="44"/>
      <c r="D7938" s="8"/>
      <c r="E7938" s="8"/>
      <c r="F7938" s="8"/>
    </row>
    <row r="7939" spans="2:6">
      <c r="B7939" s="44"/>
      <c r="D7939" s="8"/>
      <c r="E7939" s="8"/>
      <c r="F7939" s="8"/>
    </row>
    <row r="7940" spans="2:6">
      <c r="B7940" s="44"/>
      <c r="D7940" s="8"/>
      <c r="E7940" s="8"/>
      <c r="F7940" s="8"/>
    </row>
    <row r="7941" spans="2:6">
      <c r="B7941" s="44"/>
      <c r="D7941" s="8"/>
      <c r="E7941" s="8"/>
      <c r="F7941" s="8"/>
    </row>
    <row r="7942" spans="2:6">
      <c r="B7942" s="44"/>
      <c r="D7942" s="8"/>
      <c r="E7942" s="8"/>
      <c r="F7942" s="8"/>
    </row>
    <row r="7943" spans="2:6">
      <c r="B7943" s="44"/>
      <c r="D7943" s="8"/>
      <c r="E7943" s="8"/>
      <c r="F7943" s="8"/>
    </row>
    <row r="7944" spans="2:6">
      <c r="B7944" s="44"/>
      <c r="D7944" s="8"/>
      <c r="E7944" s="8"/>
      <c r="F7944" s="8"/>
    </row>
    <row r="7945" spans="2:6">
      <c r="B7945" s="44"/>
      <c r="D7945" s="8"/>
      <c r="E7945" s="8"/>
      <c r="F7945" s="8"/>
    </row>
    <row r="7946" spans="2:6">
      <c r="B7946" s="44"/>
      <c r="D7946" s="8"/>
      <c r="E7946" s="8"/>
      <c r="F7946" s="8"/>
    </row>
    <row r="7947" spans="2:6">
      <c r="B7947" s="44"/>
      <c r="D7947" s="8"/>
      <c r="E7947" s="8"/>
      <c r="F7947" s="8"/>
    </row>
    <row r="7948" spans="2:6">
      <c r="B7948" s="44"/>
      <c r="D7948" s="8"/>
      <c r="E7948" s="8"/>
      <c r="F7948" s="8"/>
    </row>
    <row r="7949" spans="2:6">
      <c r="B7949" s="44"/>
      <c r="D7949" s="8"/>
      <c r="E7949" s="8"/>
      <c r="F7949" s="8"/>
    </row>
    <row r="7950" spans="2:6">
      <c r="B7950" s="44"/>
      <c r="D7950" s="8"/>
      <c r="E7950" s="8"/>
      <c r="F7950" s="8"/>
    </row>
    <row r="7951" spans="2:6">
      <c r="B7951" s="44"/>
      <c r="D7951" s="8"/>
      <c r="E7951" s="8"/>
      <c r="F7951" s="8"/>
    </row>
    <row r="7952" spans="2:6">
      <c r="B7952" s="44"/>
      <c r="D7952" s="8"/>
      <c r="E7952" s="8"/>
      <c r="F7952" s="8"/>
    </row>
    <row r="7953" spans="2:6">
      <c r="B7953" s="44"/>
      <c r="D7953" s="8"/>
      <c r="E7953" s="8"/>
      <c r="F7953" s="8"/>
    </row>
    <row r="7954" spans="2:6">
      <c r="B7954" s="44"/>
      <c r="D7954" s="8"/>
      <c r="E7954" s="8"/>
      <c r="F7954" s="8"/>
    </row>
    <row r="7955" spans="2:6">
      <c r="B7955" s="44"/>
      <c r="D7955" s="8"/>
      <c r="E7955" s="8"/>
      <c r="F7955" s="8"/>
    </row>
    <row r="7956" spans="2:6">
      <c r="B7956" s="44"/>
      <c r="D7956" s="8"/>
      <c r="E7956" s="8"/>
      <c r="F7956" s="8"/>
    </row>
    <row r="7957" spans="2:6">
      <c r="B7957" s="44"/>
      <c r="D7957" s="8"/>
      <c r="E7957" s="8"/>
      <c r="F7957" s="8"/>
    </row>
    <row r="7958" spans="2:6">
      <c r="B7958" s="44"/>
      <c r="D7958" s="8"/>
      <c r="E7958" s="8"/>
      <c r="F7958" s="8"/>
    </row>
    <row r="7959" spans="2:6">
      <c r="B7959" s="44"/>
      <c r="D7959" s="8"/>
      <c r="E7959" s="8"/>
      <c r="F7959" s="8"/>
    </row>
    <row r="7960" spans="2:6">
      <c r="B7960" s="44"/>
      <c r="D7960" s="8"/>
      <c r="E7960" s="8"/>
      <c r="F7960" s="8"/>
    </row>
    <row r="7961" spans="2:6">
      <c r="B7961" s="44"/>
      <c r="D7961" s="8"/>
      <c r="E7961" s="8"/>
      <c r="F7961" s="8"/>
    </row>
    <row r="7962" spans="2:6">
      <c r="B7962" s="44"/>
      <c r="D7962" s="8"/>
      <c r="E7962" s="8"/>
      <c r="F7962" s="8"/>
    </row>
    <row r="7963" spans="2:6">
      <c r="B7963" s="44"/>
      <c r="D7963" s="8"/>
      <c r="E7963" s="8"/>
      <c r="F7963" s="8"/>
    </row>
    <row r="7964" spans="2:6">
      <c r="B7964" s="44"/>
      <c r="D7964" s="8"/>
      <c r="E7964" s="8"/>
      <c r="F7964" s="8"/>
    </row>
    <row r="7965" spans="2:6">
      <c r="B7965" s="44"/>
      <c r="D7965" s="8"/>
      <c r="E7965" s="8"/>
      <c r="F7965" s="8"/>
    </row>
    <row r="7966" spans="2:6">
      <c r="B7966" s="44"/>
      <c r="D7966" s="8"/>
      <c r="E7966" s="8"/>
      <c r="F7966" s="8"/>
    </row>
    <row r="7967" spans="2:6">
      <c r="B7967" s="44"/>
      <c r="D7967" s="8"/>
      <c r="E7967" s="8"/>
      <c r="F7967" s="8"/>
    </row>
    <row r="7968" spans="2:6">
      <c r="B7968" s="44"/>
      <c r="D7968" s="8"/>
      <c r="E7968" s="8"/>
      <c r="F7968" s="8"/>
    </row>
    <row r="7969" spans="2:6">
      <c r="B7969" s="44"/>
      <c r="D7969" s="8"/>
      <c r="E7969" s="8"/>
      <c r="F7969" s="8"/>
    </row>
    <row r="7970" spans="2:6">
      <c r="B7970" s="44"/>
      <c r="D7970" s="8"/>
      <c r="E7970" s="8"/>
      <c r="F7970" s="8"/>
    </row>
    <row r="7971" spans="2:6">
      <c r="B7971" s="44"/>
      <c r="D7971" s="8"/>
      <c r="E7971" s="8"/>
      <c r="F7971" s="8"/>
    </row>
    <row r="7972" spans="2:6">
      <c r="B7972" s="44"/>
      <c r="D7972" s="8"/>
      <c r="E7972" s="8"/>
      <c r="F7972" s="8"/>
    </row>
    <row r="7973" spans="2:6">
      <c r="B7973" s="44"/>
      <c r="D7973" s="8"/>
      <c r="E7973" s="8"/>
      <c r="F7973" s="8"/>
    </row>
    <row r="7974" spans="2:6">
      <c r="B7974" s="44"/>
      <c r="D7974" s="8"/>
      <c r="E7974" s="8"/>
      <c r="F7974" s="8"/>
    </row>
    <row r="7975" spans="2:6">
      <c r="B7975" s="44"/>
      <c r="D7975" s="8"/>
      <c r="E7975" s="8"/>
      <c r="F7975" s="8"/>
    </row>
    <row r="7976" spans="2:6">
      <c r="B7976" s="44"/>
      <c r="D7976" s="8"/>
      <c r="E7976" s="8"/>
      <c r="F7976" s="8"/>
    </row>
    <row r="7977" spans="2:6">
      <c r="B7977" s="44"/>
      <c r="D7977" s="8"/>
      <c r="E7977" s="8"/>
      <c r="F7977" s="8"/>
    </row>
    <row r="7978" spans="2:6">
      <c r="B7978" s="44"/>
      <c r="D7978" s="8"/>
      <c r="E7978" s="8"/>
      <c r="F7978" s="8"/>
    </row>
    <row r="7979" spans="2:6">
      <c r="B7979" s="44"/>
      <c r="D7979" s="8"/>
      <c r="E7979" s="8"/>
      <c r="F7979" s="8"/>
    </row>
    <row r="7980" spans="2:6">
      <c r="B7980" s="44"/>
      <c r="D7980" s="8"/>
      <c r="E7980" s="8"/>
      <c r="F7980" s="8"/>
    </row>
    <row r="7981" spans="2:6">
      <c r="B7981" s="44"/>
      <c r="D7981" s="8"/>
      <c r="E7981" s="8"/>
      <c r="F7981" s="8"/>
    </row>
    <row r="7982" spans="2:6">
      <c r="B7982" s="44"/>
      <c r="D7982" s="8"/>
      <c r="E7982" s="8"/>
      <c r="F7982" s="8"/>
    </row>
    <row r="7983" spans="2:6">
      <c r="B7983" s="44"/>
      <c r="D7983" s="8"/>
      <c r="E7983" s="8"/>
      <c r="F7983" s="8"/>
    </row>
    <row r="7984" spans="2:6">
      <c r="B7984" s="44"/>
      <c r="D7984" s="8"/>
      <c r="E7984" s="8"/>
      <c r="F7984" s="8"/>
    </row>
    <row r="7985" spans="2:6">
      <c r="B7985" s="44"/>
      <c r="D7985" s="8"/>
      <c r="E7985" s="8"/>
      <c r="F7985" s="8"/>
    </row>
    <row r="7986" spans="2:6">
      <c r="B7986" s="44"/>
      <c r="D7986" s="8"/>
      <c r="E7986" s="8"/>
      <c r="F7986" s="8"/>
    </row>
    <row r="7987" spans="2:6">
      <c r="B7987" s="44"/>
      <c r="D7987" s="8"/>
      <c r="E7987" s="8"/>
      <c r="F7987" s="8"/>
    </row>
    <row r="7988" spans="2:6">
      <c r="B7988" s="44"/>
      <c r="D7988" s="8"/>
      <c r="E7988" s="8"/>
      <c r="F7988" s="8"/>
    </row>
    <row r="7989" spans="2:6">
      <c r="B7989" s="44"/>
      <c r="D7989" s="8"/>
      <c r="E7989" s="8"/>
      <c r="F7989" s="8"/>
    </row>
    <row r="7990" spans="2:6">
      <c r="B7990" s="44"/>
      <c r="D7990" s="8"/>
      <c r="E7990" s="8"/>
      <c r="F7990" s="8"/>
    </row>
    <row r="7991" spans="2:6">
      <c r="B7991" s="44"/>
      <c r="D7991" s="8"/>
      <c r="E7991" s="8"/>
      <c r="F7991" s="8"/>
    </row>
    <row r="7992" spans="2:6">
      <c r="B7992" s="44"/>
      <c r="D7992" s="8"/>
      <c r="E7992" s="8"/>
      <c r="F7992" s="8"/>
    </row>
    <row r="7993" spans="2:6">
      <c r="B7993" s="44"/>
      <c r="D7993" s="8"/>
      <c r="E7993" s="8"/>
      <c r="F7993" s="8"/>
    </row>
    <row r="7994" spans="2:6">
      <c r="B7994" s="44"/>
      <c r="D7994" s="8"/>
      <c r="E7994" s="8"/>
      <c r="F7994" s="8"/>
    </row>
    <row r="7995" spans="2:6">
      <c r="B7995" s="44"/>
      <c r="D7995" s="8"/>
      <c r="E7995" s="8"/>
      <c r="F7995" s="8"/>
    </row>
    <row r="7996" spans="2:6">
      <c r="B7996" s="44"/>
      <c r="D7996" s="8"/>
      <c r="E7996" s="8"/>
      <c r="F7996" s="8"/>
    </row>
    <row r="7997" spans="2:6">
      <c r="B7997" s="44"/>
      <c r="D7997" s="8"/>
      <c r="E7997" s="8"/>
      <c r="F7997" s="8"/>
    </row>
    <row r="7998" spans="2:6">
      <c r="B7998" s="44"/>
      <c r="D7998" s="8"/>
      <c r="E7998" s="8"/>
      <c r="F7998" s="8"/>
    </row>
    <row r="7999" spans="2:6">
      <c r="B7999" s="44"/>
      <c r="D7999" s="8"/>
      <c r="E7999" s="8"/>
      <c r="F7999" s="8"/>
    </row>
    <row r="8000" spans="2:6">
      <c r="B8000" s="44"/>
      <c r="D8000" s="8"/>
      <c r="E8000" s="8"/>
      <c r="F8000" s="8"/>
    </row>
    <row r="8001" spans="2:6">
      <c r="B8001" s="44"/>
      <c r="D8001" s="8"/>
      <c r="E8001" s="8"/>
      <c r="F8001" s="8"/>
    </row>
    <row r="8002" spans="2:6">
      <c r="B8002" s="44"/>
      <c r="D8002" s="8"/>
      <c r="E8002" s="8"/>
      <c r="F8002" s="8"/>
    </row>
    <row r="8003" spans="2:6">
      <c r="B8003" s="44"/>
      <c r="D8003" s="8"/>
      <c r="E8003" s="8"/>
      <c r="F8003" s="8"/>
    </row>
    <row r="8004" spans="2:6">
      <c r="B8004" s="44"/>
      <c r="D8004" s="8"/>
      <c r="E8004" s="8"/>
      <c r="F8004" s="8"/>
    </row>
    <row r="8005" spans="2:6">
      <c r="B8005" s="44"/>
      <c r="D8005" s="8"/>
      <c r="E8005" s="8"/>
      <c r="F8005" s="8"/>
    </row>
    <row r="8006" spans="2:6">
      <c r="B8006" s="44"/>
      <c r="D8006" s="8"/>
      <c r="E8006" s="8"/>
      <c r="F8006" s="8"/>
    </row>
    <row r="8007" spans="2:6">
      <c r="B8007" s="44"/>
      <c r="D8007" s="8"/>
      <c r="E8007" s="8"/>
      <c r="F8007" s="8"/>
    </row>
    <row r="8008" spans="2:6">
      <c r="B8008" s="44"/>
      <c r="D8008" s="8"/>
      <c r="E8008" s="8"/>
      <c r="F8008" s="8"/>
    </row>
    <row r="8009" spans="2:6">
      <c r="B8009" s="44"/>
      <c r="D8009" s="8"/>
      <c r="E8009" s="8"/>
      <c r="F8009" s="8"/>
    </row>
    <row r="8010" spans="2:6">
      <c r="B8010" s="44"/>
      <c r="D8010" s="8"/>
      <c r="E8010" s="8"/>
      <c r="F8010" s="8"/>
    </row>
    <row r="8011" spans="2:6">
      <c r="B8011" s="44"/>
      <c r="D8011" s="8"/>
      <c r="E8011" s="8"/>
      <c r="F8011" s="8"/>
    </row>
    <row r="8012" spans="2:6">
      <c r="B8012" s="44"/>
      <c r="D8012" s="8"/>
      <c r="E8012" s="8"/>
      <c r="F8012" s="8"/>
    </row>
    <row r="8013" spans="2:6">
      <c r="B8013" s="44"/>
      <c r="D8013" s="8"/>
      <c r="E8013" s="8"/>
      <c r="F8013" s="8"/>
    </row>
    <row r="8014" spans="2:6">
      <c r="B8014" s="44"/>
      <c r="D8014" s="8"/>
      <c r="E8014" s="8"/>
      <c r="F8014" s="8"/>
    </row>
    <row r="8015" spans="2:6">
      <c r="B8015" s="44"/>
      <c r="D8015" s="8"/>
      <c r="E8015" s="8"/>
      <c r="F8015" s="8"/>
    </row>
    <row r="8016" spans="2:6">
      <c r="B8016" s="44"/>
      <c r="D8016" s="8"/>
      <c r="E8016" s="8"/>
      <c r="F8016" s="8"/>
    </row>
    <row r="8017" spans="2:6">
      <c r="B8017" s="44"/>
      <c r="D8017" s="8"/>
      <c r="E8017" s="8"/>
      <c r="F8017" s="8"/>
    </row>
    <row r="8018" spans="2:6">
      <c r="B8018" s="44"/>
      <c r="D8018" s="8"/>
      <c r="E8018" s="8"/>
      <c r="F8018" s="8"/>
    </row>
    <row r="8019" spans="2:6">
      <c r="B8019" s="44"/>
      <c r="D8019" s="8"/>
      <c r="E8019" s="8"/>
      <c r="F8019" s="8"/>
    </row>
    <row r="8020" spans="2:6">
      <c r="B8020" s="44"/>
      <c r="D8020" s="8"/>
      <c r="E8020" s="8"/>
      <c r="F8020" s="8"/>
    </row>
    <row r="8021" spans="2:6">
      <c r="B8021" s="44"/>
      <c r="D8021" s="8"/>
      <c r="E8021" s="8"/>
      <c r="F8021" s="8"/>
    </row>
    <row r="8022" spans="2:6">
      <c r="B8022" s="44"/>
      <c r="D8022" s="8"/>
      <c r="E8022" s="8"/>
      <c r="F8022" s="8"/>
    </row>
    <row r="8023" spans="2:6">
      <c r="B8023" s="44"/>
      <c r="D8023" s="8"/>
      <c r="E8023" s="8"/>
      <c r="F8023" s="8"/>
    </row>
    <row r="8024" spans="2:6">
      <c r="B8024" s="44"/>
      <c r="D8024" s="8"/>
      <c r="E8024" s="8"/>
      <c r="F8024" s="8"/>
    </row>
    <row r="8025" spans="2:6">
      <c r="B8025" s="44"/>
      <c r="D8025" s="8"/>
      <c r="E8025" s="8"/>
      <c r="F8025" s="8"/>
    </row>
    <row r="8026" spans="2:6">
      <c r="B8026" s="44"/>
      <c r="D8026" s="8"/>
      <c r="E8026" s="8"/>
      <c r="F8026" s="8"/>
    </row>
    <row r="8027" spans="2:6">
      <c r="B8027" s="44"/>
      <c r="D8027" s="8"/>
      <c r="E8027" s="8"/>
      <c r="F8027" s="8"/>
    </row>
    <row r="8028" spans="2:6">
      <c r="B8028" s="44"/>
      <c r="D8028" s="8"/>
      <c r="E8028" s="8"/>
      <c r="F8028" s="8"/>
    </row>
    <row r="8029" spans="2:6">
      <c r="B8029" s="44"/>
      <c r="D8029" s="8"/>
      <c r="E8029" s="8"/>
      <c r="F8029" s="8"/>
    </row>
    <row r="8030" spans="2:6">
      <c r="B8030" s="44"/>
      <c r="D8030" s="8"/>
      <c r="E8030" s="8"/>
      <c r="F8030" s="8"/>
    </row>
    <row r="8031" spans="2:6">
      <c r="B8031" s="44"/>
      <c r="D8031" s="8"/>
      <c r="E8031" s="8"/>
      <c r="F8031" s="8"/>
    </row>
    <row r="8032" spans="2:6">
      <c r="B8032" s="44"/>
      <c r="D8032" s="8"/>
      <c r="E8032" s="8"/>
      <c r="F8032" s="8"/>
    </row>
    <row r="8033" spans="2:6">
      <c r="B8033" s="44"/>
      <c r="D8033" s="8"/>
      <c r="E8033" s="8"/>
      <c r="F8033" s="8"/>
    </row>
    <row r="8034" spans="2:6">
      <c r="B8034" s="44"/>
      <c r="D8034" s="8"/>
      <c r="E8034" s="8"/>
      <c r="F8034" s="8"/>
    </row>
    <row r="8035" spans="2:6">
      <c r="B8035" s="44"/>
      <c r="D8035" s="8"/>
      <c r="E8035" s="8"/>
      <c r="F8035" s="8"/>
    </row>
    <row r="8036" spans="2:6">
      <c r="B8036" s="44"/>
      <c r="D8036" s="8"/>
      <c r="E8036" s="8"/>
      <c r="F8036" s="8"/>
    </row>
    <row r="8037" spans="2:6">
      <c r="B8037" s="44"/>
      <c r="D8037" s="8"/>
      <c r="E8037" s="8"/>
      <c r="F8037" s="8"/>
    </row>
    <row r="8038" spans="2:6">
      <c r="B8038" s="44"/>
      <c r="D8038" s="8"/>
      <c r="E8038" s="8"/>
      <c r="F8038" s="8"/>
    </row>
    <row r="8039" spans="2:6">
      <c r="B8039" s="44"/>
      <c r="D8039" s="8"/>
      <c r="E8039" s="8"/>
      <c r="F8039" s="8"/>
    </row>
    <row r="8040" spans="2:6">
      <c r="B8040" s="44"/>
      <c r="D8040" s="8"/>
      <c r="E8040" s="8"/>
      <c r="F8040" s="8"/>
    </row>
    <row r="8041" spans="2:6">
      <c r="B8041" s="44"/>
      <c r="D8041" s="8"/>
      <c r="E8041" s="8"/>
      <c r="F8041" s="8"/>
    </row>
    <row r="8042" spans="2:6">
      <c r="B8042" s="44"/>
      <c r="D8042" s="8"/>
      <c r="E8042" s="8"/>
      <c r="F8042" s="8"/>
    </row>
    <row r="8043" spans="2:6">
      <c r="B8043" s="44"/>
      <c r="D8043" s="8"/>
      <c r="E8043" s="8"/>
      <c r="F8043" s="8"/>
    </row>
    <row r="8044" spans="2:6">
      <c r="B8044" s="44"/>
      <c r="D8044" s="8"/>
      <c r="E8044" s="8"/>
      <c r="F8044" s="8"/>
    </row>
    <row r="8045" spans="2:6">
      <c r="B8045" s="44"/>
      <c r="D8045" s="8"/>
      <c r="E8045" s="8"/>
      <c r="F8045" s="8"/>
    </row>
    <row r="8046" spans="2:6">
      <c r="B8046" s="44"/>
      <c r="D8046" s="8"/>
      <c r="E8046" s="8"/>
      <c r="F8046" s="8"/>
    </row>
    <row r="8047" spans="2:6">
      <c r="B8047" s="44"/>
      <c r="D8047" s="8"/>
      <c r="E8047" s="8"/>
      <c r="F8047" s="8"/>
    </row>
    <row r="8048" spans="2:6">
      <c r="B8048" s="44"/>
      <c r="D8048" s="8"/>
      <c r="E8048" s="8"/>
      <c r="F8048" s="8"/>
    </row>
    <row r="8049" spans="2:6">
      <c r="B8049" s="44"/>
      <c r="D8049" s="8"/>
      <c r="E8049" s="8"/>
      <c r="F8049" s="8"/>
    </row>
    <row r="8050" spans="2:6">
      <c r="B8050" s="44"/>
      <c r="D8050" s="8"/>
      <c r="E8050" s="8"/>
      <c r="F8050" s="8"/>
    </row>
    <row r="8051" spans="2:6">
      <c r="B8051" s="44"/>
      <c r="D8051" s="8"/>
      <c r="E8051" s="8"/>
      <c r="F8051" s="8"/>
    </row>
    <row r="8052" spans="2:6">
      <c r="B8052" s="44"/>
      <c r="D8052" s="8"/>
      <c r="E8052" s="8"/>
      <c r="F8052" s="8"/>
    </row>
    <row r="8053" spans="2:6">
      <c r="B8053" s="44"/>
      <c r="D8053" s="8"/>
      <c r="E8053" s="8"/>
      <c r="F8053" s="8"/>
    </row>
    <row r="8054" spans="2:6">
      <c r="B8054" s="44"/>
      <c r="D8054" s="8"/>
      <c r="E8054" s="8"/>
      <c r="F8054" s="8"/>
    </row>
    <row r="8055" spans="2:6">
      <c r="B8055" s="44"/>
      <c r="D8055" s="8"/>
      <c r="E8055" s="8"/>
      <c r="F8055" s="8"/>
    </row>
    <row r="8056" spans="2:6">
      <c r="B8056" s="44"/>
      <c r="D8056" s="8"/>
      <c r="E8056" s="8"/>
      <c r="F8056" s="8"/>
    </row>
    <row r="8057" spans="2:6">
      <c r="B8057" s="44"/>
      <c r="D8057" s="8"/>
      <c r="E8057" s="8"/>
      <c r="F8057" s="8"/>
    </row>
    <row r="8058" spans="2:6">
      <c r="B8058" s="44"/>
      <c r="D8058" s="8"/>
      <c r="E8058" s="8"/>
      <c r="F8058" s="8"/>
    </row>
    <row r="8059" spans="2:6">
      <c r="B8059" s="44"/>
      <c r="D8059" s="8"/>
      <c r="E8059" s="8"/>
      <c r="F8059" s="8"/>
    </row>
    <row r="8060" spans="2:6">
      <c r="B8060" s="44"/>
      <c r="D8060" s="8"/>
      <c r="E8060" s="8"/>
      <c r="F8060" s="8"/>
    </row>
    <row r="8061" spans="2:6">
      <c r="B8061" s="44"/>
      <c r="D8061" s="8"/>
      <c r="E8061" s="8"/>
      <c r="F8061" s="8"/>
    </row>
    <row r="8062" spans="2:6">
      <c r="B8062" s="44"/>
      <c r="D8062" s="8"/>
      <c r="E8062" s="8"/>
      <c r="F8062" s="8"/>
    </row>
    <row r="8063" spans="2:6">
      <c r="B8063" s="44"/>
      <c r="D8063" s="8"/>
      <c r="E8063" s="8"/>
      <c r="F8063" s="8"/>
    </row>
    <row r="8064" spans="2:6">
      <c r="B8064" s="44"/>
      <c r="D8064" s="8"/>
      <c r="E8064" s="8"/>
      <c r="F8064" s="8"/>
    </row>
    <row r="8065" spans="2:6">
      <c r="B8065" s="44"/>
      <c r="D8065" s="8"/>
      <c r="E8065" s="8"/>
      <c r="F8065" s="8"/>
    </row>
    <row r="8066" spans="2:6">
      <c r="B8066" s="44"/>
      <c r="D8066" s="8"/>
      <c r="E8066" s="8"/>
      <c r="F8066" s="8"/>
    </row>
    <row r="8067" spans="2:6">
      <c r="B8067" s="44"/>
      <c r="D8067" s="8"/>
      <c r="E8067" s="8"/>
      <c r="F8067" s="8"/>
    </row>
    <row r="8068" spans="2:6">
      <c r="B8068" s="44"/>
      <c r="D8068" s="8"/>
      <c r="E8068" s="8"/>
      <c r="F8068" s="8"/>
    </row>
    <row r="8069" spans="2:6">
      <c r="B8069" s="44"/>
      <c r="D8069" s="8"/>
      <c r="E8069" s="8"/>
      <c r="F8069" s="8"/>
    </row>
    <row r="8070" spans="2:6">
      <c r="B8070" s="44"/>
      <c r="D8070" s="8"/>
      <c r="E8070" s="8"/>
      <c r="F8070" s="8"/>
    </row>
    <row r="8071" spans="2:6">
      <c r="B8071" s="44"/>
      <c r="D8071" s="8"/>
      <c r="E8071" s="8"/>
      <c r="F8071" s="8"/>
    </row>
    <row r="8072" spans="2:6">
      <c r="B8072" s="44"/>
      <c r="D8072" s="8"/>
      <c r="E8072" s="8"/>
      <c r="F8072" s="8"/>
    </row>
    <row r="8073" spans="2:6">
      <c r="B8073" s="44"/>
      <c r="D8073" s="8"/>
      <c r="E8073" s="8"/>
      <c r="F8073" s="8"/>
    </row>
    <row r="8074" spans="2:6">
      <c r="B8074" s="44"/>
      <c r="D8074" s="8"/>
      <c r="E8074" s="8"/>
      <c r="F8074" s="8"/>
    </row>
    <row r="8075" spans="2:6">
      <c r="B8075" s="44"/>
      <c r="D8075" s="8"/>
      <c r="E8075" s="8"/>
      <c r="F8075" s="8"/>
    </row>
    <row r="8076" spans="2:6">
      <c r="B8076" s="44"/>
      <c r="D8076" s="8"/>
      <c r="E8076" s="8"/>
      <c r="F8076" s="8"/>
    </row>
    <row r="8077" spans="2:6">
      <c r="B8077" s="44"/>
      <c r="D8077" s="8"/>
      <c r="E8077" s="8"/>
      <c r="F8077" s="8"/>
    </row>
    <row r="8078" spans="2:6">
      <c r="B8078" s="44"/>
      <c r="D8078" s="8"/>
      <c r="E8078" s="8"/>
      <c r="F8078" s="8"/>
    </row>
    <row r="8079" spans="2:6">
      <c r="B8079" s="44"/>
      <c r="D8079" s="8"/>
      <c r="E8079" s="8"/>
      <c r="F8079" s="8"/>
    </row>
    <row r="8080" spans="2:6">
      <c r="B8080" s="44"/>
      <c r="D8080" s="8"/>
      <c r="E8080" s="8"/>
      <c r="F8080" s="8"/>
    </row>
    <row r="8081" spans="2:6">
      <c r="B8081" s="44"/>
      <c r="D8081" s="8"/>
      <c r="E8081" s="8"/>
      <c r="F8081" s="8"/>
    </row>
    <row r="8082" spans="2:6">
      <c r="B8082" s="44"/>
      <c r="D8082" s="8"/>
      <c r="E8082" s="8"/>
      <c r="F8082" s="8"/>
    </row>
    <row r="8083" spans="2:6">
      <c r="B8083" s="44"/>
      <c r="D8083" s="8"/>
      <c r="E8083" s="8"/>
      <c r="F8083" s="8"/>
    </row>
    <row r="8084" spans="2:6">
      <c r="B8084" s="44"/>
      <c r="D8084" s="8"/>
      <c r="E8084" s="8"/>
      <c r="F8084" s="8"/>
    </row>
    <row r="8085" spans="2:6">
      <c r="B8085" s="44"/>
      <c r="D8085" s="8"/>
      <c r="E8085" s="8"/>
      <c r="F8085" s="8"/>
    </row>
    <row r="8086" spans="2:6">
      <c r="B8086" s="44"/>
      <c r="D8086" s="8"/>
      <c r="E8086" s="8"/>
      <c r="F8086" s="8"/>
    </row>
    <row r="8087" spans="2:6">
      <c r="B8087" s="44"/>
      <c r="D8087" s="8"/>
      <c r="E8087" s="8"/>
      <c r="F8087" s="8"/>
    </row>
    <row r="8088" spans="2:6">
      <c r="B8088" s="44"/>
      <c r="D8088" s="8"/>
      <c r="E8088" s="8"/>
      <c r="F8088" s="8"/>
    </row>
    <row r="8089" spans="2:6">
      <c r="B8089" s="44"/>
      <c r="D8089" s="8"/>
      <c r="E8089" s="8"/>
      <c r="F8089" s="8"/>
    </row>
    <row r="8090" spans="2:6">
      <c r="B8090" s="44"/>
      <c r="D8090" s="8"/>
      <c r="E8090" s="8"/>
      <c r="F8090" s="8"/>
    </row>
    <row r="8091" spans="2:6">
      <c r="B8091" s="44"/>
      <c r="D8091" s="8"/>
      <c r="E8091" s="8"/>
      <c r="F8091" s="8"/>
    </row>
    <row r="8092" spans="2:6">
      <c r="B8092" s="44"/>
      <c r="D8092" s="8"/>
      <c r="E8092" s="8"/>
      <c r="F8092" s="8"/>
    </row>
    <row r="8093" spans="2:6">
      <c r="B8093" s="44"/>
      <c r="D8093" s="8"/>
      <c r="E8093" s="8"/>
      <c r="F8093" s="8"/>
    </row>
    <row r="8094" spans="2:6">
      <c r="B8094" s="44"/>
      <c r="D8094" s="8"/>
      <c r="E8094" s="8"/>
      <c r="F8094" s="8"/>
    </row>
    <row r="8095" spans="2:6">
      <c r="B8095" s="44"/>
      <c r="D8095" s="8"/>
      <c r="E8095" s="8"/>
      <c r="F8095" s="8"/>
    </row>
    <row r="8096" spans="2:6">
      <c r="B8096" s="44"/>
      <c r="D8096" s="8"/>
      <c r="E8096" s="8"/>
      <c r="F8096" s="8"/>
    </row>
    <row r="8097" spans="2:6">
      <c r="B8097" s="44"/>
      <c r="D8097" s="8"/>
      <c r="E8097" s="8"/>
      <c r="F8097" s="8"/>
    </row>
    <row r="8098" spans="2:6">
      <c r="B8098" s="44"/>
      <c r="D8098" s="8"/>
      <c r="E8098" s="8"/>
      <c r="F8098" s="8"/>
    </row>
    <row r="8099" spans="2:6">
      <c r="B8099" s="44"/>
      <c r="D8099" s="8"/>
      <c r="E8099" s="8"/>
      <c r="F8099" s="8"/>
    </row>
    <row r="8100" spans="2:6">
      <c r="B8100" s="44"/>
      <c r="D8100" s="8"/>
      <c r="E8100" s="8"/>
      <c r="F8100" s="8"/>
    </row>
    <row r="8101" spans="2:6">
      <c r="B8101" s="44"/>
      <c r="D8101" s="8"/>
      <c r="E8101" s="8"/>
      <c r="F8101" s="8"/>
    </row>
    <row r="8102" spans="2:6">
      <c r="B8102" s="44"/>
      <c r="D8102" s="8"/>
      <c r="E8102" s="8"/>
      <c r="F8102" s="8"/>
    </row>
    <row r="8103" spans="2:6">
      <c r="B8103" s="44"/>
      <c r="D8103" s="8"/>
      <c r="E8103" s="8"/>
      <c r="F8103" s="8"/>
    </row>
    <row r="8104" spans="2:6">
      <c r="B8104" s="44"/>
      <c r="D8104" s="8"/>
      <c r="E8104" s="8"/>
      <c r="F8104" s="8"/>
    </row>
    <row r="8105" spans="2:6">
      <c r="B8105" s="44"/>
      <c r="D8105" s="8"/>
      <c r="E8105" s="8"/>
      <c r="F8105" s="8"/>
    </row>
    <row r="8106" spans="2:6">
      <c r="B8106" s="44"/>
      <c r="D8106" s="8"/>
      <c r="E8106" s="8"/>
      <c r="F8106" s="8"/>
    </row>
    <row r="8107" spans="2:6">
      <c r="B8107" s="44"/>
      <c r="D8107" s="8"/>
      <c r="E8107" s="8"/>
      <c r="F8107" s="8"/>
    </row>
    <row r="8108" spans="2:6">
      <c r="B8108" s="44"/>
      <c r="D8108" s="8"/>
      <c r="E8108" s="8"/>
      <c r="F8108" s="8"/>
    </row>
    <row r="8109" spans="2:6">
      <c r="B8109" s="44"/>
      <c r="D8109" s="8"/>
      <c r="E8109" s="8"/>
      <c r="F8109" s="8"/>
    </row>
    <row r="8110" spans="2:6">
      <c r="B8110" s="44"/>
      <c r="D8110" s="8"/>
      <c r="E8110" s="8"/>
      <c r="F8110" s="8"/>
    </row>
    <row r="8111" spans="2:6">
      <c r="B8111" s="44"/>
      <c r="D8111" s="8"/>
      <c r="E8111" s="8"/>
      <c r="F8111" s="8"/>
    </row>
    <row r="8112" spans="2:6">
      <c r="B8112" s="44"/>
      <c r="D8112" s="8"/>
      <c r="E8112" s="8"/>
      <c r="F8112" s="8"/>
    </row>
    <row r="8113" spans="2:6">
      <c r="B8113" s="44"/>
      <c r="D8113" s="8"/>
      <c r="E8113" s="8"/>
      <c r="F8113" s="8"/>
    </row>
    <row r="8114" spans="2:6">
      <c r="B8114" s="44"/>
      <c r="D8114" s="8"/>
      <c r="E8114" s="8"/>
      <c r="F8114" s="8"/>
    </row>
    <row r="8115" spans="2:6">
      <c r="B8115" s="44"/>
      <c r="D8115" s="8"/>
      <c r="E8115" s="8"/>
      <c r="F8115" s="8"/>
    </row>
    <row r="8116" spans="2:6">
      <c r="B8116" s="44"/>
      <c r="D8116" s="8"/>
      <c r="E8116" s="8"/>
      <c r="F8116" s="8"/>
    </row>
    <row r="8117" spans="2:6">
      <c r="B8117" s="44"/>
      <c r="D8117" s="8"/>
      <c r="E8117" s="8"/>
      <c r="F8117" s="8"/>
    </row>
    <row r="8118" spans="2:6">
      <c r="B8118" s="44"/>
      <c r="D8118" s="8"/>
      <c r="E8118" s="8"/>
      <c r="F8118" s="8"/>
    </row>
    <row r="8119" spans="2:6">
      <c r="B8119" s="44"/>
      <c r="D8119" s="8"/>
      <c r="E8119" s="8"/>
      <c r="F8119" s="8"/>
    </row>
    <row r="8120" spans="2:6">
      <c r="B8120" s="44"/>
      <c r="D8120" s="8"/>
      <c r="E8120" s="8"/>
      <c r="F8120" s="8"/>
    </row>
    <row r="8121" spans="2:6">
      <c r="B8121" s="44"/>
      <c r="D8121" s="8"/>
      <c r="E8121" s="8"/>
      <c r="F8121" s="8"/>
    </row>
    <row r="8122" spans="2:6">
      <c r="B8122" s="44"/>
      <c r="D8122" s="8"/>
      <c r="E8122" s="8"/>
      <c r="F8122" s="8"/>
    </row>
    <row r="8123" spans="2:6">
      <c r="B8123" s="44"/>
      <c r="D8123" s="8"/>
      <c r="E8123" s="8"/>
      <c r="F8123" s="8"/>
    </row>
    <row r="8124" spans="2:6">
      <c r="B8124" s="44"/>
      <c r="D8124" s="8"/>
      <c r="E8124" s="8"/>
      <c r="F8124" s="8"/>
    </row>
    <row r="8125" spans="2:6">
      <c r="B8125" s="44"/>
      <c r="D8125" s="8"/>
      <c r="E8125" s="8"/>
      <c r="F8125" s="8"/>
    </row>
    <row r="8126" spans="2:6">
      <c r="B8126" s="44"/>
      <c r="D8126" s="8"/>
      <c r="E8126" s="8"/>
      <c r="F8126" s="8"/>
    </row>
    <row r="8127" spans="2:6">
      <c r="B8127" s="44"/>
      <c r="D8127" s="8"/>
      <c r="E8127" s="8"/>
      <c r="F8127" s="8"/>
    </row>
    <row r="8128" spans="2:6">
      <c r="B8128" s="44"/>
      <c r="D8128" s="8"/>
      <c r="E8128" s="8"/>
      <c r="F8128" s="8"/>
    </row>
    <row r="8129" spans="2:6">
      <c r="B8129" s="44"/>
      <c r="D8129" s="8"/>
      <c r="E8129" s="8"/>
      <c r="F8129" s="8"/>
    </row>
    <row r="8130" spans="2:6">
      <c r="B8130" s="44"/>
      <c r="D8130" s="8"/>
      <c r="E8130" s="8"/>
      <c r="F8130" s="8"/>
    </row>
    <row r="8131" spans="2:6">
      <c r="B8131" s="44"/>
      <c r="D8131" s="8"/>
      <c r="E8131" s="8"/>
      <c r="F8131" s="8"/>
    </row>
    <row r="8132" spans="2:6">
      <c r="B8132" s="44"/>
      <c r="D8132" s="8"/>
      <c r="E8132" s="8"/>
      <c r="F8132" s="8"/>
    </row>
    <row r="8133" spans="2:6">
      <c r="B8133" s="44"/>
      <c r="D8133" s="8"/>
      <c r="E8133" s="8"/>
      <c r="F8133" s="8"/>
    </row>
    <row r="8134" spans="2:6">
      <c r="B8134" s="44"/>
      <c r="D8134" s="8"/>
      <c r="E8134" s="8"/>
      <c r="F8134" s="8"/>
    </row>
    <row r="8135" spans="2:6">
      <c r="B8135" s="44"/>
      <c r="D8135" s="8"/>
      <c r="E8135" s="8"/>
      <c r="F8135" s="8"/>
    </row>
    <row r="8136" spans="2:6">
      <c r="B8136" s="44"/>
      <c r="D8136" s="8"/>
      <c r="E8136" s="8"/>
      <c r="F8136" s="8"/>
    </row>
    <row r="8137" spans="2:6">
      <c r="B8137" s="44"/>
      <c r="D8137" s="8"/>
      <c r="E8137" s="8"/>
      <c r="F8137" s="8"/>
    </row>
    <row r="8138" spans="2:6">
      <c r="B8138" s="44"/>
      <c r="D8138" s="8"/>
      <c r="E8138" s="8"/>
      <c r="F8138" s="8"/>
    </row>
    <row r="8139" spans="2:6">
      <c r="B8139" s="44"/>
      <c r="D8139" s="8"/>
      <c r="E8139" s="8"/>
      <c r="F8139" s="8"/>
    </row>
    <row r="8140" spans="2:6">
      <c r="B8140" s="44"/>
      <c r="D8140" s="8"/>
      <c r="E8140" s="8"/>
      <c r="F8140" s="8"/>
    </row>
    <row r="8141" spans="2:6">
      <c r="B8141" s="44"/>
      <c r="D8141" s="8"/>
      <c r="E8141" s="8"/>
      <c r="F8141" s="8"/>
    </row>
    <row r="8142" spans="2:6">
      <c r="B8142" s="44"/>
      <c r="D8142" s="8"/>
      <c r="E8142" s="8"/>
      <c r="F8142" s="8"/>
    </row>
    <row r="8143" spans="2:6">
      <c r="B8143" s="44"/>
      <c r="D8143" s="8"/>
      <c r="E8143" s="8"/>
      <c r="F8143" s="8"/>
    </row>
    <row r="8144" spans="2:6">
      <c r="B8144" s="44"/>
      <c r="D8144" s="8"/>
      <c r="E8144" s="8"/>
      <c r="F8144" s="8"/>
    </row>
    <row r="8145" spans="2:6">
      <c r="B8145" s="44"/>
      <c r="D8145" s="8"/>
      <c r="E8145" s="8"/>
      <c r="F8145" s="8"/>
    </row>
    <row r="8146" spans="2:6">
      <c r="B8146" s="44"/>
      <c r="D8146" s="8"/>
      <c r="E8146" s="8"/>
      <c r="F8146" s="8"/>
    </row>
    <row r="8147" spans="2:6">
      <c r="B8147" s="44"/>
      <c r="D8147" s="8"/>
      <c r="E8147" s="8"/>
      <c r="F8147" s="8"/>
    </row>
    <row r="8148" spans="2:6">
      <c r="B8148" s="44"/>
      <c r="D8148" s="8"/>
      <c r="E8148" s="8"/>
      <c r="F8148" s="8"/>
    </row>
    <row r="8149" spans="2:6">
      <c r="B8149" s="44"/>
      <c r="D8149" s="8"/>
      <c r="E8149" s="8"/>
      <c r="F8149" s="8"/>
    </row>
    <row r="8150" spans="2:6">
      <c r="B8150" s="44"/>
      <c r="D8150" s="8"/>
      <c r="E8150" s="8"/>
      <c r="F8150" s="8"/>
    </row>
    <row r="8151" spans="2:6">
      <c r="B8151" s="44"/>
      <c r="D8151" s="8"/>
      <c r="E8151" s="8"/>
      <c r="F8151" s="8"/>
    </row>
    <row r="8152" spans="2:6">
      <c r="B8152" s="44"/>
      <c r="D8152" s="8"/>
      <c r="E8152" s="8"/>
      <c r="F8152" s="8"/>
    </row>
    <row r="8153" spans="2:6">
      <c r="B8153" s="44"/>
      <c r="D8153" s="8"/>
      <c r="E8153" s="8"/>
      <c r="F8153" s="8"/>
    </row>
    <row r="8154" spans="2:6">
      <c r="B8154" s="44"/>
      <c r="D8154" s="8"/>
      <c r="E8154" s="8"/>
      <c r="F8154" s="8"/>
    </row>
    <row r="8155" spans="2:6">
      <c r="B8155" s="44"/>
      <c r="D8155" s="8"/>
      <c r="E8155" s="8"/>
      <c r="F8155" s="8"/>
    </row>
    <row r="8156" spans="2:6">
      <c r="B8156" s="44"/>
      <c r="D8156" s="8"/>
      <c r="E8156" s="8"/>
      <c r="F8156" s="8"/>
    </row>
    <row r="8157" spans="2:6">
      <c r="B8157" s="44"/>
      <c r="D8157" s="8"/>
      <c r="E8157" s="8"/>
      <c r="F8157" s="8"/>
    </row>
    <row r="8158" spans="2:6">
      <c r="B8158" s="44"/>
      <c r="D8158" s="8"/>
      <c r="E8158" s="8"/>
      <c r="F8158" s="8"/>
    </row>
    <row r="8159" spans="2:6">
      <c r="B8159" s="44"/>
      <c r="D8159" s="8"/>
      <c r="E8159" s="8"/>
      <c r="F8159" s="8"/>
    </row>
    <row r="8160" spans="2:6">
      <c r="B8160" s="44"/>
      <c r="D8160" s="8"/>
      <c r="E8160" s="8"/>
      <c r="F8160" s="8"/>
    </row>
    <row r="8161" spans="2:6">
      <c r="B8161" s="44"/>
      <c r="D8161" s="8"/>
      <c r="E8161" s="8"/>
      <c r="F8161" s="8"/>
    </row>
    <row r="8162" spans="2:6">
      <c r="B8162" s="44"/>
      <c r="D8162" s="8"/>
      <c r="E8162" s="8"/>
      <c r="F8162" s="8"/>
    </row>
    <row r="8163" spans="2:6">
      <c r="B8163" s="44"/>
      <c r="D8163" s="8"/>
      <c r="E8163" s="8"/>
      <c r="F8163" s="8"/>
    </row>
    <row r="8164" spans="2:6">
      <c r="B8164" s="44"/>
      <c r="D8164" s="8"/>
      <c r="E8164" s="8"/>
      <c r="F8164" s="8"/>
    </row>
    <row r="8165" spans="2:6">
      <c r="B8165" s="44"/>
      <c r="D8165" s="8"/>
      <c r="E8165" s="8"/>
      <c r="F8165" s="8"/>
    </row>
    <row r="8166" spans="2:6">
      <c r="B8166" s="44"/>
      <c r="D8166" s="8"/>
      <c r="E8166" s="8"/>
      <c r="F8166" s="8"/>
    </row>
    <row r="8167" spans="2:6">
      <c r="B8167" s="44"/>
      <c r="D8167" s="8"/>
      <c r="E8167" s="8"/>
      <c r="F8167" s="8"/>
    </row>
    <row r="8168" spans="2:6">
      <c r="B8168" s="44"/>
      <c r="D8168" s="8"/>
      <c r="E8168" s="8"/>
      <c r="F8168" s="8"/>
    </row>
    <row r="8169" spans="2:6">
      <c r="B8169" s="44"/>
      <c r="D8169" s="8"/>
      <c r="E8169" s="8"/>
      <c r="F8169" s="8"/>
    </row>
    <row r="8170" spans="2:6">
      <c r="B8170" s="44"/>
      <c r="D8170" s="8"/>
      <c r="E8170" s="8"/>
      <c r="F8170" s="8"/>
    </row>
    <row r="8171" spans="2:6">
      <c r="B8171" s="44"/>
      <c r="D8171" s="8"/>
      <c r="E8171" s="8"/>
      <c r="F8171" s="8"/>
    </row>
    <row r="8172" spans="2:6">
      <c r="B8172" s="44"/>
      <c r="D8172" s="8"/>
      <c r="E8172" s="8"/>
      <c r="F8172" s="8"/>
    </row>
    <row r="8173" spans="2:6">
      <c r="B8173" s="44"/>
      <c r="D8173" s="8"/>
      <c r="E8173" s="8"/>
      <c r="F8173" s="8"/>
    </row>
    <row r="8174" spans="2:6">
      <c r="B8174" s="44"/>
      <c r="D8174" s="8"/>
      <c r="E8174" s="8"/>
      <c r="F8174" s="8"/>
    </row>
    <row r="8175" spans="2:6">
      <c r="B8175" s="44"/>
      <c r="D8175" s="8"/>
      <c r="E8175" s="8"/>
      <c r="F8175" s="8"/>
    </row>
    <row r="8176" spans="2:6">
      <c r="B8176" s="44"/>
      <c r="D8176" s="8"/>
      <c r="E8176" s="8"/>
      <c r="F8176" s="8"/>
    </row>
    <row r="8177" spans="2:6">
      <c r="B8177" s="44"/>
      <c r="D8177" s="8"/>
      <c r="E8177" s="8"/>
      <c r="F8177" s="8"/>
    </row>
    <row r="8178" spans="2:6">
      <c r="B8178" s="44"/>
      <c r="D8178" s="8"/>
      <c r="E8178" s="8"/>
      <c r="F8178" s="8"/>
    </row>
    <row r="8179" spans="2:6">
      <c r="B8179" s="44"/>
      <c r="D8179" s="8"/>
      <c r="E8179" s="8"/>
      <c r="F8179" s="8"/>
    </row>
    <row r="8180" spans="2:6">
      <c r="B8180" s="44"/>
      <c r="D8180" s="8"/>
      <c r="E8180" s="8"/>
      <c r="F8180" s="8"/>
    </row>
    <row r="8181" spans="2:6">
      <c r="B8181" s="44"/>
      <c r="D8181" s="8"/>
      <c r="E8181" s="8"/>
      <c r="F8181" s="8"/>
    </row>
    <row r="8182" spans="2:6">
      <c r="B8182" s="44"/>
      <c r="D8182" s="8"/>
      <c r="E8182" s="8"/>
      <c r="F8182" s="8"/>
    </row>
    <row r="8183" spans="2:6">
      <c r="B8183" s="44"/>
      <c r="D8183" s="8"/>
      <c r="E8183" s="8"/>
      <c r="F8183" s="8"/>
    </row>
    <row r="8184" spans="2:6">
      <c r="B8184" s="44"/>
      <c r="D8184" s="8"/>
      <c r="E8184" s="8"/>
      <c r="F8184" s="8"/>
    </row>
    <row r="8185" spans="2:6">
      <c r="B8185" s="44"/>
      <c r="D8185" s="8"/>
      <c r="E8185" s="8"/>
      <c r="F8185" s="8"/>
    </row>
    <row r="8186" spans="2:6">
      <c r="B8186" s="44"/>
      <c r="D8186" s="8"/>
      <c r="E8186" s="8"/>
      <c r="F8186" s="8"/>
    </row>
    <row r="8187" spans="2:6">
      <c r="B8187" s="44"/>
      <c r="D8187" s="8"/>
      <c r="E8187" s="8"/>
      <c r="F8187" s="8"/>
    </row>
    <row r="8188" spans="2:6">
      <c r="B8188" s="44"/>
      <c r="D8188" s="8"/>
      <c r="E8188" s="8"/>
      <c r="F8188" s="8"/>
    </row>
    <row r="8189" spans="2:6">
      <c r="B8189" s="44"/>
      <c r="D8189" s="8"/>
      <c r="E8189" s="8"/>
      <c r="F8189" s="8"/>
    </row>
    <row r="8190" spans="2:6">
      <c r="B8190" s="44"/>
      <c r="D8190" s="8"/>
      <c r="E8190" s="8"/>
      <c r="F8190" s="8"/>
    </row>
    <row r="8191" spans="2:6">
      <c r="B8191" s="44"/>
      <c r="D8191" s="8"/>
      <c r="E8191" s="8"/>
      <c r="F8191" s="8"/>
    </row>
    <row r="8192" spans="2:6">
      <c r="B8192" s="44"/>
      <c r="D8192" s="8"/>
      <c r="E8192" s="8"/>
      <c r="F8192" s="8"/>
    </row>
    <row r="8193" spans="2:6">
      <c r="B8193" s="44"/>
      <c r="D8193" s="8"/>
      <c r="E8193" s="8"/>
      <c r="F8193" s="8"/>
    </row>
    <row r="8194" spans="2:6">
      <c r="B8194" s="44"/>
      <c r="D8194" s="8"/>
      <c r="E8194" s="8"/>
      <c r="F8194" s="8"/>
    </row>
    <row r="8195" spans="2:6">
      <c r="B8195" s="44"/>
      <c r="D8195" s="8"/>
      <c r="E8195" s="8"/>
      <c r="F8195" s="8"/>
    </row>
    <row r="8196" spans="2:6">
      <c r="B8196" s="44"/>
      <c r="D8196" s="8"/>
      <c r="E8196" s="8"/>
      <c r="F8196" s="8"/>
    </row>
    <row r="8197" spans="2:6">
      <c r="B8197" s="44"/>
      <c r="D8197" s="8"/>
      <c r="E8197" s="8"/>
      <c r="F8197" s="8"/>
    </row>
    <row r="8198" spans="2:6">
      <c r="B8198" s="44"/>
      <c r="D8198" s="8"/>
      <c r="E8198" s="8"/>
      <c r="F8198" s="8"/>
    </row>
    <row r="8199" spans="2:6">
      <c r="B8199" s="44"/>
      <c r="D8199" s="8"/>
      <c r="E8199" s="8"/>
      <c r="F8199" s="8"/>
    </row>
    <row r="8200" spans="2:6">
      <c r="B8200" s="44"/>
      <c r="D8200" s="8"/>
      <c r="E8200" s="8"/>
      <c r="F8200" s="8"/>
    </row>
    <row r="8201" spans="2:6">
      <c r="B8201" s="44"/>
      <c r="D8201" s="8"/>
      <c r="E8201" s="8"/>
      <c r="F8201" s="8"/>
    </row>
    <row r="8202" spans="2:6">
      <c r="B8202" s="44"/>
      <c r="D8202" s="8"/>
      <c r="E8202" s="8"/>
      <c r="F8202" s="8"/>
    </row>
    <row r="8203" spans="2:6">
      <c r="B8203" s="44"/>
      <c r="D8203" s="8"/>
      <c r="E8203" s="8"/>
      <c r="F8203" s="8"/>
    </row>
    <row r="8204" spans="2:6">
      <c r="B8204" s="44"/>
      <c r="D8204" s="8"/>
      <c r="E8204" s="8"/>
      <c r="F8204" s="8"/>
    </row>
    <row r="8205" spans="2:6">
      <c r="B8205" s="44"/>
      <c r="D8205" s="8"/>
      <c r="E8205" s="8"/>
      <c r="F8205" s="8"/>
    </row>
    <row r="8206" spans="2:6">
      <c r="B8206" s="44"/>
      <c r="D8206" s="8"/>
      <c r="E8206" s="8"/>
      <c r="F8206" s="8"/>
    </row>
    <row r="8207" spans="2:6">
      <c r="B8207" s="44"/>
      <c r="D8207" s="8"/>
      <c r="E8207" s="8"/>
      <c r="F8207" s="8"/>
    </row>
    <row r="8208" spans="2:6">
      <c r="B8208" s="44"/>
      <c r="D8208" s="8"/>
      <c r="E8208" s="8"/>
      <c r="F8208" s="8"/>
    </row>
    <row r="8209" spans="2:6">
      <c r="B8209" s="44"/>
      <c r="D8209" s="8"/>
      <c r="E8209" s="8"/>
      <c r="F8209" s="8"/>
    </row>
    <row r="8210" spans="2:6">
      <c r="B8210" s="44"/>
      <c r="D8210" s="8"/>
      <c r="E8210" s="8"/>
      <c r="F8210" s="8"/>
    </row>
    <row r="8211" spans="2:6">
      <c r="B8211" s="44"/>
      <c r="D8211" s="8"/>
      <c r="E8211" s="8"/>
      <c r="F8211" s="8"/>
    </row>
    <row r="8212" spans="2:6">
      <c r="B8212" s="44"/>
      <c r="D8212" s="8"/>
      <c r="E8212" s="8"/>
      <c r="F8212" s="8"/>
    </row>
    <row r="8213" spans="2:6">
      <c r="B8213" s="44"/>
      <c r="D8213" s="8"/>
      <c r="E8213" s="8"/>
      <c r="F8213" s="8"/>
    </row>
    <row r="8214" spans="2:6">
      <c r="B8214" s="44"/>
      <c r="D8214" s="8"/>
      <c r="E8214" s="8"/>
      <c r="F8214" s="8"/>
    </row>
    <row r="8215" spans="2:6">
      <c r="B8215" s="44"/>
      <c r="D8215" s="8"/>
      <c r="E8215" s="8"/>
      <c r="F8215" s="8"/>
    </row>
    <row r="8216" spans="2:6">
      <c r="B8216" s="44"/>
      <c r="D8216" s="8"/>
      <c r="E8216" s="8"/>
      <c r="F8216" s="8"/>
    </row>
    <row r="8217" spans="2:6">
      <c r="B8217" s="44"/>
      <c r="D8217" s="8"/>
      <c r="E8217" s="8"/>
      <c r="F8217" s="8"/>
    </row>
    <row r="8218" spans="2:6">
      <c r="B8218" s="44"/>
      <c r="D8218" s="8"/>
      <c r="E8218" s="8"/>
      <c r="F8218" s="8"/>
    </row>
    <row r="8219" spans="2:6">
      <c r="B8219" s="44"/>
      <c r="D8219" s="8"/>
      <c r="E8219" s="8"/>
      <c r="F8219" s="8"/>
    </row>
    <row r="8220" spans="2:6">
      <c r="B8220" s="44"/>
      <c r="D8220" s="8"/>
      <c r="E8220" s="8"/>
      <c r="F8220" s="8"/>
    </row>
    <row r="8221" spans="2:6">
      <c r="B8221" s="44"/>
      <c r="D8221" s="8"/>
      <c r="E8221" s="8"/>
      <c r="F8221" s="8"/>
    </row>
    <row r="8222" spans="2:6">
      <c r="B8222" s="44"/>
      <c r="D8222" s="8"/>
      <c r="E8222" s="8"/>
      <c r="F8222" s="8"/>
    </row>
    <row r="8223" spans="2:6">
      <c r="B8223" s="44"/>
      <c r="D8223" s="8"/>
      <c r="E8223" s="8"/>
      <c r="F8223" s="8"/>
    </row>
    <row r="8224" spans="2:6">
      <c r="B8224" s="44"/>
      <c r="D8224" s="8"/>
      <c r="E8224" s="8"/>
      <c r="F8224" s="8"/>
    </row>
    <row r="8225" spans="2:6">
      <c r="B8225" s="44"/>
      <c r="D8225" s="8"/>
      <c r="E8225" s="8"/>
      <c r="F8225" s="8"/>
    </row>
    <row r="8226" spans="2:6">
      <c r="B8226" s="44"/>
      <c r="D8226" s="8"/>
      <c r="E8226" s="8"/>
      <c r="F8226" s="8"/>
    </row>
    <row r="8227" spans="2:6">
      <c r="B8227" s="44"/>
      <c r="D8227" s="8"/>
      <c r="E8227" s="8"/>
      <c r="F8227" s="8"/>
    </row>
    <row r="8228" spans="2:6">
      <c r="B8228" s="44"/>
      <c r="D8228" s="8"/>
      <c r="E8228" s="8"/>
      <c r="F8228" s="8"/>
    </row>
    <row r="8229" spans="2:6">
      <c r="B8229" s="44"/>
      <c r="D8229" s="8"/>
      <c r="E8229" s="8"/>
      <c r="F8229" s="8"/>
    </row>
    <row r="8230" spans="2:6">
      <c r="B8230" s="44"/>
      <c r="D8230" s="8"/>
      <c r="E8230" s="8"/>
      <c r="F8230" s="8"/>
    </row>
    <row r="8231" spans="2:6">
      <c r="B8231" s="44"/>
      <c r="D8231" s="8"/>
      <c r="E8231" s="8"/>
      <c r="F8231" s="8"/>
    </row>
    <row r="8232" spans="2:6">
      <c r="B8232" s="44"/>
      <c r="D8232" s="8"/>
      <c r="E8232" s="8"/>
      <c r="F8232" s="8"/>
    </row>
    <row r="8233" spans="2:6">
      <c r="B8233" s="44"/>
      <c r="D8233" s="8"/>
      <c r="E8233" s="8"/>
      <c r="F8233" s="8"/>
    </row>
    <row r="8234" spans="2:6">
      <c r="B8234" s="44"/>
      <c r="D8234" s="8"/>
      <c r="E8234" s="8"/>
      <c r="F8234" s="8"/>
    </row>
    <row r="8235" spans="2:6">
      <c r="B8235" s="44"/>
      <c r="D8235" s="8"/>
      <c r="E8235" s="8"/>
      <c r="F8235" s="8"/>
    </row>
    <row r="8236" spans="2:6">
      <c r="B8236" s="44"/>
      <c r="D8236" s="8"/>
      <c r="E8236" s="8"/>
      <c r="F8236" s="8"/>
    </row>
    <row r="8237" spans="2:6">
      <c r="B8237" s="44"/>
      <c r="D8237" s="8"/>
      <c r="E8237" s="8"/>
      <c r="F8237" s="8"/>
    </row>
    <row r="8238" spans="2:6">
      <c r="B8238" s="44"/>
      <c r="D8238" s="8"/>
      <c r="E8238" s="8"/>
      <c r="F8238" s="8"/>
    </row>
    <row r="8239" spans="2:6">
      <c r="B8239" s="44"/>
      <c r="D8239" s="8"/>
      <c r="E8239" s="8"/>
      <c r="F8239" s="8"/>
    </row>
    <row r="8240" spans="2:6">
      <c r="B8240" s="44"/>
      <c r="D8240" s="8"/>
      <c r="E8240" s="8"/>
      <c r="F8240" s="8"/>
    </row>
    <row r="8241" spans="2:6">
      <c r="B8241" s="44"/>
      <c r="D8241" s="8"/>
      <c r="E8241" s="8"/>
      <c r="F8241" s="8"/>
    </row>
    <row r="8242" spans="2:6">
      <c r="B8242" s="44"/>
      <c r="D8242" s="8"/>
      <c r="E8242" s="8"/>
      <c r="F8242" s="8"/>
    </row>
    <row r="8243" spans="2:6">
      <c r="B8243" s="44"/>
      <c r="D8243" s="8"/>
      <c r="E8243" s="8"/>
      <c r="F8243" s="8"/>
    </row>
    <row r="8244" spans="2:6">
      <c r="B8244" s="44"/>
      <c r="D8244" s="8"/>
      <c r="E8244" s="8"/>
      <c r="F8244" s="8"/>
    </row>
    <row r="8245" spans="2:6">
      <c r="B8245" s="44"/>
      <c r="D8245" s="8"/>
      <c r="E8245" s="8"/>
      <c r="F8245" s="8"/>
    </row>
    <row r="8246" spans="2:6">
      <c r="B8246" s="44"/>
      <c r="D8246" s="8"/>
      <c r="E8246" s="8"/>
      <c r="F8246" s="8"/>
    </row>
    <row r="8247" spans="2:6">
      <c r="B8247" s="44"/>
      <c r="D8247" s="8"/>
      <c r="E8247" s="8"/>
      <c r="F8247" s="8"/>
    </row>
    <row r="8248" spans="2:6">
      <c r="B8248" s="44"/>
      <c r="D8248" s="8"/>
      <c r="E8248" s="8"/>
      <c r="F8248" s="8"/>
    </row>
    <row r="8249" spans="2:6">
      <c r="B8249" s="44"/>
      <c r="D8249" s="8"/>
      <c r="E8249" s="8"/>
      <c r="F8249" s="8"/>
    </row>
    <row r="8250" spans="2:6">
      <c r="B8250" s="44"/>
      <c r="D8250" s="8"/>
      <c r="E8250" s="8"/>
      <c r="F8250" s="8"/>
    </row>
    <row r="8251" spans="2:6">
      <c r="B8251" s="44"/>
      <c r="D8251" s="8"/>
      <c r="E8251" s="8"/>
      <c r="F8251" s="8"/>
    </row>
    <row r="8252" spans="2:6">
      <c r="B8252" s="44"/>
      <c r="D8252" s="8"/>
      <c r="E8252" s="8"/>
      <c r="F8252" s="8"/>
    </row>
    <row r="8253" spans="2:6">
      <c r="B8253" s="44"/>
      <c r="D8253" s="8"/>
      <c r="E8253" s="8"/>
      <c r="F8253" s="8"/>
    </row>
    <row r="8254" spans="2:6">
      <c r="B8254" s="44"/>
      <c r="D8254" s="8"/>
      <c r="E8254" s="8"/>
      <c r="F8254" s="8"/>
    </row>
    <row r="8255" spans="2:6">
      <c r="B8255" s="44"/>
      <c r="D8255" s="8"/>
      <c r="E8255" s="8"/>
      <c r="F8255" s="8"/>
    </row>
    <row r="8256" spans="2:6">
      <c r="B8256" s="44"/>
      <c r="D8256" s="8"/>
      <c r="E8256" s="8"/>
      <c r="F8256" s="8"/>
    </row>
    <row r="8257" spans="2:6">
      <c r="B8257" s="44"/>
      <c r="D8257" s="8"/>
      <c r="E8257" s="8"/>
      <c r="F8257" s="8"/>
    </row>
    <row r="8258" spans="2:6">
      <c r="B8258" s="44"/>
      <c r="D8258" s="8"/>
      <c r="E8258" s="8"/>
      <c r="F8258" s="8"/>
    </row>
    <row r="8259" spans="2:6">
      <c r="B8259" s="44"/>
      <c r="D8259" s="8"/>
      <c r="E8259" s="8"/>
      <c r="F8259" s="8"/>
    </row>
    <row r="8260" spans="2:6">
      <c r="B8260" s="44"/>
      <c r="D8260" s="8"/>
      <c r="E8260" s="8"/>
      <c r="F8260" s="8"/>
    </row>
    <row r="8261" spans="2:6">
      <c r="B8261" s="44"/>
      <c r="D8261" s="8"/>
      <c r="E8261" s="8"/>
      <c r="F8261" s="8"/>
    </row>
    <row r="8262" spans="2:6">
      <c r="B8262" s="44"/>
      <c r="D8262" s="8"/>
      <c r="E8262" s="8"/>
      <c r="F8262" s="8"/>
    </row>
    <row r="8263" spans="2:6">
      <c r="B8263" s="44"/>
      <c r="D8263" s="8"/>
      <c r="E8263" s="8"/>
      <c r="F8263" s="8"/>
    </row>
    <row r="8264" spans="2:6">
      <c r="B8264" s="44"/>
      <c r="D8264" s="8"/>
      <c r="E8264" s="8"/>
      <c r="F8264" s="8"/>
    </row>
    <row r="8265" spans="2:6">
      <c r="B8265" s="44"/>
      <c r="D8265" s="8"/>
      <c r="E8265" s="8"/>
      <c r="F8265" s="8"/>
    </row>
    <row r="8266" spans="2:6">
      <c r="B8266" s="44"/>
      <c r="D8266" s="8"/>
      <c r="E8266" s="8"/>
      <c r="F8266" s="8"/>
    </row>
    <row r="8267" spans="2:6">
      <c r="B8267" s="44"/>
      <c r="D8267" s="8"/>
      <c r="E8267" s="8"/>
      <c r="F8267" s="8"/>
    </row>
    <row r="8268" spans="2:6">
      <c r="B8268" s="44"/>
      <c r="D8268" s="8"/>
      <c r="E8268" s="8"/>
      <c r="F8268" s="8"/>
    </row>
    <row r="8269" spans="2:6">
      <c r="B8269" s="44"/>
      <c r="D8269" s="8"/>
      <c r="E8269" s="8"/>
      <c r="F8269" s="8"/>
    </row>
    <row r="8270" spans="2:6">
      <c r="B8270" s="44"/>
      <c r="D8270" s="8"/>
      <c r="E8270" s="8"/>
      <c r="F8270" s="8"/>
    </row>
    <row r="8271" spans="2:6">
      <c r="B8271" s="44"/>
      <c r="D8271" s="8"/>
      <c r="E8271" s="8"/>
      <c r="F8271" s="8"/>
    </row>
    <row r="8272" spans="2:6">
      <c r="B8272" s="44"/>
      <c r="D8272" s="8"/>
      <c r="E8272" s="8"/>
      <c r="F8272" s="8"/>
    </row>
    <row r="8273" spans="2:6">
      <c r="B8273" s="44"/>
      <c r="D8273" s="8"/>
      <c r="E8273" s="8"/>
      <c r="F8273" s="8"/>
    </row>
    <row r="8274" spans="2:6">
      <c r="B8274" s="44"/>
      <c r="D8274" s="8"/>
      <c r="E8274" s="8"/>
      <c r="F8274" s="8"/>
    </row>
    <row r="8275" spans="2:6">
      <c r="B8275" s="44"/>
      <c r="D8275" s="8"/>
      <c r="E8275" s="8"/>
      <c r="F8275" s="8"/>
    </row>
    <row r="8276" spans="2:6">
      <c r="B8276" s="44"/>
      <c r="D8276" s="8"/>
      <c r="E8276" s="8"/>
      <c r="F8276" s="8"/>
    </row>
    <row r="8277" spans="2:6">
      <c r="B8277" s="44"/>
      <c r="D8277" s="8"/>
      <c r="E8277" s="8"/>
      <c r="F8277" s="8"/>
    </row>
    <row r="8278" spans="2:6">
      <c r="B8278" s="44"/>
      <c r="D8278" s="8"/>
      <c r="E8278" s="8"/>
      <c r="F8278" s="8"/>
    </row>
    <row r="8279" spans="2:6">
      <c r="B8279" s="44"/>
      <c r="D8279" s="8"/>
      <c r="E8279" s="8"/>
      <c r="F8279" s="8"/>
    </row>
    <row r="8280" spans="2:6">
      <c r="B8280" s="44"/>
      <c r="D8280" s="8"/>
      <c r="E8280" s="8"/>
      <c r="F8280" s="8"/>
    </row>
    <row r="8281" spans="2:6">
      <c r="B8281" s="44"/>
      <c r="D8281" s="8"/>
      <c r="E8281" s="8"/>
      <c r="F8281" s="8"/>
    </row>
    <row r="8282" spans="2:6">
      <c r="B8282" s="44"/>
      <c r="D8282" s="8"/>
      <c r="E8282" s="8"/>
      <c r="F8282" s="8"/>
    </row>
    <row r="8283" spans="2:6">
      <c r="B8283" s="44"/>
      <c r="D8283" s="8"/>
      <c r="E8283" s="8"/>
      <c r="F8283" s="8"/>
    </row>
    <row r="8284" spans="2:6">
      <c r="B8284" s="44"/>
      <c r="D8284" s="8"/>
      <c r="E8284" s="8"/>
      <c r="F8284" s="8"/>
    </row>
    <row r="8285" spans="2:6">
      <c r="B8285" s="44"/>
      <c r="D8285" s="8"/>
      <c r="E8285" s="8"/>
      <c r="F8285" s="8"/>
    </row>
    <row r="8286" spans="2:6">
      <c r="B8286" s="44"/>
      <c r="D8286" s="8"/>
      <c r="E8286" s="8"/>
      <c r="F8286" s="8"/>
    </row>
    <row r="8287" spans="2:6">
      <c r="B8287" s="44"/>
      <c r="D8287" s="8"/>
      <c r="E8287" s="8"/>
      <c r="F8287" s="8"/>
    </row>
    <row r="8288" spans="2:6">
      <c r="B8288" s="44"/>
      <c r="D8288" s="8"/>
      <c r="E8288" s="8"/>
      <c r="F8288" s="8"/>
    </row>
    <row r="8289" spans="2:6">
      <c r="B8289" s="44"/>
      <c r="D8289" s="8"/>
      <c r="E8289" s="8"/>
      <c r="F8289" s="8"/>
    </row>
    <row r="8290" spans="2:6">
      <c r="B8290" s="44"/>
      <c r="D8290" s="8"/>
      <c r="E8290" s="8"/>
      <c r="F8290" s="8"/>
    </row>
    <row r="8291" spans="2:6">
      <c r="B8291" s="44"/>
      <c r="D8291" s="8"/>
      <c r="E8291" s="8"/>
      <c r="F8291" s="8"/>
    </row>
    <row r="8292" spans="2:6">
      <c r="B8292" s="44"/>
      <c r="D8292" s="8"/>
      <c r="E8292" s="8"/>
      <c r="F8292" s="8"/>
    </row>
    <row r="8293" spans="2:6">
      <c r="B8293" s="44"/>
      <c r="D8293" s="8"/>
      <c r="E8293" s="8"/>
      <c r="F8293" s="8"/>
    </row>
    <row r="8294" spans="2:6">
      <c r="B8294" s="44"/>
      <c r="D8294" s="8"/>
      <c r="E8294" s="8"/>
      <c r="F8294" s="8"/>
    </row>
    <row r="8295" spans="2:6">
      <c r="B8295" s="44"/>
      <c r="D8295" s="8"/>
      <c r="E8295" s="8"/>
      <c r="F8295" s="8"/>
    </row>
    <row r="8296" spans="2:6">
      <c r="B8296" s="44"/>
      <c r="D8296" s="8"/>
      <c r="E8296" s="8"/>
      <c r="F8296" s="8"/>
    </row>
    <row r="8297" spans="2:6">
      <c r="B8297" s="44"/>
      <c r="D8297" s="8"/>
      <c r="E8297" s="8"/>
      <c r="F8297" s="8"/>
    </row>
    <row r="8298" spans="2:6">
      <c r="B8298" s="44"/>
      <c r="D8298" s="8"/>
      <c r="E8298" s="8"/>
      <c r="F8298" s="8"/>
    </row>
    <row r="8299" spans="2:6">
      <c r="B8299" s="44"/>
      <c r="D8299" s="8"/>
      <c r="E8299" s="8"/>
      <c r="F8299" s="8"/>
    </row>
    <row r="8300" spans="2:6">
      <c r="B8300" s="44"/>
      <c r="D8300" s="8"/>
      <c r="E8300" s="8"/>
      <c r="F8300" s="8"/>
    </row>
    <row r="8301" spans="2:6">
      <c r="B8301" s="44"/>
      <c r="D8301" s="8"/>
      <c r="E8301" s="8"/>
      <c r="F8301" s="8"/>
    </row>
    <row r="8302" spans="2:6">
      <c r="B8302" s="44"/>
      <c r="D8302" s="8"/>
      <c r="E8302" s="8"/>
      <c r="F8302" s="8"/>
    </row>
    <row r="8303" spans="2:6">
      <c r="B8303" s="44"/>
      <c r="D8303" s="8"/>
      <c r="E8303" s="8"/>
      <c r="F8303" s="8"/>
    </row>
    <row r="8304" spans="2:6">
      <c r="B8304" s="44"/>
      <c r="D8304" s="8"/>
      <c r="E8304" s="8"/>
      <c r="F8304" s="8"/>
    </row>
    <row r="8305" spans="2:6">
      <c r="B8305" s="44"/>
      <c r="D8305" s="8"/>
      <c r="E8305" s="8"/>
      <c r="F8305" s="8"/>
    </row>
    <row r="8306" spans="2:6">
      <c r="B8306" s="44"/>
      <c r="D8306" s="8"/>
      <c r="E8306" s="8"/>
      <c r="F8306" s="8"/>
    </row>
    <row r="8307" spans="2:6">
      <c r="B8307" s="44"/>
      <c r="D8307" s="8"/>
      <c r="E8307" s="8"/>
      <c r="F8307" s="8"/>
    </row>
    <row r="8308" spans="2:6">
      <c r="B8308" s="44"/>
      <c r="D8308" s="8"/>
      <c r="E8308" s="8"/>
      <c r="F8308" s="8"/>
    </row>
    <row r="8309" spans="2:6">
      <c r="B8309" s="44"/>
      <c r="D8309" s="8"/>
      <c r="E8309" s="8"/>
      <c r="F8309" s="8"/>
    </row>
    <row r="8310" spans="2:6">
      <c r="B8310" s="44"/>
      <c r="D8310" s="8"/>
      <c r="E8310" s="8"/>
      <c r="F8310" s="8"/>
    </row>
    <row r="8311" spans="2:6">
      <c r="B8311" s="44"/>
      <c r="D8311" s="8"/>
      <c r="E8311" s="8"/>
      <c r="F8311" s="8"/>
    </row>
    <row r="8312" spans="2:6">
      <c r="B8312" s="44"/>
      <c r="D8312" s="8"/>
      <c r="E8312" s="8"/>
      <c r="F8312" s="8"/>
    </row>
    <row r="8313" spans="2:6">
      <c r="B8313" s="44"/>
      <c r="D8313" s="8"/>
      <c r="E8313" s="8"/>
      <c r="F8313" s="8"/>
    </row>
    <row r="8314" spans="2:6">
      <c r="B8314" s="44"/>
      <c r="D8314" s="8"/>
      <c r="E8314" s="8"/>
      <c r="F8314" s="8"/>
    </row>
    <row r="8315" spans="2:6">
      <c r="B8315" s="44"/>
      <c r="D8315" s="8"/>
      <c r="E8315" s="8"/>
      <c r="F8315" s="8"/>
    </row>
    <row r="8316" spans="2:6">
      <c r="B8316" s="44"/>
      <c r="D8316" s="8"/>
      <c r="E8316" s="8"/>
      <c r="F8316" s="8"/>
    </row>
    <row r="8317" spans="2:6">
      <c r="B8317" s="44"/>
      <c r="D8317" s="8"/>
      <c r="E8317" s="8"/>
      <c r="F8317" s="8"/>
    </row>
    <row r="8318" spans="2:6">
      <c r="B8318" s="44"/>
      <c r="D8318" s="8"/>
      <c r="E8318" s="8"/>
      <c r="F8318" s="8"/>
    </row>
    <row r="8319" spans="2:6">
      <c r="B8319" s="44"/>
      <c r="D8319" s="8"/>
      <c r="E8319" s="8"/>
      <c r="F8319" s="8"/>
    </row>
    <row r="8320" spans="2:6">
      <c r="B8320" s="44"/>
      <c r="D8320" s="8"/>
      <c r="E8320" s="8"/>
      <c r="F8320" s="8"/>
    </row>
    <row r="8321" spans="2:6">
      <c r="B8321" s="44"/>
      <c r="D8321" s="8"/>
      <c r="E8321" s="8"/>
      <c r="F8321" s="8"/>
    </row>
    <row r="8322" spans="2:6">
      <c r="B8322" s="44"/>
      <c r="D8322" s="8"/>
      <c r="E8322" s="8"/>
      <c r="F8322" s="8"/>
    </row>
    <row r="8323" spans="2:6">
      <c r="B8323" s="44"/>
      <c r="D8323" s="8"/>
      <c r="E8323" s="8"/>
      <c r="F8323" s="8"/>
    </row>
    <row r="8324" spans="2:6">
      <c r="B8324" s="44"/>
      <c r="D8324" s="8"/>
      <c r="E8324" s="8"/>
      <c r="F8324" s="8"/>
    </row>
    <row r="8325" spans="2:6">
      <c r="B8325" s="44"/>
      <c r="D8325" s="8"/>
      <c r="E8325" s="8"/>
      <c r="F8325" s="8"/>
    </row>
    <row r="8326" spans="2:6">
      <c r="B8326" s="44"/>
      <c r="D8326" s="8"/>
      <c r="E8326" s="8"/>
      <c r="F8326" s="8"/>
    </row>
    <row r="8327" spans="2:6">
      <c r="B8327" s="44"/>
      <c r="D8327" s="8"/>
      <c r="E8327" s="8"/>
      <c r="F8327" s="8"/>
    </row>
    <row r="8328" spans="2:6">
      <c r="B8328" s="44"/>
      <c r="D8328" s="8"/>
      <c r="E8328" s="8"/>
      <c r="F8328" s="8"/>
    </row>
    <row r="8329" spans="2:6">
      <c r="B8329" s="44"/>
      <c r="D8329" s="8"/>
      <c r="E8329" s="8"/>
      <c r="F8329" s="8"/>
    </row>
    <row r="8330" spans="2:6">
      <c r="B8330" s="44"/>
      <c r="D8330" s="8"/>
      <c r="E8330" s="8"/>
      <c r="F8330" s="8"/>
    </row>
    <row r="8331" spans="2:6">
      <c r="B8331" s="44"/>
      <c r="D8331" s="8"/>
      <c r="E8331" s="8"/>
      <c r="F8331" s="8"/>
    </row>
    <row r="8332" spans="2:6">
      <c r="B8332" s="44"/>
      <c r="D8332" s="8"/>
      <c r="E8332" s="8"/>
      <c r="F8332" s="8"/>
    </row>
    <row r="8333" spans="2:6">
      <c r="B8333" s="44"/>
      <c r="D8333" s="8"/>
      <c r="E8333" s="8"/>
      <c r="F8333" s="8"/>
    </row>
    <row r="8334" spans="2:6">
      <c r="B8334" s="44"/>
      <c r="D8334" s="8"/>
      <c r="E8334" s="8"/>
      <c r="F8334" s="8"/>
    </row>
    <row r="8335" spans="2:6">
      <c r="B8335" s="44"/>
      <c r="D8335" s="8"/>
      <c r="E8335" s="8"/>
      <c r="F8335" s="8"/>
    </row>
    <row r="8336" spans="2:6">
      <c r="B8336" s="44"/>
      <c r="D8336" s="8"/>
      <c r="E8336" s="8"/>
      <c r="F8336" s="8"/>
    </row>
    <row r="8337" spans="2:6">
      <c r="B8337" s="44"/>
      <c r="D8337" s="8"/>
      <c r="E8337" s="8"/>
      <c r="F8337" s="8"/>
    </row>
    <row r="8338" spans="2:6">
      <c r="B8338" s="44"/>
      <c r="D8338" s="8"/>
      <c r="E8338" s="8"/>
      <c r="F8338" s="8"/>
    </row>
    <row r="8339" spans="2:6">
      <c r="B8339" s="44"/>
      <c r="D8339" s="8"/>
      <c r="E8339" s="8"/>
      <c r="F8339" s="8"/>
    </row>
    <row r="8340" spans="2:6">
      <c r="B8340" s="44"/>
      <c r="D8340" s="8"/>
      <c r="E8340" s="8"/>
      <c r="F8340" s="8"/>
    </row>
    <row r="8341" spans="2:6">
      <c r="B8341" s="44"/>
      <c r="D8341" s="8"/>
      <c r="E8341" s="8"/>
      <c r="F8341" s="8"/>
    </row>
    <row r="8342" spans="2:6">
      <c r="B8342" s="44"/>
      <c r="D8342" s="8"/>
      <c r="E8342" s="8"/>
      <c r="F8342" s="8"/>
    </row>
    <row r="8343" spans="2:6">
      <c r="B8343" s="44"/>
      <c r="D8343" s="8"/>
      <c r="E8343" s="8"/>
      <c r="F8343" s="8"/>
    </row>
    <row r="8344" spans="2:6">
      <c r="B8344" s="44"/>
      <c r="D8344" s="8"/>
      <c r="E8344" s="8"/>
      <c r="F8344" s="8"/>
    </row>
    <row r="8345" spans="2:6">
      <c r="B8345" s="44"/>
      <c r="D8345" s="8"/>
      <c r="E8345" s="8"/>
      <c r="F8345" s="8"/>
    </row>
    <row r="8346" spans="2:6">
      <c r="B8346" s="44"/>
      <c r="D8346" s="8"/>
      <c r="E8346" s="8"/>
      <c r="F8346" s="8"/>
    </row>
    <row r="8347" spans="2:6">
      <c r="B8347" s="44"/>
      <c r="D8347" s="8"/>
      <c r="E8347" s="8"/>
      <c r="F8347" s="8"/>
    </row>
    <row r="8348" spans="2:6">
      <c r="B8348" s="44"/>
      <c r="D8348" s="8"/>
      <c r="E8348" s="8"/>
      <c r="F8348" s="8"/>
    </row>
    <row r="8349" spans="2:6">
      <c r="B8349" s="44"/>
      <c r="D8349" s="8"/>
      <c r="E8349" s="8"/>
      <c r="F8349" s="8"/>
    </row>
    <row r="8350" spans="2:6">
      <c r="B8350" s="44"/>
      <c r="D8350" s="8"/>
      <c r="E8350" s="8"/>
      <c r="F8350" s="8"/>
    </row>
    <row r="8351" spans="2:6">
      <c r="B8351" s="44"/>
      <c r="D8351" s="8"/>
      <c r="E8351" s="8"/>
      <c r="F8351" s="8"/>
    </row>
    <row r="8352" spans="2:6">
      <c r="B8352" s="44"/>
      <c r="D8352" s="8"/>
      <c r="E8352" s="8"/>
      <c r="F8352" s="8"/>
    </row>
    <row r="8353" spans="2:6">
      <c r="B8353" s="44"/>
      <c r="D8353" s="8"/>
      <c r="E8353" s="8"/>
      <c r="F8353" s="8"/>
    </row>
    <row r="8354" spans="2:6">
      <c r="B8354" s="44"/>
      <c r="D8354" s="8"/>
      <c r="E8354" s="8"/>
      <c r="F8354" s="8"/>
    </row>
    <row r="8355" spans="2:6">
      <c r="B8355" s="44"/>
      <c r="D8355" s="8"/>
      <c r="E8355" s="8"/>
      <c r="F8355" s="8"/>
    </row>
    <row r="8356" spans="2:6">
      <c r="B8356" s="44"/>
      <c r="D8356" s="8"/>
      <c r="E8356" s="8"/>
      <c r="F8356" s="8"/>
    </row>
    <row r="8357" spans="2:6">
      <c r="B8357" s="44"/>
      <c r="D8357" s="8"/>
      <c r="E8357" s="8"/>
      <c r="F8357" s="8"/>
    </row>
    <row r="8358" spans="2:6">
      <c r="B8358" s="44"/>
      <c r="D8358" s="8"/>
      <c r="E8358" s="8"/>
      <c r="F8358" s="8"/>
    </row>
    <row r="8359" spans="2:6">
      <c r="B8359" s="44"/>
      <c r="D8359" s="8"/>
      <c r="E8359" s="8"/>
      <c r="F8359" s="8"/>
    </row>
    <row r="8360" spans="2:6">
      <c r="B8360" s="44"/>
      <c r="D8360" s="8"/>
      <c r="E8360" s="8"/>
      <c r="F8360" s="8"/>
    </row>
    <row r="8361" spans="2:6">
      <c r="B8361" s="44"/>
      <c r="D8361" s="8"/>
      <c r="E8361" s="8"/>
      <c r="F8361" s="8"/>
    </row>
    <row r="8362" spans="2:6">
      <c r="B8362" s="44"/>
      <c r="D8362" s="8"/>
      <c r="E8362" s="8"/>
      <c r="F8362" s="8"/>
    </row>
    <row r="8363" spans="2:6">
      <c r="B8363" s="44"/>
      <c r="D8363" s="8"/>
      <c r="E8363" s="8"/>
      <c r="F8363" s="8"/>
    </row>
    <row r="8364" spans="2:6">
      <c r="B8364" s="44"/>
      <c r="D8364" s="8"/>
      <c r="E8364" s="8"/>
      <c r="F8364" s="8"/>
    </row>
    <row r="8365" spans="2:6">
      <c r="B8365" s="44"/>
      <c r="D8365" s="8"/>
      <c r="E8365" s="8"/>
      <c r="F8365" s="8"/>
    </row>
    <row r="8366" spans="2:6">
      <c r="B8366" s="44"/>
      <c r="D8366" s="8"/>
      <c r="E8366" s="8"/>
      <c r="F8366" s="8"/>
    </row>
    <row r="8367" spans="2:6">
      <c r="B8367" s="44"/>
      <c r="D8367" s="8"/>
      <c r="E8367" s="8"/>
      <c r="F8367" s="8"/>
    </row>
    <row r="8368" spans="2:6">
      <c r="B8368" s="44"/>
      <c r="D8368" s="8"/>
      <c r="E8368" s="8"/>
      <c r="F8368" s="8"/>
    </row>
    <row r="8369" spans="2:6">
      <c r="B8369" s="44"/>
      <c r="D8369" s="8"/>
      <c r="E8369" s="8"/>
      <c r="F8369" s="8"/>
    </row>
    <row r="8370" spans="2:6">
      <c r="B8370" s="44"/>
      <c r="D8370" s="8"/>
      <c r="E8370" s="8"/>
      <c r="F8370" s="8"/>
    </row>
    <row r="8371" spans="2:6">
      <c r="B8371" s="44"/>
      <c r="D8371" s="8"/>
      <c r="E8371" s="8"/>
      <c r="F8371" s="8"/>
    </row>
    <row r="8372" spans="2:6">
      <c r="B8372" s="44"/>
      <c r="D8372" s="8"/>
      <c r="E8372" s="8"/>
      <c r="F8372" s="8"/>
    </row>
    <row r="8373" spans="2:6">
      <c r="B8373" s="44"/>
      <c r="D8373" s="8"/>
      <c r="E8373" s="8"/>
      <c r="F8373" s="8"/>
    </row>
    <row r="8374" spans="2:6">
      <c r="B8374" s="44"/>
      <c r="D8374" s="8"/>
      <c r="E8374" s="8"/>
      <c r="F8374" s="8"/>
    </row>
    <row r="8375" spans="2:6">
      <c r="B8375" s="44"/>
      <c r="D8375" s="8"/>
      <c r="E8375" s="8"/>
      <c r="F8375" s="8"/>
    </row>
    <row r="8376" spans="2:6">
      <c r="B8376" s="44"/>
      <c r="D8376" s="8"/>
      <c r="E8376" s="8"/>
      <c r="F8376" s="8"/>
    </row>
    <row r="8377" spans="2:6">
      <c r="B8377" s="44"/>
      <c r="D8377" s="8"/>
      <c r="E8377" s="8"/>
      <c r="F8377" s="8"/>
    </row>
    <row r="8378" spans="2:6">
      <c r="B8378" s="44"/>
      <c r="D8378" s="8"/>
      <c r="E8378" s="8"/>
      <c r="F8378" s="8"/>
    </row>
    <row r="8379" spans="2:6">
      <c r="B8379" s="44"/>
      <c r="D8379" s="8"/>
      <c r="E8379" s="8"/>
      <c r="F8379" s="8"/>
    </row>
    <row r="8380" spans="2:6">
      <c r="B8380" s="44"/>
      <c r="D8380" s="8"/>
      <c r="E8380" s="8"/>
      <c r="F8380" s="8"/>
    </row>
    <row r="8381" spans="2:6">
      <c r="B8381" s="44"/>
      <c r="D8381" s="8"/>
      <c r="E8381" s="8"/>
      <c r="F8381" s="8"/>
    </row>
    <row r="8382" spans="2:6">
      <c r="B8382" s="44"/>
      <c r="D8382" s="8"/>
      <c r="E8382" s="8"/>
      <c r="F8382" s="8"/>
    </row>
    <row r="8383" spans="2:6">
      <c r="B8383" s="44"/>
      <c r="D8383" s="8"/>
      <c r="E8383" s="8"/>
      <c r="F8383" s="8"/>
    </row>
    <row r="8384" spans="2:6">
      <c r="B8384" s="44"/>
      <c r="D8384" s="8"/>
      <c r="E8384" s="8"/>
      <c r="F8384" s="8"/>
    </row>
    <row r="8385" spans="2:6">
      <c r="B8385" s="44"/>
      <c r="D8385" s="8"/>
      <c r="E8385" s="8"/>
      <c r="F8385" s="8"/>
    </row>
    <row r="8386" spans="2:6">
      <c r="B8386" s="44"/>
      <c r="D8386" s="8"/>
      <c r="E8386" s="8"/>
      <c r="F8386" s="8"/>
    </row>
    <row r="8387" spans="2:6">
      <c r="B8387" s="44"/>
      <c r="D8387" s="8"/>
      <c r="E8387" s="8"/>
      <c r="F8387" s="8"/>
    </row>
    <row r="8388" spans="2:6">
      <c r="B8388" s="44"/>
      <c r="D8388" s="8"/>
      <c r="E8388" s="8"/>
      <c r="F8388" s="8"/>
    </row>
    <row r="8389" spans="2:6">
      <c r="B8389" s="44"/>
      <c r="D8389" s="8"/>
      <c r="E8389" s="8"/>
      <c r="F8389" s="8"/>
    </row>
    <row r="8390" spans="2:6">
      <c r="B8390" s="44"/>
      <c r="D8390" s="8"/>
      <c r="E8390" s="8"/>
      <c r="F8390" s="8"/>
    </row>
    <row r="8391" spans="2:6">
      <c r="B8391" s="44"/>
      <c r="D8391" s="8"/>
      <c r="E8391" s="8"/>
      <c r="F8391" s="8"/>
    </row>
    <row r="8392" spans="2:6">
      <c r="B8392" s="44"/>
      <c r="D8392" s="8"/>
      <c r="E8392" s="8"/>
      <c r="F8392" s="8"/>
    </row>
    <row r="8393" spans="2:6">
      <c r="B8393" s="44"/>
      <c r="D8393" s="8"/>
      <c r="E8393" s="8"/>
      <c r="F8393" s="8"/>
    </row>
    <row r="8394" spans="2:6">
      <c r="B8394" s="44"/>
      <c r="D8394" s="8"/>
      <c r="E8394" s="8"/>
      <c r="F8394" s="8"/>
    </row>
    <row r="8395" spans="2:6">
      <c r="B8395" s="44"/>
      <c r="D8395" s="8"/>
      <c r="E8395" s="8"/>
      <c r="F8395" s="8"/>
    </row>
    <row r="8396" spans="2:6">
      <c r="B8396" s="44"/>
      <c r="D8396" s="8"/>
      <c r="E8396" s="8"/>
      <c r="F8396" s="8"/>
    </row>
    <row r="8397" spans="2:6">
      <c r="B8397" s="44"/>
      <c r="D8397" s="8"/>
      <c r="E8397" s="8"/>
      <c r="F8397" s="8"/>
    </row>
    <row r="8398" spans="2:6">
      <c r="B8398" s="44"/>
      <c r="D8398" s="8"/>
      <c r="E8398" s="8"/>
      <c r="F8398" s="8"/>
    </row>
    <row r="8399" spans="2:6">
      <c r="B8399" s="44"/>
      <c r="D8399" s="8"/>
      <c r="E8399" s="8"/>
      <c r="F8399" s="8"/>
    </row>
    <row r="8400" spans="2:6">
      <c r="B8400" s="44"/>
      <c r="D8400" s="8"/>
      <c r="E8400" s="8"/>
      <c r="F8400" s="8"/>
    </row>
    <row r="8401" spans="2:6">
      <c r="B8401" s="44"/>
      <c r="D8401" s="8"/>
      <c r="E8401" s="8"/>
      <c r="F8401" s="8"/>
    </row>
    <row r="8402" spans="2:6">
      <c r="B8402" s="44"/>
      <c r="D8402" s="8"/>
      <c r="E8402" s="8"/>
      <c r="F8402" s="8"/>
    </row>
    <row r="8403" spans="2:6">
      <c r="B8403" s="44"/>
      <c r="D8403" s="8"/>
      <c r="E8403" s="8"/>
      <c r="F8403" s="8"/>
    </row>
    <row r="8404" spans="2:6">
      <c r="B8404" s="44"/>
      <c r="D8404" s="8"/>
      <c r="E8404" s="8"/>
      <c r="F8404" s="8"/>
    </row>
    <row r="8405" spans="2:6">
      <c r="B8405" s="44"/>
      <c r="D8405" s="8"/>
      <c r="E8405" s="8"/>
      <c r="F8405" s="8"/>
    </row>
    <row r="8406" spans="2:6">
      <c r="B8406" s="44"/>
      <c r="D8406" s="8"/>
      <c r="E8406" s="8"/>
      <c r="F8406" s="8"/>
    </row>
    <row r="8407" spans="2:6">
      <c r="B8407" s="44"/>
      <c r="D8407" s="8"/>
      <c r="E8407" s="8"/>
      <c r="F8407" s="8"/>
    </row>
    <row r="8408" spans="2:6">
      <c r="B8408" s="44"/>
      <c r="D8408" s="8"/>
      <c r="E8408" s="8"/>
      <c r="F8408" s="8"/>
    </row>
    <row r="8409" spans="2:6">
      <c r="B8409" s="44"/>
      <c r="D8409" s="8"/>
      <c r="E8409" s="8"/>
      <c r="F8409" s="8"/>
    </row>
    <row r="8410" spans="2:6">
      <c r="B8410" s="44"/>
      <c r="D8410" s="8"/>
      <c r="E8410" s="8"/>
      <c r="F8410" s="8"/>
    </row>
    <row r="8411" spans="2:6">
      <c r="B8411" s="44"/>
      <c r="D8411" s="8"/>
      <c r="E8411" s="8"/>
      <c r="F8411" s="8"/>
    </row>
    <row r="8412" spans="2:6">
      <c r="B8412" s="44"/>
      <c r="D8412" s="8"/>
      <c r="E8412" s="8"/>
      <c r="F8412" s="8"/>
    </row>
    <row r="8413" spans="2:6">
      <c r="B8413" s="44"/>
      <c r="D8413" s="8"/>
      <c r="E8413" s="8"/>
      <c r="F8413" s="8"/>
    </row>
    <row r="8414" spans="2:6">
      <c r="B8414" s="44"/>
      <c r="D8414" s="8"/>
      <c r="E8414" s="8"/>
      <c r="F8414" s="8"/>
    </row>
    <row r="8415" spans="2:6">
      <c r="B8415" s="44"/>
      <c r="D8415" s="8"/>
      <c r="E8415" s="8"/>
      <c r="F8415" s="8"/>
    </row>
    <row r="8416" spans="2:6">
      <c r="B8416" s="44"/>
      <c r="D8416" s="8"/>
      <c r="E8416" s="8"/>
      <c r="F8416" s="8"/>
    </row>
    <row r="8417" spans="2:6">
      <c r="B8417" s="44"/>
      <c r="D8417" s="8"/>
      <c r="E8417" s="8"/>
      <c r="F8417" s="8"/>
    </row>
    <row r="8418" spans="2:6">
      <c r="B8418" s="44"/>
      <c r="D8418" s="8"/>
      <c r="E8418" s="8"/>
      <c r="F8418" s="8"/>
    </row>
    <row r="8419" spans="2:6">
      <c r="B8419" s="44"/>
      <c r="D8419" s="8"/>
      <c r="E8419" s="8"/>
      <c r="F8419" s="8"/>
    </row>
    <row r="8420" spans="2:6">
      <c r="B8420" s="44"/>
      <c r="D8420" s="8"/>
      <c r="E8420" s="8"/>
      <c r="F8420" s="8"/>
    </row>
    <row r="8421" spans="2:6">
      <c r="B8421" s="44"/>
      <c r="D8421" s="8"/>
      <c r="E8421" s="8"/>
      <c r="F8421" s="8"/>
    </row>
    <row r="8422" spans="2:6">
      <c r="B8422" s="44"/>
      <c r="D8422" s="8"/>
      <c r="E8422" s="8"/>
      <c r="F8422" s="8"/>
    </row>
    <row r="8423" spans="2:6">
      <c r="B8423" s="44"/>
      <c r="D8423" s="8"/>
      <c r="E8423" s="8"/>
      <c r="F8423" s="8"/>
    </row>
    <row r="8424" spans="2:6">
      <c r="B8424" s="44"/>
      <c r="D8424" s="8"/>
      <c r="E8424" s="8"/>
      <c r="F8424" s="8"/>
    </row>
    <row r="8425" spans="2:6">
      <c r="B8425" s="44"/>
      <c r="D8425" s="8"/>
      <c r="E8425" s="8"/>
      <c r="F8425" s="8"/>
    </row>
    <row r="8426" spans="2:6">
      <c r="B8426" s="44"/>
      <c r="D8426" s="8"/>
      <c r="E8426" s="8"/>
      <c r="F8426" s="8"/>
    </row>
    <row r="8427" spans="2:6">
      <c r="B8427" s="44"/>
      <c r="D8427" s="8"/>
      <c r="E8427" s="8"/>
      <c r="F8427" s="8"/>
    </row>
    <row r="8428" spans="2:6">
      <c r="B8428" s="44"/>
      <c r="D8428" s="8"/>
      <c r="E8428" s="8"/>
      <c r="F8428" s="8"/>
    </row>
    <row r="8429" spans="2:6">
      <c r="B8429" s="44"/>
      <c r="D8429" s="8"/>
      <c r="E8429" s="8"/>
      <c r="F8429" s="8"/>
    </row>
    <row r="8430" spans="2:6">
      <c r="B8430" s="44"/>
      <c r="D8430" s="8"/>
      <c r="E8430" s="8"/>
      <c r="F8430" s="8"/>
    </row>
    <row r="8431" spans="2:6">
      <c r="B8431" s="44"/>
      <c r="D8431" s="8"/>
      <c r="E8431" s="8"/>
      <c r="F8431" s="8"/>
    </row>
    <row r="8432" spans="2:6">
      <c r="B8432" s="44"/>
      <c r="D8432" s="8"/>
      <c r="E8432" s="8"/>
      <c r="F8432" s="8"/>
    </row>
    <row r="8433" spans="2:6">
      <c r="B8433" s="44"/>
      <c r="D8433" s="8"/>
      <c r="E8433" s="8"/>
      <c r="F8433" s="8"/>
    </row>
    <row r="8434" spans="2:6">
      <c r="B8434" s="44"/>
      <c r="D8434" s="8"/>
      <c r="E8434" s="8"/>
      <c r="F8434" s="8"/>
    </row>
    <row r="8435" spans="2:6">
      <c r="B8435" s="44"/>
      <c r="D8435" s="8"/>
      <c r="E8435" s="8"/>
      <c r="F8435" s="8"/>
    </row>
    <row r="8436" spans="2:6">
      <c r="B8436" s="44"/>
      <c r="D8436" s="8"/>
      <c r="E8436" s="8"/>
      <c r="F8436" s="8"/>
    </row>
    <row r="8437" spans="2:6">
      <c r="B8437" s="44"/>
      <c r="D8437" s="8"/>
      <c r="E8437" s="8"/>
      <c r="F8437" s="8"/>
    </row>
    <row r="8438" spans="2:6">
      <c r="B8438" s="44"/>
      <c r="D8438" s="8"/>
      <c r="E8438" s="8"/>
      <c r="F8438" s="8"/>
    </row>
    <row r="8439" spans="2:6">
      <c r="B8439" s="44"/>
      <c r="D8439" s="8"/>
      <c r="E8439" s="8"/>
      <c r="F8439" s="8"/>
    </row>
    <row r="8440" spans="2:6">
      <c r="B8440" s="44"/>
      <c r="D8440" s="8"/>
      <c r="E8440" s="8"/>
      <c r="F8440" s="8"/>
    </row>
    <row r="8441" spans="2:6">
      <c r="B8441" s="44"/>
      <c r="D8441" s="8"/>
      <c r="E8441" s="8"/>
      <c r="F8441" s="8"/>
    </row>
    <row r="8442" spans="2:6">
      <c r="B8442" s="44"/>
      <c r="D8442" s="8"/>
      <c r="E8442" s="8"/>
      <c r="F8442" s="8"/>
    </row>
    <row r="8443" spans="2:6">
      <c r="B8443" s="44"/>
      <c r="D8443" s="8"/>
      <c r="E8443" s="8"/>
      <c r="F8443" s="8"/>
    </row>
    <row r="8444" spans="2:6">
      <c r="B8444" s="44"/>
      <c r="D8444" s="8"/>
      <c r="E8444" s="8"/>
      <c r="F8444" s="8"/>
    </row>
    <row r="8445" spans="2:6">
      <c r="B8445" s="44"/>
      <c r="D8445" s="8"/>
      <c r="E8445" s="8"/>
      <c r="F8445" s="8"/>
    </row>
    <row r="8446" spans="2:6">
      <c r="B8446" s="44"/>
      <c r="D8446" s="8"/>
      <c r="E8446" s="8"/>
      <c r="F8446" s="8"/>
    </row>
    <row r="8447" spans="2:6">
      <c r="B8447" s="44"/>
      <c r="D8447" s="8"/>
      <c r="E8447" s="8"/>
      <c r="F8447" s="8"/>
    </row>
    <row r="8448" spans="2:6">
      <c r="B8448" s="44"/>
      <c r="D8448" s="8"/>
      <c r="E8448" s="8"/>
      <c r="F8448" s="8"/>
    </row>
    <row r="8449" spans="2:6">
      <c r="B8449" s="44"/>
      <c r="D8449" s="8"/>
      <c r="E8449" s="8"/>
      <c r="F8449" s="8"/>
    </row>
    <row r="8450" spans="2:6">
      <c r="B8450" s="44"/>
      <c r="D8450" s="8"/>
      <c r="E8450" s="8"/>
      <c r="F8450" s="8"/>
    </row>
    <row r="8451" spans="2:6">
      <c r="B8451" s="44"/>
      <c r="D8451" s="8"/>
      <c r="E8451" s="8"/>
      <c r="F8451" s="8"/>
    </row>
    <row r="8452" spans="2:6">
      <c r="B8452" s="44"/>
      <c r="D8452" s="8"/>
      <c r="E8452" s="8"/>
      <c r="F8452" s="8"/>
    </row>
    <row r="8453" spans="2:6">
      <c r="B8453" s="44"/>
      <c r="D8453" s="8"/>
      <c r="E8453" s="8"/>
      <c r="F8453" s="8"/>
    </row>
    <row r="8454" spans="2:6">
      <c r="B8454" s="44"/>
      <c r="D8454" s="8"/>
      <c r="E8454" s="8"/>
      <c r="F8454" s="8"/>
    </row>
    <row r="8455" spans="2:6">
      <c r="B8455" s="44"/>
      <c r="D8455" s="8"/>
      <c r="E8455" s="8"/>
      <c r="F8455" s="8"/>
    </row>
    <row r="8456" spans="2:6">
      <c r="B8456" s="44"/>
      <c r="D8456" s="8"/>
      <c r="E8456" s="8"/>
      <c r="F8456" s="8"/>
    </row>
    <row r="8457" spans="2:6">
      <c r="B8457" s="44"/>
      <c r="D8457" s="8"/>
      <c r="E8457" s="8"/>
      <c r="F8457" s="8"/>
    </row>
    <row r="8458" spans="2:6">
      <c r="B8458" s="44"/>
      <c r="D8458" s="8"/>
      <c r="E8458" s="8"/>
      <c r="F8458" s="8"/>
    </row>
    <row r="8459" spans="2:6">
      <c r="B8459" s="44"/>
      <c r="D8459" s="8"/>
      <c r="E8459" s="8"/>
      <c r="F8459" s="8"/>
    </row>
    <row r="8460" spans="2:6">
      <c r="B8460" s="44"/>
      <c r="D8460" s="8"/>
      <c r="E8460" s="8"/>
      <c r="F8460" s="8"/>
    </row>
    <row r="8461" spans="2:6">
      <c r="B8461" s="44"/>
      <c r="D8461" s="8"/>
      <c r="E8461" s="8"/>
      <c r="F8461" s="8"/>
    </row>
    <row r="8462" spans="2:6">
      <c r="B8462" s="44"/>
      <c r="D8462" s="8"/>
      <c r="E8462" s="8"/>
      <c r="F8462" s="8"/>
    </row>
    <row r="8463" spans="2:6">
      <c r="B8463" s="44"/>
      <c r="D8463" s="8"/>
      <c r="E8463" s="8"/>
      <c r="F8463" s="8"/>
    </row>
    <row r="8464" spans="2:6">
      <c r="B8464" s="44"/>
      <c r="D8464" s="8"/>
      <c r="E8464" s="8"/>
      <c r="F8464" s="8"/>
    </row>
    <row r="8465" spans="2:6">
      <c r="B8465" s="44"/>
      <c r="D8465" s="8"/>
      <c r="E8465" s="8"/>
      <c r="F8465" s="8"/>
    </row>
    <row r="8466" spans="2:6">
      <c r="B8466" s="44"/>
      <c r="D8466" s="8"/>
      <c r="E8466" s="8"/>
      <c r="F8466" s="8"/>
    </row>
    <row r="8467" spans="2:6">
      <c r="B8467" s="44"/>
      <c r="D8467" s="8"/>
      <c r="E8467" s="8"/>
      <c r="F8467" s="8"/>
    </row>
    <row r="8468" spans="2:6">
      <c r="B8468" s="44"/>
      <c r="D8468" s="8"/>
      <c r="E8468" s="8"/>
      <c r="F8468" s="8"/>
    </row>
    <row r="8469" spans="2:6">
      <c r="B8469" s="44"/>
      <c r="D8469" s="8"/>
      <c r="E8469" s="8"/>
      <c r="F8469" s="8"/>
    </row>
    <row r="8470" spans="2:6">
      <c r="B8470" s="44"/>
      <c r="D8470" s="8"/>
      <c r="E8470" s="8"/>
      <c r="F8470" s="8"/>
    </row>
    <row r="8471" spans="2:6">
      <c r="B8471" s="44"/>
      <c r="D8471" s="8"/>
      <c r="E8471" s="8"/>
      <c r="F8471" s="8"/>
    </row>
    <row r="8472" spans="2:6">
      <c r="B8472" s="44"/>
      <c r="D8472" s="8"/>
      <c r="E8472" s="8"/>
      <c r="F8472" s="8"/>
    </row>
    <row r="8473" spans="2:6">
      <c r="B8473" s="44"/>
      <c r="D8473" s="8"/>
      <c r="E8473" s="8"/>
      <c r="F8473" s="8"/>
    </row>
    <row r="8474" spans="2:6">
      <c r="B8474" s="44"/>
      <c r="D8474" s="8"/>
      <c r="E8474" s="8"/>
      <c r="F8474" s="8"/>
    </row>
    <row r="8475" spans="2:6">
      <c r="B8475" s="44"/>
      <c r="D8475" s="8"/>
      <c r="E8475" s="8"/>
      <c r="F8475" s="8"/>
    </row>
    <row r="8476" spans="2:6">
      <c r="B8476" s="44"/>
      <c r="D8476" s="8"/>
      <c r="E8476" s="8"/>
      <c r="F8476" s="8"/>
    </row>
    <row r="8477" spans="2:6">
      <c r="B8477" s="44"/>
      <c r="D8477" s="8"/>
      <c r="E8477" s="8"/>
      <c r="F8477" s="8"/>
    </row>
    <row r="8478" spans="2:6">
      <c r="B8478" s="44"/>
      <c r="D8478" s="8"/>
      <c r="E8478" s="8"/>
      <c r="F8478" s="8"/>
    </row>
    <row r="8479" spans="2:6">
      <c r="B8479" s="44"/>
      <c r="D8479" s="8"/>
      <c r="E8479" s="8"/>
      <c r="F8479" s="8"/>
    </row>
    <row r="8480" spans="2:6">
      <c r="B8480" s="44"/>
      <c r="D8480" s="8"/>
      <c r="E8480" s="8"/>
      <c r="F8480" s="8"/>
    </row>
    <row r="8481" spans="2:6">
      <c r="B8481" s="44"/>
      <c r="D8481" s="8"/>
      <c r="E8481" s="8"/>
      <c r="F8481" s="8"/>
    </row>
    <row r="8482" spans="2:6">
      <c r="B8482" s="44"/>
      <c r="D8482" s="8"/>
      <c r="E8482" s="8"/>
      <c r="F8482" s="8"/>
    </row>
    <row r="8483" spans="2:6">
      <c r="B8483" s="44"/>
      <c r="D8483" s="8"/>
      <c r="E8483" s="8"/>
      <c r="F8483" s="8"/>
    </row>
    <row r="8484" spans="2:6">
      <c r="B8484" s="44"/>
      <c r="D8484" s="8"/>
      <c r="E8484" s="8"/>
      <c r="F8484" s="8"/>
    </row>
    <row r="8485" spans="2:6">
      <c r="B8485" s="44"/>
      <c r="D8485" s="8"/>
      <c r="E8485" s="8"/>
      <c r="F8485" s="8"/>
    </row>
    <row r="8486" spans="2:6">
      <c r="B8486" s="44"/>
      <c r="D8486" s="8"/>
      <c r="E8486" s="8"/>
      <c r="F8486" s="8"/>
    </row>
    <row r="8487" spans="2:6">
      <c r="B8487" s="44"/>
      <c r="D8487" s="8"/>
      <c r="E8487" s="8"/>
      <c r="F8487" s="8"/>
    </row>
    <row r="8488" spans="2:6">
      <c r="B8488" s="44"/>
      <c r="D8488" s="8"/>
      <c r="E8488" s="8"/>
      <c r="F8488" s="8"/>
    </row>
    <row r="8489" spans="2:6">
      <c r="B8489" s="44"/>
      <c r="D8489" s="8"/>
      <c r="E8489" s="8"/>
      <c r="F8489" s="8"/>
    </row>
    <row r="8490" spans="2:6">
      <c r="B8490" s="44"/>
      <c r="D8490" s="8"/>
      <c r="E8490" s="8"/>
      <c r="F8490" s="8"/>
    </row>
    <row r="8491" spans="2:6">
      <c r="B8491" s="44"/>
      <c r="D8491" s="8"/>
      <c r="E8491" s="8"/>
      <c r="F8491" s="8"/>
    </row>
    <row r="8492" spans="2:6">
      <c r="B8492" s="44"/>
      <c r="D8492" s="8"/>
      <c r="E8492" s="8"/>
      <c r="F8492" s="8"/>
    </row>
    <row r="8493" spans="2:6">
      <c r="B8493" s="44"/>
      <c r="D8493" s="8"/>
      <c r="E8493" s="8"/>
      <c r="F8493" s="8"/>
    </row>
    <row r="8494" spans="2:6">
      <c r="B8494" s="44"/>
      <c r="D8494" s="8"/>
      <c r="E8494" s="8"/>
      <c r="F8494" s="8"/>
    </row>
    <row r="8495" spans="2:6">
      <c r="B8495" s="44"/>
      <c r="D8495" s="8"/>
      <c r="E8495" s="8"/>
      <c r="F8495" s="8"/>
    </row>
    <row r="8496" spans="2:6">
      <c r="B8496" s="44"/>
      <c r="D8496" s="8"/>
      <c r="E8496" s="8"/>
      <c r="F8496" s="8"/>
    </row>
    <row r="8497" spans="2:6">
      <c r="B8497" s="44"/>
      <c r="D8497" s="8"/>
      <c r="E8497" s="8"/>
      <c r="F8497" s="8"/>
    </row>
    <row r="8498" spans="2:6">
      <c r="B8498" s="44"/>
      <c r="D8498" s="8"/>
      <c r="E8498" s="8"/>
      <c r="F8498" s="8"/>
    </row>
    <row r="8499" spans="2:6">
      <c r="B8499" s="44"/>
      <c r="D8499" s="8"/>
      <c r="E8499" s="8"/>
      <c r="F8499" s="8"/>
    </row>
    <row r="8500" spans="2:6">
      <c r="B8500" s="44"/>
      <c r="D8500" s="8"/>
      <c r="E8500" s="8"/>
      <c r="F8500" s="8"/>
    </row>
    <row r="8501" spans="2:6">
      <c r="B8501" s="44"/>
      <c r="D8501" s="8"/>
      <c r="E8501" s="8"/>
      <c r="F8501" s="8"/>
    </row>
    <row r="8502" spans="2:6">
      <c r="B8502" s="44"/>
      <c r="D8502" s="8"/>
      <c r="E8502" s="8"/>
      <c r="F8502" s="8"/>
    </row>
    <row r="8503" spans="2:6">
      <c r="B8503" s="44"/>
      <c r="D8503" s="8"/>
      <c r="E8503" s="8"/>
      <c r="F8503" s="8"/>
    </row>
    <row r="8504" spans="2:6">
      <c r="B8504" s="44"/>
      <c r="D8504" s="8"/>
      <c r="E8504" s="8"/>
      <c r="F8504" s="8"/>
    </row>
    <row r="8505" spans="2:6">
      <c r="B8505" s="44"/>
      <c r="D8505" s="8"/>
      <c r="E8505" s="8"/>
      <c r="F8505" s="8"/>
    </row>
    <row r="8506" spans="2:6">
      <c r="B8506" s="44"/>
      <c r="D8506" s="8"/>
      <c r="E8506" s="8"/>
      <c r="F8506" s="8"/>
    </row>
    <row r="8507" spans="2:6">
      <c r="B8507" s="44"/>
      <c r="D8507" s="8"/>
      <c r="E8507" s="8"/>
      <c r="F8507" s="8"/>
    </row>
    <row r="8508" spans="2:6">
      <c r="B8508" s="44"/>
      <c r="D8508" s="8"/>
      <c r="E8508" s="8"/>
      <c r="F8508" s="8"/>
    </row>
    <row r="8509" spans="2:6">
      <c r="B8509" s="44"/>
      <c r="D8509" s="8"/>
      <c r="E8509" s="8"/>
      <c r="F8509" s="8"/>
    </row>
    <row r="8510" spans="2:6">
      <c r="B8510" s="44"/>
      <c r="D8510" s="8"/>
      <c r="E8510" s="8"/>
      <c r="F8510" s="8"/>
    </row>
    <row r="8511" spans="2:6">
      <c r="B8511" s="44"/>
      <c r="D8511" s="8"/>
      <c r="E8511" s="8"/>
      <c r="F8511" s="8"/>
    </row>
    <row r="8512" spans="2:6">
      <c r="B8512" s="44"/>
      <c r="D8512" s="8"/>
      <c r="E8512" s="8"/>
      <c r="F8512" s="8"/>
    </row>
    <row r="8513" spans="2:6">
      <c r="B8513" s="44"/>
      <c r="D8513" s="8"/>
      <c r="E8513" s="8"/>
      <c r="F8513" s="8"/>
    </row>
    <row r="8514" spans="2:6">
      <c r="B8514" s="44"/>
      <c r="D8514" s="8"/>
      <c r="E8514" s="8"/>
      <c r="F8514" s="8"/>
    </row>
    <row r="8515" spans="2:6">
      <c r="B8515" s="44"/>
      <c r="D8515" s="8"/>
      <c r="E8515" s="8"/>
      <c r="F8515" s="8"/>
    </row>
    <row r="8516" spans="2:6">
      <c r="B8516" s="44"/>
      <c r="D8516" s="8"/>
      <c r="E8516" s="8"/>
      <c r="F8516" s="8"/>
    </row>
    <row r="8517" spans="2:6">
      <c r="B8517" s="44"/>
      <c r="D8517" s="8"/>
      <c r="E8517" s="8"/>
      <c r="F8517" s="8"/>
    </row>
    <row r="8518" spans="2:6">
      <c r="B8518" s="44"/>
      <c r="D8518" s="8"/>
      <c r="E8518" s="8"/>
      <c r="F8518" s="8"/>
    </row>
    <row r="8519" spans="2:6">
      <c r="B8519" s="44"/>
      <c r="D8519" s="8"/>
      <c r="E8519" s="8"/>
      <c r="F8519" s="8"/>
    </row>
    <row r="8520" spans="2:6">
      <c r="B8520" s="44"/>
      <c r="D8520" s="8"/>
      <c r="E8520" s="8"/>
      <c r="F8520" s="8"/>
    </row>
    <row r="8521" spans="2:6">
      <c r="B8521" s="44"/>
      <c r="D8521" s="8"/>
      <c r="E8521" s="8"/>
      <c r="F8521" s="8"/>
    </row>
    <row r="8522" spans="2:6">
      <c r="B8522" s="44"/>
      <c r="D8522" s="8"/>
      <c r="E8522" s="8"/>
      <c r="F8522" s="8"/>
    </row>
    <row r="8523" spans="2:6">
      <c r="B8523" s="44"/>
      <c r="D8523" s="8"/>
      <c r="E8523" s="8"/>
      <c r="F8523" s="8"/>
    </row>
    <row r="8524" spans="2:6">
      <c r="B8524" s="44"/>
      <c r="D8524" s="8"/>
      <c r="E8524" s="8"/>
      <c r="F8524" s="8"/>
    </row>
    <row r="8525" spans="2:6">
      <c r="B8525" s="44"/>
      <c r="D8525" s="8"/>
      <c r="E8525" s="8"/>
      <c r="F8525" s="8"/>
    </row>
    <row r="8526" spans="2:6">
      <c r="B8526" s="44"/>
      <c r="D8526" s="8"/>
      <c r="E8526" s="8"/>
      <c r="F8526" s="8"/>
    </row>
    <row r="8527" spans="2:6">
      <c r="B8527" s="44"/>
      <c r="D8527" s="8"/>
      <c r="E8527" s="8"/>
      <c r="F8527" s="8"/>
    </row>
    <row r="8528" spans="2:6">
      <c r="B8528" s="44"/>
      <c r="D8528" s="8"/>
      <c r="E8528" s="8"/>
      <c r="F8528" s="8"/>
    </row>
    <row r="8529" spans="2:6">
      <c r="B8529" s="44"/>
      <c r="D8529" s="8"/>
      <c r="E8529" s="8"/>
      <c r="F8529" s="8"/>
    </row>
    <row r="8530" spans="2:6">
      <c r="B8530" s="44"/>
      <c r="D8530" s="8"/>
      <c r="E8530" s="8"/>
      <c r="F8530" s="8"/>
    </row>
    <row r="8531" spans="2:6">
      <c r="B8531" s="44"/>
      <c r="D8531" s="8"/>
      <c r="E8531" s="8"/>
      <c r="F8531" s="8"/>
    </row>
    <row r="8532" spans="2:6">
      <c r="B8532" s="44"/>
      <c r="D8532" s="8"/>
      <c r="E8532" s="8"/>
      <c r="F8532" s="8"/>
    </row>
    <row r="8533" spans="2:6">
      <c r="B8533" s="44"/>
      <c r="D8533" s="8"/>
      <c r="E8533" s="8"/>
      <c r="F8533" s="8"/>
    </row>
    <row r="8534" spans="2:6">
      <c r="B8534" s="44"/>
      <c r="D8534" s="8"/>
      <c r="E8534" s="8"/>
      <c r="F8534" s="8"/>
    </row>
    <row r="8535" spans="2:6">
      <c r="B8535" s="44"/>
      <c r="D8535" s="8"/>
      <c r="E8535" s="8"/>
      <c r="F8535" s="8"/>
    </row>
    <row r="8536" spans="2:6">
      <c r="B8536" s="44"/>
      <c r="D8536" s="8"/>
      <c r="E8536" s="8"/>
      <c r="F8536" s="8"/>
    </row>
    <row r="8537" spans="2:6">
      <c r="B8537" s="44"/>
      <c r="D8537" s="8"/>
      <c r="E8537" s="8"/>
      <c r="F8537" s="8"/>
    </row>
    <row r="8538" spans="2:6">
      <c r="B8538" s="44"/>
      <c r="D8538" s="8"/>
      <c r="E8538" s="8"/>
      <c r="F8538" s="8"/>
    </row>
    <row r="8539" spans="2:6">
      <c r="B8539" s="44"/>
      <c r="D8539" s="8"/>
      <c r="E8539" s="8"/>
      <c r="F8539" s="8"/>
    </row>
    <row r="8540" spans="2:6">
      <c r="B8540" s="44"/>
      <c r="D8540" s="8"/>
      <c r="E8540" s="8"/>
      <c r="F8540" s="8"/>
    </row>
    <row r="8541" spans="2:6">
      <c r="B8541" s="44"/>
      <c r="D8541" s="8"/>
      <c r="E8541" s="8"/>
      <c r="F8541" s="8"/>
    </row>
    <row r="8542" spans="2:6">
      <c r="B8542" s="44"/>
      <c r="D8542" s="8"/>
      <c r="E8542" s="8"/>
      <c r="F8542" s="8"/>
    </row>
    <row r="8543" spans="2:6">
      <c r="B8543" s="44"/>
      <c r="D8543" s="8"/>
      <c r="E8543" s="8"/>
      <c r="F8543" s="8"/>
    </row>
    <row r="8544" spans="2:6">
      <c r="B8544" s="44"/>
      <c r="D8544" s="8"/>
      <c r="E8544" s="8"/>
      <c r="F8544" s="8"/>
    </row>
    <row r="8545" spans="2:6">
      <c r="B8545" s="44"/>
      <c r="D8545" s="8"/>
      <c r="E8545" s="8"/>
      <c r="F8545" s="8"/>
    </row>
    <row r="8546" spans="2:6">
      <c r="B8546" s="44"/>
      <c r="D8546" s="8"/>
      <c r="E8546" s="8"/>
      <c r="F8546" s="8"/>
    </row>
    <row r="8547" spans="2:6">
      <c r="B8547" s="44"/>
      <c r="D8547" s="8"/>
      <c r="E8547" s="8"/>
      <c r="F8547" s="8"/>
    </row>
    <row r="8548" spans="2:6">
      <c r="B8548" s="44"/>
      <c r="D8548" s="8"/>
      <c r="E8548" s="8"/>
      <c r="F8548" s="8"/>
    </row>
    <row r="8549" spans="2:6">
      <c r="B8549" s="44"/>
      <c r="D8549" s="8"/>
      <c r="E8549" s="8"/>
      <c r="F8549" s="8"/>
    </row>
    <row r="8550" spans="2:6">
      <c r="B8550" s="44"/>
      <c r="D8550" s="8"/>
      <c r="E8550" s="8"/>
      <c r="F8550" s="8"/>
    </row>
    <row r="8551" spans="2:6">
      <c r="B8551" s="44"/>
      <c r="D8551" s="8"/>
      <c r="E8551" s="8"/>
      <c r="F8551" s="8"/>
    </row>
    <row r="8552" spans="2:6">
      <c r="B8552" s="44"/>
      <c r="D8552" s="8"/>
      <c r="E8552" s="8"/>
      <c r="F8552" s="8"/>
    </row>
    <row r="8553" spans="2:6">
      <c r="B8553" s="44"/>
      <c r="D8553" s="8"/>
      <c r="E8553" s="8"/>
      <c r="F8553" s="8"/>
    </row>
    <row r="8554" spans="2:6">
      <c r="B8554" s="44"/>
      <c r="D8554" s="8"/>
      <c r="E8554" s="8"/>
      <c r="F8554" s="8"/>
    </row>
    <row r="8555" spans="2:6">
      <c r="B8555" s="44"/>
      <c r="D8555" s="8"/>
      <c r="E8555" s="8"/>
      <c r="F8555" s="8"/>
    </row>
    <row r="8556" spans="2:6">
      <c r="B8556" s="44"/>
      <c r="D8556" s="8"/>
      <c r="E8556" s="8"/>
      <c r="F8556" s="8"/>
    </row>
    <row r="8557" spans="2:6">
      <c r="B8557" s="44"/>
      <c r="D8557" s="8"/>
      <c r="E8557" s="8"/>
      <c r="F8557" s="8"/>
    </row>
    <row r="8558" spans="2:6">
      <c r="B8558" s="44"/>
      <c r="D8558" s="8"/>
      <c r="E8558" s="8"/>
      <c r="F8558" s="8"/>
    </row>
    <row r="8559" spans="2:6">
      <c r="B8559" s="44"/>
      <c r="D8559" s="8"/>
      <c r="E8559" s="8"/>
      <c r="F8559" s="8"/>
    </row>
    <row r="8560" spans="2:6">
      <c r="B8560" s="44"/>
      <c r="D8560" s="8"/>
      <c r="E8560" s="8"/>
      <c r="F8560" s="8"/>
    </row>
    <row r="8561" spans="2:6">
      <c r="B8561" s="44"/>
      <c r="D8561" s="8"/>
      <c r="E8561" s="8"/>
      <c r="F8561" s="8"/>
    </row>
    <row r="8562" spans="2:6">
      <c r="B8562" s="44"/>
      <c r="D8562" s="8"/>
      <c r="E8562" s="8"/>
      <c r="F8562" s="8"/>
    </row>
    <row r="8563" spans="2:6">
      <c r="B8563" s="44"/>
      <c r="D8563" s="8"/>
      <c r="E8563" s="8"/>
      <c r="F8563" s="8"/>
    </row>
    <row r="8564" spans="2:6">
      <c r="B8564" s="44"/>
      <c r="D8564" s="8"/>
      <c r="E8564" s="8"/>
      <c r="F8564" s="8"/>
    </row>
    <row r="8565" spans="2:6">
      <c r="B8565" s="44"/>
      <c r="D8565" s="8"/>
      <c r="E8565" s="8"/>
      <c r="F8565" s="8"/>
    </row>
    <row r="8566" spans="2:6">
      <c r="B8566" s="44"/>
      <c r="D8566" s="8"/>
      <c r="E8566" s="8"/>
      <c r="F8566" s="8"/>
    </row>
    <row r="8567" spans="2:6">
      <c r="B8567" s="44"/>
      <c r="D8567" s="8"/>
      <c r="E8567" s="8"/>
      <c r="F8567" s="8"/>
    </row>
    <row r="8568" spans="2:6">
      <c r="B8568" s="44"/>
      <c r="D8568" s="8"/>
      <c r="E8568" s="8"/>
      <c r="F8568" s="8"/>
    </row>
    <row r="8569" spans="2:6">
      <c r="B8569" s="44"/>
      <c r="D8569" s="8"/>
      <c r="E8569" s="8"/>
      <c r="F8569" s="8"/>
    </row>
    <row r="8570" spans="2:6">
      <c r="B8570" s="44"/>
      <c r="D8570" s="8"/>
      <c r="E8570" s="8"/>
      <c r="F8570" s="8"/>
    </row>
    <row r="8571" spans="2:6">
      <c r="B8571" s="44"/>
      <c r="D8571" s="8"/>
      <c r="E8571" s="8"/>
      <c r="F8571" s="8"/>
    </row>
    <row r="8572" spans="2:6">
      <c r="B8572" s="44"/>
      <c r="D8572" s="8"/>
      <c r="E8572" s="8"/>
      <c r="F8572" s="8"/>
    </row>
    <row r="8573" spans="2:6">
      <c r="B8573" s="44"/>
      <c r="D8573" s="8"/>
      <c r="E8573" s="8"/>
      <c r="F8573" s="8"/>
    </row>
    <row r="8574" spans="2:6">
      <c r="B8574" s="44"/>
      <c r="D8574" s="8"/>
      <c r="E8574" s="8"/>
      <c r="F8574" s="8"/>
    </row>
    <row r="8575" spans="2:6">
      <c r="B8575" s="44"/>
      <c r="D8575" s="8"/>
      <c r="E8575" s="8"/>
      <c r="F8575" s="8"/>
    </row>
    <row r="8576" spans="2:6">
      <c r="B8576" s="44"/>
      <c r="D8576" s="8"/>
      <c r="E8576" s="8"/>
      <c r="F8576" s="8"/>
    </row>
    <row r="8577" spans="2:6">
      <c r="B8577" s="44"/>
      <c r="D8577" s="8"/>
      <c r="E8577" s="8"/>
      <c r="F8577" s="8"/>
    </row>
    <row r="8578" spans="2:6">
      <c r="B8578" s="44"/>
      <c r="D8578" s="8"/>
      <c r="E8578" s="8"/>
      <c r="F8578" s="8"/>
    </row>
    <row r="8579" spans="2:6">
      <c r="B8579" s="44"/>
      <c r="D8579" s="8"/>
      <c r="E8579" s="8"/>
      <c r="F8579" s="8"/>
    </row>
    <row r="8580" spans="2:6">
      <c r="B8580" s="44"/>
      <c r="D8580" s="8"/>
      <c r="E8580" s="8"/>
      <c r="F8580" s="8"/>
    </row>
    <row r="8581" spans="2:6">
      <c r="B8581" s="44"/>
      <c r="D8581" s="8"/>
      <c r="E8581" s="8"/>
      <c r="F8581" s="8"/>
    </row>
    <row r="8582" spans="2:6">
      <c r="B8582" s="44"/>
      <c r="D8582" s="8"/>
      <c r="E8582" s="8"/>
      <c r="F8582" s="8"/>
    </row>
    <row r="8583" spans="2:6">
      <c r="B8583" s="44"/>
      <c r="D8583" s="8"/>
      <c r="E8583" s="8"/>
      <c r="F8583" s="8"/>
    </row>
    <row r="8584" spans="2:6">
      <c r="B8584" s="44"/>
      <c r="D8584" s="8"/>
      <c r="E8584" s="8"/>
      <c r="F8584" s="8"/>
    </row>
    <row r="8585" spans="2:6">
      <c r="B8585" s="44"/>
      <c r="D8585" s="8"/>
      <c r="E8585" s="8"/>
      <c r="F8585" s="8"/>
    </row>
    <row r="8586" spans="2:6">
      <c r="B8586" s="44"/>
      <c r="D8586" s="8"/>
      <c r="E8586" s="8"/>
      <c r="F8586" s="8"/>
    </row>
    <row r="8587" spans="2:6">
      <c r="B8587" s="44"/>
      <c r="D8587" s="8"/>
      <c r="E8587" s="8"/>
      <c r="F8587" s="8"/>
    </row>
    <row r="8588" spans="2:6">
      <c r="B8588" s="44"/>
      <c r="D8588" s="8"/>
      <c r="E8588" s="8"/>
      <c r="F8588" s="8"/>
    </row>
    <row r="8589" spans="2:6">
      <c r="B8589" s="44"/>
      <c r="D8589" s="8"/>
      <c r="E8589" s="8"/>
      <c r="F8589" s="8"/>
    </row>
    <row r="8590" spans="2:6">
      <c r="B8590" s="44"/>
      <c r="D8590" s="8"/>
      <c r="E8590" s="8"/>
      <c r="F8590" s="8"/>
    </row>
    <row r="8591" spans="2:6">
      <c r="B8591" s="44"/>
      <c r="D8591" s="8"/>
      <c r="E8591" s="8"/>
      <c r="F8591" s="8"/>
    </row>
    <row r="8592" spans="2:6">
      <c r="B8592" s="44"/>
      <c r="D8592" s="8"/>
      <c r="E8592" s="8"/>
      <c r="F8592" s="8"/>
    </row>
    <row r="8593" spans="2:6">
      <c r="B8593" s="44"/>
      <c r="D8593" s="8"/>
      <c r="E8593" s="8"/>
      <c r="F8593" s="8"/>
    </row>
    <row r="8594" spans="2:6">
      <c r="B8594" s="44"/>
      <c r="D8594" s="8"/>
      <c r="E8594" s="8"/>
      <c r="F8594" s="8"/>
    </row>
    <row r="8595" spans="2:6">
      <c r="B8595" s="44"/>
      <c r="D8595" s="8"/>
      <c r="E8595" s="8"/>
      <c r="F8595" s="8"/>
    </row>
    <row r="8596" spans="2:6">
      <c r="B8596" s="44"/>
      <c r="D8596" s="8"/>
      <c r="E8596" s="8"/>
      <c r="F8596" s="8"/>
    </row>
    <row r="8597" spans="2:6">
      <c r="B8597" s="44"/>
      <c r="D8597" s="8"/>
      <c r="E8597" s="8"/>
      <c r="F8597" s="8"/>
    </row>
    <row r="8598" spans="2:6">
      <c r="B8598" s="44"/>
      <c r="D8598" s="8"/>
      <c r="E8598" s="8"/>
      <c r="F8598" s="8"/>
    </row>
    <row r="8599" spans="2:6">
      <c r="B8599" s="44"/>
      <c r="D8599" s="8"/>
      <c r="E8599" s="8"/>
      <c r="F8599" s="8"/>
    </row>
    <row r="8600" spans="2:6">
      <c r="B8600" s="44"/>
      <c r="D8600" s="8"/>
      <c r="E8600" s="8"/>
      <c r="F8600" s="8"/>
    </row>
    <row r="8601" spans="2:6">
      <c r="B8601" s="44"/>
      <c r="D8601" s="8"/>
      <c r="E8601" s="8"/>
      <c r="F8601" s="8"/>
    </row>
    <row r="8602" spans="2:6">
      <c r="B8602" s="44"/>
      <c r="D8602" s="8"/>
      <c r="E8602" s="8"/>
      <c r="F8602" s="8"/>
    </row>
    <row r="8603" spans="2:6">
      <c r="B8603" s="44"/>
      <c r="D8603" s="8"/>
      <c r="E8603" s="8"/>
      <c r="F8603" s="8"/>
    </row>
    <row r="8604" spans="2:6">
      <c r="B8604" s="44"/>
      <c r="D8604" s="8"/>
      <c r="E8604" s="8"/>
      <c r="F8604" s="8"/>
    </row>
    <row r="8605" spans="2:6">
      <c r="B8605" s="44"/>
      <c r="D8605" s="8"/>
      <c r="E8605" s="8"/>
      <c r="F8605" s="8"/>
    </row>
    <row r="8606" spans="2:6">
      <c r="B8606" s="44"/>
      <c r="D8606" s="8"/>
      <c r="E8606" s="8"/>
      <c r="F8606" s="8"/>
    </row>
    <row r="8607" spans="2:6">
      <c r="B8607" s="44"/>
      <c r="D8607" s="8"/>
      <c r="E8607" s="8"/>
      <c r="F8607" s="8"/>
    </row>
    <row r="8608" spans="2:6">
      <c r="B8608" s="44"/>
      <c r="D8608" s="8"/>
      <c r="E8608" s="8"/>
      <c r="F8608" s="8"/>
    </row>
    <row r="8609" spans="2:6">
      <c r="B8609" s="44"/>
      <c r="D8609" s="8"/>
      <c r="E8609" s="8"/>
      <c r="F8609" s="8"/>
    </row>
    <row r="8610" spans="2:6">
      <c r="B8610" s="44"/>
      <c r="D8610" s="8"/>
      <c r="E8610" s="8"/>
      <c r="F8610" s="8"/>
    </row>
    <row r="8611" spans="2:6">
      <c r="B8611" s="44"/>
      <c r="D8611" s="8"/>
      <c r="E8611" s="8"/>
      <c r="F8611" s="8"/>
    </row>
    <row r="8612" spans="2:6">
      <c r="B8612" s="44"/>
      <c r="D8612" s="8"/>
      <c r="E8612" s="8"/>
      <c r="F8612" s="8"/>
    </row>
    <row r="8613" spans="2:6">
      <c r="B8613" s="44"/>
      <c r="D8613" s="8"/>
      <c r="E8613" s="8"/>
      <c r="F8613" s="8"/>
    </row>
    <row r="8614" spans="2:6">
      <c r="B8614" s="44"/>
      <c r="D8614" s="8"/>
      <c r="E8614" s="8"/>
      <c r="F8614" s="8"/>
    </row>
    <row r="8615" spans="2:6">
      <c r="B8615" s="44"/>
      <c r="D8615" s="8"/>
      <c r="E8615" s="8"/>
      <c r="F8615" s="8"/>
    </row>
    <row r="8616" spans="2:6">
      <c r="B8616" s="44"/>
      <c r="D8616" s="8"/>
      <c r="E8616" s="8"/>
      <c r="F8616" s="8"/>
    </row>
    <row r="8617" spans="2:6">
      <c r="B8617" s="44"/>
      <c r="D8617" s="8"/>
      <c r="E8617" s="8"/>
      <c r="F8617" s="8"/>
    </row>
    <row r="8618" spans="2:6">
      <c r="B8618" s="44"/>
      <c r="D8618" s="8"/>
      <c r="E8618" s="8"/>
      <c r="F8618" s="8"/>
    </row>
    <row r="8619" spans="2:6">
      <c r="B8619" s="44"/>
      <c r="D8619" s="8"/>
      <c r="E8619" s="8"/>
      <c r="F8619" s="8"/>
    </row>
    <row r="8620" spans="2:6">
      <c r="B8620" s="44"/>
      <c r="D8620" s="8"/>
      <c r="E8620" s="8"/>
      <c r="F8620" s="8"/>
    </row>
    <row r="8621" spans="2:6">
      <c r="B8621" s="44"/>
      <c r="D8621" s="8"/>
      <c r="E8621" s="8"/>
      <c r="F8621" s="8"/>
    </row>
    <row r="8622" spans="2:6">
      <c r="B8622" s="44"/>
      <c r="D8622" s="8"/>
      <c r="E8622" s="8"/>
      <c r="F8622" s="8"/>
    </row>
    <row r="8623" spans="2:6">
      <c r="B8623" s="44"/>
      <c r="D8623" s="8"/>
      <c r="E8623" s="8"/>
      <c r="F8623" s="8"/>
    </row>
    <row r="8624" spans="2:6">
      <c r="B8624" s="44"/>
      <c r="D8624" s="8"/>
      <c r="E8624" s="8"/>
      <c r="F8624" s="8"/>
    </row>
    <row r="8625" spans="2:6">
      <c r="B8625" s="44"/>
      <c r="D8625" s="8"/>
      <c r="E8625" s="8"/>
      <c r="F8625" s="8"/>
    </row>
    <row r="8626" spans="2:6">
      <c r="B8626" s="44"/>
      <c r="D8626" s="8"/>
      <c r="E8626" s="8"/>
      <c r="F8626" s="8"/>
    </row>
    <row r="8627" spans="2:6">
      <c r="B8627" s="44"/>
      <c r="D8627" s="8"/>
      <c r="E8627" s="8"/>
      <c r="F8627" s="8"/>
    </row>
    <row r="8628" spans="2:6">
      <c r="B8628" s="44"/>
      <c r="D8628" s="8"/>
      <c r="E8628" s="8"/>
      <c r="F8628" s="8"/>
    </row>
    <row r="8629" spans="2:6">
      <c r="B8629" s="44"/>
      <c r="D8629" s="8"/>
      <c r="E8629" s="8"/>
      <c r="F8629" s="8"/>
    </row>
    <row r="8630" spans="2:6">
      <c r="B8630" s="44"/>
      <c r="D8630" s="8"/>
      <c r="E8630" s="8"/>
      <c r="F8630" s="8"/>
    </row>
    <row r="8631" spans="2:6">
      <c r="B8631" s="44"/>
      <c r="D8631" s="8"/>
      <c r="E8631" s="8"/>
      <c r="F8631" s="8"/>
    </row>
    <row r="8632" spans="2:6">
      <c r="B8632" s="44"/>
      <c r="D8632" s="8"/>
      <c r="E8632" s="8"/>
      <c r="F8632" s="8"/>
    </row>
    <row r="8633" spans="2:6">
      <c r="B8633" s="44"/>
      <c r="D8633" s="8"/>
      <c r="E8633" s="8"/>
      <c r="F8633" s="8"/>
    </row>
    <row r="8634" spans="2:6">
      <c r="B8634" s="44"/>
      <c r="D8634" s="8"/>
      <c r="E8634" s="8"/>
      <c r="F8634" s="8"/>
    </row>
    <row r="8635" spans="2:6">
      <c r="B8635" s="44"/>
      <c r="D8635" s="8"/>
      <c r="E8635" s="8"/>
      <c r="F8635" s="8"/>
    </row>
    <row r="8636" spans="2:6">
      <c r="B8636" s="44"/>
      <c r="D8636" s="8"/>
      <c r="E8636" s="8"/>
      <c r="F8636" s="8"/>
    </row>
    <row r="8637" spans="2:6">
      <c r="B8637" s="44"/>
      <c r="D8637" s="8"/>
      <c r="E8637" s="8"/>
      <c r="F8637" s="8"/>
    </row>
    <row r="8638" spans="2:6">
      <c r="B8638" s="44"/>
      <c r="D8638" s="8"/>
      <c r="E8638" s="8"/>
      <c r="F8638" s="8"/>
    </row>
    <row r="8639" spans="2:6">
      <c r="B8639" s="44"/>
      <c r="D8639" s="8"/>
      <c r="E8639" s="8"/>
      <c r="F8639" s="8"/>
    </row>
    <row r="8640" spans="2:6">
      <c r="B8640" s="44"/>
      <c r="D8640" s="8"/>
      <c r="E8640" s="8"/>
      <c r="F8640" s="8"/>
    </row>
    <row r="8641" spans="2:6">
      <c r="B8641" s="44"/>
      <c r="D8641" s="8"/>
      <c r="E8641" s="8"/>
      <c r="F8641" s="8"/>
    </row>
    <row r="8642" spans="2:6">
      <c r="B8642" s="44"/>
      <c r="D8642" s="8"/>
      <c r="E8642" s="8"/>
      <c r="F8642" s="8"/>
    </row>
    <row r="8643" spans="2:6">
      <c r="B8643" s="44"/>
      <c r="D8643" s="8"/>
      <c r="E8643" s="8"/>
      <c r="F8643" s="8"/>
    </row>
    <row r="8644" spans="2:6">
      <c r="B8644" s="44"/>
      <c r="D8644" s="8"/>
      <c r="E8644" s="8"/>
      <c r="F8644" s="8"/>
    </row>
    <row r="8645" spans="2:6">
      <c r="B8645" s="44"/>
      <c r="D8645" s="8"/>
      <c r="E8645" s="8"/>
      <c r="F8645" s="8"/>
    </row>
    <row r="8646" spans="2:6">
      <c r="B8646" s="44"/>
      <c r="D8646" s="8"/>
      <c r="E8646" s="8"/>
      <c r="F8646" s="8"/>
    </row>
    <row r="8647" spans="2:6">
      <c r="B8647" s="44"/>
      <c r="D8647" s="8"/>
      <c r="E8647" s="8"/>
      <c r="F8647" s="8"/>
    </row>
    <row r="8648" spans="2:6">
      <c r="B8648" s="44"/>
      <c r="D8648" s="8"/>
      <c r="E8648" s="8"/>
      <c r="F8648" s="8"/>
    </row>
    <row r="8649" spans="2:6">
      <c r="B8649" s="44"/>
      <c r="D8649" s="8"/>
      <c r="E8649" s="8"/>
      <c r="F8649" s="8"/>
    </row>
    <row r="8650" spans="2:6">
      <c r="B8650" s="44"/>
      <c r="D8650" s="8"/>
      <c r="E8650" s="8"/>
      <c r="F8650" s="8"/>
    </row>
    <row r="8651" spans="2:6">
      <c r="B8651" s="44"/>
      <c r="D8651" s="8"/>
      <c r="E8651" s="8"/>
      <c r="F8651" s="8"/>
    </row>
    <row r="8652" spans="2:6">
      <c r="B8652" s="44"/>
      <c r="D8652" s="8"/>
      <c r="E8652" s="8"/>
      <c r="F8652" s="8"/>
    </row>
    <row r="8653" spans="2:6">
      <c r="B8653" s="44"/>
      <c r="D8653" s="8"/>
      <c r="E8653" s="8"/>
      <c r="F8653" s="8"/>
    </row>
    <row r="8654" spans="2:6">
      <c r="B8654" s="44"/>
      <c r="D8654" s="8"/>
      <c r="E8654" s="8"/>
      <c r="F8654" s="8"/>
    </row>
    <row r="8655" spans="2:6">
      <c r="B8655" s="44"/>
      <c r="D8655" s="8"/>
      <c r="E8655" s="8"/>
      <c r="F8655" s="8"/>
    </row>
    <row r="8656" spans="2:6">
      <c r="B8656" s="44"/>
      <c r="D8656" s="8"/>
      <c r="E8656" s="8"/>
      <c r="F8656" s="8"/>
    </row>
    <row r="8657" spans="2:6">
      <c r="B8657" s="44"/>
      <c r="D8657" s="8"/>
      <c r="E8657" s="8"/>
      <c r="F8657" s="8"/>
    </row>
    <row r="8658" spans="2:6">
      <c r="B8658" s="44"/>
      <c r="D8658" s="8"/>
      <c r="E8658" s="8"/>
      <c r="F8658" s="8"/>
    </row>
    <row r="8659" spans="2:6">
      <c r="B8659" s="44"/>
      <c r="D8659" s="8"/>
      <c r="E8659" s="8"/>
      <c r="F8659" s="8"/>
    </row>
    <row r="8660" spans="2:6">
      <c r="B8660" s="44"/>
      <c r="D8660" s="8"/>
      <c r="E8660" s="8"/>
      <c r="F8660" s="8"/>
    </row>
    <row r="8661" spans="2:6">
      <c r="B8661" s="44"/>
      <c r="D8661" s="8"/>
      <c r="E8661" s="8"/>
      <c r="F8661" s="8"/>
    </row>
    <row r="8662" spans="2:6">
      <c r="B8662" s="44"/>
      <c r="D8662" s="8"/>
      <c r="E8662" s="8"/>
      <c r="F8662" s="8"/>
    </row>
    <row r="8663" spans="2:6">
      <c r="B8663" s="44"/>
      <c r="D8663" s="8"/>
      <c r="E8663" s="8"/>
      <c r="F8663" s="8"/>
    </row>
    <row r="8664" spans="2:6">
      <c r="B8664" s="44"/>
      <c r="D8664" s="8"/>
      <c r="E8664" s="8"/>
      <c r="F8664" s="8"/>
    </row>
    <row r="8665" spans="2:6">
      <c r="B8665" s="44"/>
      <c r="D8665" s="8"/>
      <c r="E8665" s="8"/>
      <c r="F8665" s="8"/>
    </row>
    <row r="8666" spans="2:6">
      <c r="B8666" s="44"/>
      <c r="D8666" s="8"/>
      <c r="E8666" s="8"/>
      <c r="F8666" s="8"/>
    </row>
    <row r="8667" spans="2:6">
      <c r="B8667" s="44"/>
      <c r="D8667" s="8"/>
      <c r="E8667" s="8"/>
      <c r="F8667" s="8"/>
    </row>
    <row r="8668" spans="2:6">
      <c r="B8668" s="44"/>
      <c r="D8668" s="8"/>
      <c r="E8668" s="8"/>
      <c r="F8668" s="8"/>
    </row>
    <row r="8669" spans="2:6">
      <c r="B8669" s="44"/>
      <c r="D8669" s="8"/>
      <c r="E8669" s="8"/>
      <c r="F8669" s="8"/>
    </row>
    <row r="8670" spans="2:6">
      <c r="B8670" s="44"/>
      <c r="D8670" s="8"/>
      <c r="E8670" s="8"/>
      <c r="F8670" s="8"/>
    </row>
    <row r="8671" spans="2:6">
      <c r="B8671" s="44"/>
      <c r="D8671" s="8"/>
      <c r="E8671" s="8"/>
      <c r="F8671" s="8"/>
    </row>
    <row r="8672" spans="2:6">
      <c r="B8672" s="44"/>
      <c r="D8672" s="8"/>
      <c r="E8672" s="8"/>
      <c r="F8672" s="8"/>
    </row>
    <row r="8673" spans="2:6">
      <c r="B8673" s="44"/>
      <c r="D8673" s="8"/>
      <c r="E8673" s="8"/>
      <c r="F8673" s="8"/>
    </row>
    <row r="8674" spans="2:6">
      <c r="B8674" s="44"/>
      <c r="D8674" s="8"/>
      <c r="E8674" s="8"/>
      <c r="F8674" s="8"/>
    </row>
    <row r="8675" spans="2:6">
      <c r="B8675" s="44"/>
      <c r="D8675" s="8"/>
      <c r="E8675" s="8"/>
      <c r="F8675" s="8"/>
    </row>
    <row r="8676" spans="2:6">
      <c r="B8676" s="44"/>
      <c r="D8676" s="8"/>
      <c r="E8676" s="8"/>
      <c r="F8676" s="8"/>
    </row>
    <row r="8677" spans="2:6">
      <c r="B8677" s="44"/>
      <c r="D8677" s="8"/>
      <c r="E8677" s="8"/>
      <c r="F8677" s="8"/>
    </row>
    <row r="8678" spans="2:6">
      <c r="B8678" s="44"/>
      <c r="D8678" s="8"/>
      <c r="E8678" s="8"/>
      <c r="F8678" s="8"/>
    </row>
    <row r="8679" spans="2:6">
      <c r="B8679" s="44"/>
      <c r="D8679" s="8"/>
      <c r="E8679" s="8"/>
      <c r="F8679" s="8"/>
    </row>
    <row r="8680" spans="2:6">
      <c r="B8680" s="44"/>
      <c r="D8680" s="8"/>
      <c r="E8680" s="8"/>
      <c r="F8680" s="8"/>
    </row>
    <row r="8681" spans="2:6">
      <c r="B8681" s="44"/>
      <c r="D8681" s="8"/>
      <c r="E8681" s="8"/>
      <c r="F8681" s="8"/>
    </row>
    <row r="8682" spans="2:6">
      <c r="B8682" s="44"/>
      <c r="D8682" s="8"/>
      <c r="E8682" s="8"/>
      <c r="F8682" s="8"/>
    </row>
    <row r="8683" spans="2:6">
      <c r="B8683" s="44"/>
      <c r="D8683" s="8"/>
      <c r="E8683" s="8"/>
      <c r="F8683" s="8"/>
    </row>
    <row r="8684" spans="2:6">
      <c r="B8684" s="44"/>
      <c r="D8684" s="8"/>
      <c r="E8684" s="8"/>
      <c r="F8684" s="8"/>
    </row>
    <row r="8685" spans="2:6">
      <c r="B8685" s="44"/>
      <c r="D8685" s="8"/>
      <c r="E8685" s="8"/>
      <c r="F8685" s="8"/>
    </row>
    <row r="8686" spans="2:6">
      <c r="B8686" s="44"/>
      <c r="D8686" s="8"/>
      <c r="E8686" s="8"/>
      <c r="F8686" s="8"/>
    </row>
    <row r="8687" spans="2:6">
      <c r="B8687" s="44"/>
      <c r="D8687" s="8"/>
      <c r="E8687" s="8"/>
      <c r="F8687" s="8"/>
    </row>
    <row r="8688" spans="2:6">
      <c r="B8688" s="44"/>
      <c r="D8688" s="8"/>
      <c r="E8688" s="8"/>
      <c r="F8688" s="8"/>
    </row>
    <row r="8689" spans="2:6">
      <c r="B8689" s="44"/>
      <c r="D8689" s="8"/>
      <c r="E8689" s="8"/>
      <c r="F8689" s="8"/>
    </row>
    <row r="8690" spans="2:6">
      <c r="B8690" s="44"/>
      <c r="D8690" s="8"/>
      <c r="E8690" s="8"/>
      <c r="F8690" s="8"/>
    </row>
    <row r="8691" spans="2:6">
      <c r="B8691" s="44"/>
      <c r="D8691" s="8"/>
      <c r="E8691" s="8"/>
      <c r="F8691" s="8"/>
    </row>
    <row r="8692" spans="2:6">
      <c r="B8692" s="44"/>
      <c r="D8692" s="8"/>
      <c r="E8692" s="8"/>
      <c r="F8692" s="8"/>
    </row>
    <row r="8693" spans="2:6">
      <c r="B8693" s="44"/>
      <c r="D8693" s="8"/>
      <c r="E8693" s="8"/>
      <c r="F8693" s="8"/>
    </row>
    <row r="8694" spans="2:6">
      <c r="B8694" s="44"/>
      <c r="D8694" s="8"/>
      <c r="E8694" s="8"/>
      <c r="F8694" s="8"/>
    </row>
    <row r="8695" spans="2:6">
      <c r="B8695" s="44"/>
      <c r="D8695" s="8"/>
      <c r="E8695" s="8"/>
      <c r="F8695" s="8"/>
    </row>
    <row r="8696" spans="2:6">
      <c r="B8696" s="44"/>
      <c r="D8696" s="8"/>
      <c r="E8696" s="8"/>
      <c r="F8696" s="8"/>
    </row>
    <row r="8697" spans="2:6">
      <c r="B8697" s="44"/>
      <c r="D8697" s="8"/>
      <c r="E8697" s="8"/>
      <c r="F8697" s="8"/>
    </row>
    <row r="8698" spans="2:6">
      <c r="B8698" s="44"/>
      <c r="D8698" s="8"/>
      <c r="E8698" s="8"/>
      <c r="F8698" s="8"/>
    </row>
    <row r="8699" spans="2:6">
      <c r="B8699" s="44"/>
      <c r="D8699" s="8"/>
      <c r="E8699" s="8"/>
      <c r="F8699" s="8"/>
    </row>
    <row r="8700" spans="2:6">
      <c r="B8700" s="44"/>
      <c r="D8700" s="8"/>
      <c r="E8700" s="8"/>
      <c r="F8700" s="8"/>
    </row>
    <row r="8701" spans="2:6">
      <c r="B8701" s="44"/>
      <c r="D8701" s="8"/>
      <c r="E8701" s="8"/>
      <c r="F8701" s="8"/>
    </row>
    <row r="8702" spans="2:6">
      <c r="B8702" s="44"/>
      <c r="D8702" s="8"/>
      <c r="E8702" s="8"/>
      <c r="F8702" s="8"/>
    </row>
    <row r="8703" spans="2:6">
      <c r="B8703" s="44"/>
      <c r="D8703" s="8"/>
      <c r="E8703" s="8"/>
      <c r="F8703" s="8"/>
    </row>
    <row r="8704" spans="2:6">
      <c r="B8704" s="44"/>
      <c r="D8704" s="8"/>
      <c r="E8704" s="8"/>
      <c r="F8704" s="8"/>
    </row>
    <row r="8705" spans="2:6">
      <c r="B8705" s="44"/>
      <c r="D8705" s="8"/>
      <c r="E8705" s="8"/>
      <c r="F8705" s="8"/>
    </row>
    <row r="8706" spans="2:6">
      <c r="B8706" s="44"/>
      <c r="D8706" s="8"/>
      <c r="E8706" s="8"/>
      <c r="F8706" s="8"/>
    </row>
    <row r="8707" spans="2:6">
      <c r="B8707" s="44"/>
      <c r="D8707" s="8"/>
      <c r="E8707" s="8"/>
      <c r="F8707" s="8"/>
    </row>
    <row r="8708" spans="2:6">
      <c r="B8708" s="44"/>
      <c r="D8708" s="8"/>
      <c r="E8708" s="8"/>
      <c r="F8708" s="8"/>
    </row>
    <row r="8709" spans="2:6">
      <c r="B8709" s="44"/>
      <c r="D8709" s="8"/>
      <c r="E8709" s="8"/>
      <c r="F8709" s="8"/>
    </row>
    <row r="8710" spans="2:6">
      <c r="B8710" s="44"/>
      <c r="D8710" s="8"/>
      <c r="E8710" s="8"/>
      <c r="F8710" s="8"/>
    </row>
    <row r="8711" spans="2:6">
      <c r="B8711" s="44"/>
      <c r="D8711" s="8"/>
      <c r="E8711" s="8"/>
      <c r="F8711" s="8"/>
    </row>
    <row r="8712" spans="2:6">
      <c r="B8712" s="44"/>
      <c r="D8712" s="8"/>
      <c r="E8712" s="8"/>
      <c r="F8712" s="8"/>
    </row>
    <row r="8713" spans="2:6">
      <c r="B8713" s="44"/>
      <c r="D8713" s="8"/>
      <c r="E8713" s="8"/>
      <c r="F8713" s="8"/>
    </row>
    <row r="8714" spans="2:6">
      <c r="B8714" s="44"/>
      <c r="D8714" s="8"/>
      <c r="E8714" s="8"/>
      <c r="F8714" s="8"/>
    </row>
    <row r="8715" spans="2:6">
      <c r="B8715" s="44"/>
      <c r="D8715" s="8"/>
      <c r="E8715" s="8"/>
      <c r="F8715" s="8"/>
    </row>
    <row r="8716" spans="2:6">
      <c r="B8716" s="44"/>
      <c r="D8716" s="8"/>
      <c r="E8716" s="8"/>
      <c r="F8716" s="8"/>
    </row>
    <row r="8717" spans="2:6">
      <c r="B8717" s="44"/>
      <c r="D8717" s="8"/>
      <c r="E8717" s="8"/>
      <c r="F8717" s="8"/>
    </row>
    <row r="8718" spans="2:6">
      <c r="B8718" s="44"/>
      <c r="D8718" s="8"/>
      <c r="E8718" s="8"/>
      <c r="F8718" s="8"/>
    </row>
    <row r="8719" spans="2:6">
      <c r="B8719" s="44"/>
      <c r="D8719" s="8"/>
      <c r="E8719" s="8"/>
      <c r="F8719" s="8"/>
    </row>
    <row r="8720" spans="2:6">
      <c r="B8720" s="44"/>
      <c r="D8720" s="8"/>
      <c r="E8720" s="8"/>
      <c r="F8720" s="8"/>
    </row>
    <row r="8721" spans="2:6">
      <c r="B8721" s="44"/>
      <c r="D8721" s="8"/>
      <c r="E8721" s="8"/>
      <c r="F8721" s="8"/>
    </row>
    <row r="8722" spans="2:6">
      <c r="B8722" s="44"/>
      <c r="D8722" s="8"/>
      <c r="E8722" s="8"/>
      <c r="F8722" s="8"/>
    </row>
    <row r="8723" spans="2:6">
      <c r="B8723" s="44"/>
      <c r="D8723" s="8"/>
      <c r="E8723" s="8"/>
      <c r="F8723" s="8"/>
    </row>
    <row r="8724" spans="2:6">
      <c r="B8724" s="44"/>
      <c r="D8724" s="8"/>
      <c r="E8724" s="8"/>
      <c r="F8724" s="8"/>
    </row>
    <row r="8725" spans="2:6">
      <c r="B8725" s="44"/>
      <c r="D8725" s="8"/>
      <c r="E8725" s="8"/>
      <c r="F8725" s="8"/>
    </row>
    <row r="8726" spans="2:6">
      <c r="B8726" s="44"/>
      <c r="D8726" s="8"/>
      <c r="E8726" s="8"/>
      <c r="F8726" s="8"/>
    </row>
    <row r="8727" spans="2:6">
      <c r="B8727" s="44"/>
      <c r="D8727" s="8"/>
      <c r="E8727" s="8"/>
      <c r="F8727" s="8"/>
    </row>
    <row r="8728" spans="2:6">
      <c r="B8728" s="44"/>
      <c r="D8728" s="8"/>
      <c r="E8728" s="8"/>
      <c r="F8728" s="8"/>
    </row>
    <row r="8729" spans="2:6">
      <c r="B8729" s="44"/>
      <c r="D8729" s="8"/>
      <c r="E8729" s="8"/>
      <c r="F8729" s="8"/>
    </row>
    <row r="8730" spans="2:6">
      <c r="B8730" s="44"/>
      <c r="D8730" s="8"/>
      <c r="E8730" s="8"/>
      <c r="F8730" s="8"/>
    </row>
    <row r="8731" spans="2:6">
      <c r="B8731" s="44"/>
      <c r="D8731" s="8"/>
      <c r="E8731" s="8"/>
      <c r="F8731" s="8"/>
    </row>
    <row r="8732" spans="2:6">
      <c r="B8732" s="44"/>
      <c r="D8732" s="8"/>
      <c r="E8732" s="8"/>
      <c r="F8732" s="8"/>
    </row>
    <row r="8733" spans="2:6">
      <c r="B8733" s="44"/>
      <c r="D8733" s="8"/>
      <c r="E8733" s="8"/>
      <c r="F8733" s="8"/>
    </row>
    <row r="8734" spans="2:6">
      <c r="B8734" s="44"/>
      <c r="D8734" s="8"/>
      <c r="E8734" s="8"/>
      <c r="F8734" s="8"/>
    </row>
    <row r="8735" spans="2:6">
      <c r="B8735" s="44"/>
      <c r="D8735" s="8"/>
      <c r="E8735" s="8"/>
      <c r="F8735" s="8"/>
    </row>
    <row r="8736" spans="2:6">
      <c r="B8736" s="44"/>
      <c r="D8736" s="8"/>
      <c r="E8736" s="8"/>
      <c r="F8736" s="8"/>
    </row>
    <row r="8737" spans="2:6">
      <c r="B8737" s="44"/>
      <c r="D8737" s="8"/>
      <c r="E8737" s="8"/>
      <c r="F8737" s="8"/>
    </row>
    <row r="8738" spans="2:6">
      <c r="B8738" s="44"/>
      <c r="D8738" s="8"/>
      <c r="E8738" s="8"/>
      <c r="F8738" s="8"/>
    </row>
    <row r="8739" spans="2:6">
      <c r="B8739" s="44"/>
      <c r="D8739" s="8"/>
      <c r="E8739" s="8"/>
      <c r="F8739" s="8"/>
    </row>
    <row r="8740" spans="2:6">
      <c r="B8740" s="44"/>
      <c r="D8740" s="8"/>
      <c r="E8740" s="8"/>
      <c r="F8740" s="8"/>
    </row>
    <row r="8741" spans="2:6">
      <c r="B8741" s="44"/>
      <c r="D8741" s="8"/>
      <c r="E8741" s="8"/>
      <c r="F8741" s="8"/>
    </row>
    <row r="8742" spans="2:6">
      <c r="B8742" s="44"/>
      <c r="D8742" s="8"/>
      <c r="E8742" s="8"/>
      <c r="F8742" s="8"/>
    </row>
    <row r="8743" spans="2:6">
      <c r="B8743" s="44"/>
      <c r="D8743" s="8"/>
      <c r="E8743" s="8"/>
      <c r="F8743" s="8"/>
    </row>
    <row r="8744" spans="2:6">
      <c r="B8744" s="44"/>
      <c r="D8744" s="8"/>
      <c r="E8744" s="8"/>
      <c r="F8744" s="8"/>
    </row>
    <row r="8745" spans="2:6">
      <c r="B8745" s="44"/>
      <c r="D8745" s="8"/>
      <c r="E8745" s="8"/>
      <c r="F8745" s="8"/>
    </row>
    <row r="8746" spans="2:6">
      <c r="B8746" s="44"/>
      <c r="D8746" s="8"/>
      <c r="E8746" s="8"/>
      <c r="F8746" s="8"/>
    </row>
    <row r="8747" spans="2:6">
      <c r="B8747" s="44"/>
      <c r="D8747" s="8"/>
      <c r="E8747" s="8"/>
      <c r="F8747" s="8"/>
    </row>
    <row r="8748" spans="2:6">
      <c r="B8748" s="44"/>
      <c r="D8748" s="8"/>
      <c r="E8748" s="8"/>
      <c r="F8748" s="8"/>
    </row>
    <row r="8749" spans="2:6">
      <c r="B8749" s="44"/>
      <c r="D8749" s="8"/>
      <c r="E8749" s="8"/>
      <c r="F8749" s="8"/>
    </row>
    <row r="8750" spans="2:6">
      <c r="B8750" s="44"/>
      <c r="D8750" s="8"/>
      <c r="E8750" s="8"/>
      <c r="F8750" s="8"/>
    </row>
    <row r="8751" spans="2:6">
      <c r="B8751" s="44"/>
      <c r="D8751" s="8"/>
      <c r="E8751" s="8"/>
      <c r="F8751" s="8"/>
    </row>
    <row r="8752" spans="2:6">
      <c r="B8752" s="44"/>
      <c r="D8752" s="8"/>
      <c r="E8752" s="8"/>
      <c r="F8752" s="8"/>
    </row>
    <row r="8753" spans="2:6">
      <c r="B8753" s="44"/>
      <c r="D8753" s="8"/>
      <c r="E8753" s="8"/>
      <c r="F8753" s="8"/>
    </row>
    <row r="8754" spans="2:6">
      <c r="B8754" s="44"/>
      <c r="D8754" s="8"/>
      <c r="E8754" s="8"/>
      <c r="F8754" s="8"/>
    </row>
    <row r="8755" spans="2:6">
      <c r="B8755" s="44"/>
      <c r="D8755" s="8"/>
      <c r="E8755" s="8"/>
      <c r="F8755" s="8"/>
    </row>
    <row r="8756" spans="2:6">
      <c r="B8756" s="44"/>
      <c r="D8756" s="8"/>
      <c r="E8756" s="8"/>
      <c r="F8756" s="8"/>
    </row>
    <row r="8757" spans="2:6">
      <c r="B8757" s="44"/>
      <c r="D8757" s="8"/>
      <c r="E8757" s="8"/>
      <c r="F8757" s="8"/>
    </row>
    <row r="8758" spans="2:6">
      <c r="B8758" s="44"/>
      <c r="D8758" s="8"/>
      <c r="E8758" s="8"/>
      <c r="F8758" s="8"/>
    </row>
    <row r="8759" spans="2:6">
      <c r="B8759" s="44"/>
      <c r="D8759" s="8"/>
      <c r="E8759" s="8"/>
      <c r="F8759" s="8"/>
    </row>
    <row r="8760" spans="2:6">
      <c r="B8760" s="44"/>
      <c r="D8760" s="8"/>
      <c r="E8760" s="8"/>
      <c r="F8760" s="8"/>
    </row>
    <row r="8761" spans="2:6">
      <c r="B8761" s="44"/>
      <c r="D8761" s="8"/>
      <c r="E8761" s="8"/>
      <c r="F8761" s="8"/>
    </row>
    <row r="8762" spans="2:6">
      <c r="B8762" s="44"/>
      <c r="D8762" s="8"/>
      <c r="E8762" s="8"/>
      <c r="F8762" s="8"/>
    </row>
    <row r="8763" spans="2:6">
      <c r="B8763" s="44"/>
      <c r="D8763" s="8"/>
      <c r="E8763" s="8"/>
      <c r="F8763" s="8"/>
    </row>
    <row r="8764" spans="2:6">
      <c r="B8764" s="44"/>
      <c r="D8764" s="8"/>
      <c r="E8764" s="8"/>
      <c r="F8764" s="8"/>
    </row>
    <row r="8765" spans="2:6">
      <c r="B8765" s="44"/>
      <c r="D8765" s="8"/>
      <c r="E8765" s="8"/>
      <c r="F8765" s="8"/>
    </row>
    <row r="8766" spans="2:6">
      <c r="B8766" s="44"/>
      <c r="D8766" s="8"/>
      <c r="E8766" s="8"/>
      <c r="F8766" s="8"/>
    </row>
    <row r="8767" spans="2:6">
      <c r="B8767" s="44"/>
      <c r="D8767" s="8"/>
      <c r="E8767" s="8"/>
      <c r="F8767" s="8"/>
    </row>
    <row r="8768" spans="2:6">
      <c r="B8768" s="44"/>
      <c r="D8768" s="8"/>
      <c r="E8768" s="8"/>
      <c r="F8768" s="8"/>
    </row>
    <row r="8769" spans="2:6">
      <c r="B8769" s="44"/>
      <c r="D8769" s="8"/>
      <c r="E8769" s="8"/>
      <c r="F8769" s="8"/>
    </row>
    <row r="8770" spans="2:6">
      <c r="B8770" s="44"/>
      <c r="D8770" s="8"/>
      <c r="E8770" s="8"/>
      <c r="F8770" s="8"/>
    </row>
    <row r="8771" spans="2:6">
      <c r="B8771" s="44"/>
      <c r="D8771" s="8"/>
      <c r="E8771" s="8"/>
      <c r="F8771" s="8"/>
    </row>
    <row r="8772" spans="2:6">
      <c r="B8772" s="44"/>
      <c r="D8772" s="8"/>
      <c r="E8772" s="8"/>
      <c r="F8772" s="8"/>
    </row>
    <row r="8773" spans="2:6">
      <c r="B8773" s="44"/>
      <c r="D8773" s="8"/>
      <c r="E8773" s="8"/>
      <c r="F8773" s="8"/>
    </row>
    <row r="8774" spans="2:6">
      <c r="B8774" s="44"/>
      <c r="D8774" s="8"/>
      <c r="E8774" s="8"/>
      <c r="F8774" s="8"/>
    </row>
    <row r="8775" spans="2:6">
      <c r="B8775" s="44"/>
      <c r="D8775" s="8"/>
      <c r="E8775" s="8"/>
      <c r="F8775" s="8"/>
    </row>
    <row r="8776" spans="2:6">
      <c r="B8776" s="44"/>
      <c r="D8776" s="8"/>
      <c r="E8776" s="8"/>
      <c r="F8776" s="8"/>
    </row>
    <row r="8777" spans="2:6">
      <c r="B8777" s="44"/>
      <c r="D8777" s="8"/>
      <c r="E8777" s="8"/>
      <c r="F8777" s="8"/>
    </row>
    <row r="8778" spans="2:6">
      <c r="B8778" s="44"/>
      <c r="D8778" s="8"/>
      <c r="E8778" s="8"/>
      <c r="F8778" s="8"/>
    </row>
    <row r="8779" spans="2:6">
      <c r="B8779" s="44"/>
      <c r="D8779" s="8"/>
      <c r="E8779" s="8"/>
      <c r="F8779" s="8"/>
    </row>
    <row r="8780" spans="2:6">
      <c r="B8780" s="44"/>
      <c r="D8780" s="8"/>
      <c r="E8780" s="8"/>
      <c r="F8780" s="8"/>
    </row>
    <row r="8781" spans="2:6">
      <c r="B8781" s="44"/>
      <c r="D8781" s="8"/>
      <c r="E8781" s="8"/>
      <c r="F8781" s="8"/>
    </row>
    <row r="8782" spans="2:6">
      <c r="B8782" s="44"/>
      <c r="D8782" s="8"/>
      <c r="E8782" s="8"/>
      <c r="F8782" s="8"/>
    </row>
    <row r="8783" spans="2:6">
      <c r="B8783" s="44"/>
      <c r="D8783" s="8"/>
      <c r="E8783" s="8"/>
      <c r="F8783" s="8"/>
    </row>
    <row r="8784" spans="2:6">
      <c r="B8784" s="44"/>
      <c r="D8784" s="8"/>
      <c r="E8784" s="8"/>
      <c r="F8784" s="8"/>
    </row>
    <row r="8785" spans="2:6">
      <c r="B8785" s="44"/>
      <c r="D8785" s="8"/>
      <c r="E8785" s="8"/>
      <c r="F8785" s="8"/>
    </row>
    <row r="8786" spans="2:6">
      <c r="B8786" s="44"/>
      <c r="D8786" s="8"/>
      <c r="E8786" s="8"/>
      <c r="F8786" s="8"/>
    </row>
    <row r="8787" spans="2:6">
      <c r="B8787" s="44"/>
      <c r="D8787" s="8"/>
      <c r="E8787" s="8"/>
      <c r="F8787" s="8"/>
    </row>
    <row r="8788" spans="2:6">
      <c r="B8788" s="44"/>
      <c r="D8788" s="8"/>
      <c r="E8788" s="8"/>
      <c r="F8788" s="8"/>
    </row>
    <row r="8789" spans="2:6">
      <c r="B8789" s="44"/>
      <c r="D8789" s="8"/>
      <c r="E8789" s="8"/>
      <c r="F8789" s="8"/>
    </row>
    <row r="8790" spans="2:6">
      <c r="B8790" s="44"/>
      <c r="D8790" s="8"/>
      <c r="E8790" s="8"/>
      <c r="F8790" s="8"/>
    </row>
    <row r="8791" spans="2:6">
      <c r="B8791" s="44"/>
      <c r="D8791" s="8"/>
      <c r="E8791" s="8"/>
      <c r="F8791" s="8"/>
    </row>
    <row r="8792" spans="2:6">
      <c r="B8792" s="44"/>
      <c r="D8792" s="8"/>
      <c r="E8792" s="8"/>
      <c r="F8792" s="8"/>
    </row>
    <row r="8793" spans="2:6">
      <c r="B8793" s="44"/>
      <c r="D8793" s="8"/>
      <c r="E8793" s="8"/>
      <c r="F8793" s="8"/>
    </row>
    <row r="8794" spans="2:6">
      <c r="B8794" s="44"/>
      <c r="D8794" s="8"/>
      <c r="E8794" s="8"/>
      <c r="F8794" s="8"/>
    </row>
    <row r="8795" spans="2:6">
      <c r="B8795" s="44"/>
      <c r="D8795" s="8"/>
      <c r="E8795" s="8"/>
      <c r="F8795" s="8"/>
    </row>
    <row r="8796" spans="2:6">
      <c r="B8796" s="44"/>
      <c r="D8796" s="8"/>
      <c r="E8796" s="8"/>
      <c r="F8796" s="8"/>
    </row>
    <row r="8797" spans="2:6">
      <c r="B8797" s="44"/>
      <c r="D8797" s="8"/>
      <c r="E8797" s="8"/>
      <c r="F8797" s="8"/>
    </row>
    <row r="8798" spans="2:6">
      <c r="B8798" s="44"/>
      <c r="D8798" s="8"/>
      <c r="E8798" s="8"/>
      <c r="F8798" s="8"/>
    </row>
    <row r="8799" spans="2:6">
      <c r="B8799" s="44"/>
      <c r="D8799" s="8"/>
      <c r="E8799" s="8"/>
      <c r="F8799" s="8"/>
    </row>
    <row r="8800" spans="2:6">
      <c r="B8800" s="44"/>
      <c r="D8800" s="8"/>
      <c r="E8800" s="8"/>
      <c r="F8800" s="8"/>
    </row>
    <row r="8801" spans="2:6">
      <c r="B8801" s="44"/>
      <c r="D8801" s="8"/>
      <c r="E8801" s="8"/>
      <c r="F8801" s="8"/>
    </row>
    <row r="8802" spans="2:6">
      <c r="B8802" s="44"/>
      <c r="D8802" s="8"/>
      <c r="E8802" s="8"/>
      <c r="F8802" s="8"/>
    </row>
    <row r="8803" spans="2:6">
      <c r="B8803" s="44"/>
      <c r="D8803" s="8"/>
      <c r="E8803" s="8"/>
      <c r="F8803" s="8"/>
    </row>
    <row r="8804" spans="2:6">
      <c r="B8804" s="44"/>
      <c r="D8804" s="8"/>
      <c r="E8804" s="8"/>
      <c r="F8804" s="8"/>
    </row>
    <row r="8805" spans="2:6">
      <c r="B8805" s="44"/>
      <c r="D8805" s="8"/>
      <c r="E8805" s="8"/>
      <c r="F8805" s="8"/>
    </row>
    <row r="8806" spans="2:6">
      <c r="B8806" s="44"/>
      <c r="D8806" s="8"/>
      <c r="E8806" s="8"/>
      <c r="F8806" s="8"/>
    </row>
    <row r="8807" spans="2:6">
      <c r="B8807" s="44"/>
      <c r="D8807" s="8"/>
      <c r="E8807" s="8"/>
      <c r="F8807" s="8"/>
    </row>
    <row r="8808" spans="2:6">
      <c r="B8808" s="44"/>
      <c r="D8808" s="8"/>
      <c r="E8808" s="8"/>
      <c r="F8808" s="8"/>
    </row>
    <row r="8809" spans="2:6">
      <c r="B8809" s="44"/>
      <c r="D8809" s="8"/>
      <c r="E8809" s="8"/>
      <c r="F8809" s="8"/>
    </row>
    <row r="8810" spans="2:6">
      <c r="B8810" s="44"/>
      <c r="D8810" s="8"/>
      <c r="E8810" s="8"/>
      <c r="F8810" s="8"/>
    </row>
    <row r="8811" spans="2:6">
      <c r="B8811" s="44"/>
      <c r="D8811" s="8"/>
      <c r="E8811" s="8"/>
      <c r="F8811" s="8"/>
    </row>
    <row r="8812" spans="2:6">
      <c r="B8812" s="44"/>
      <c r="D8812" s="8"/>
      <c r="E8812" s="8"/>
      <c r="F8812" s="8"/>
    </row>
    <row r="8813" spans="2:6">
      <c r="B8813" s="44"/>
      <c r="D8813" s="8"/>
      <c r="E8813" s="8"/>
      <c r="F8813" s="8"/>
    </row>
    <row r="8814" spans="2:6">
      <c r="B8814" s="44"/>
      <c r="D8814" s="8"/>
      <c r="E8814" s="8"/>
      <c r="F8814" s="8"/>
    </row>
    <row r="8815" spans="2:6">
      <c r="B8815" s="44"/>
      <c r="D8815" s="8"/>
      <c r="E8815" s="8"/>
      <c r="F8815" s="8"/>
    </row>
    <row r="8816" spans="2:6">
      <c r="B8816" s="44"/>
      <c r="D8816" s="8"/>
      <c r="E8816" s="8"/>
      <c r="F8816" s="8"/>
    </row>
    <row r="8817" spans="2:6">
      <c r="B8817" s="44"/>
      <c r="D8817" s="8"/>
      <c r="E8817" s="8"/>
      <c r="F8817" s="8"/>
    </row>
    <row r="8818" spans="2:6">
      <c r="B8818" s="44"/>
      <c r="D8818" s="8"/>
      <c r="E8818" s="8"/>
      <c r="F8818" s="8"/>
    </row>
    <row r="8819" spans="2:6">
      <c r="B8819" s="44"/>
      <c r="D8819" s="8"/>
      <c r="E8819" s="8"/>
      <c r="F8819" s="8"/>
    </row>
    <row r="8820" spans="2:6">
      <c r="B8820" s="44"/>
      <c r="D8820" s="8"/>
      <c r="E8820" s="8"/>
      <c r="F8820" s="8"/>
    </row>
    <row r="8821" spans="2:6">
      <c r="B8821" s="44"/>
      <c r="D8821" s="8"/>
      <c r="E8821" s="8"/>
      <c r="F8821" s="8"/>
    </row>
    <row r="8822" spans="2:6">
      <c r="B8822" s="44"/>
      <c r="D8822" s="8"/>
      <c r="E8822" s="8"/>
      <c r="F8822" s="8"/>
    </row>
    <row r="8823" spans="2:6">
      <c r="B8823" s="44"/>
      <c r="D8823" s="8"/>
      <c r="E8823" s="8"/>
      <c r="F8823" s="8"/>
    </row>
    <row r="8824" spans="2:6">
      <c r="B8824" s="44"/>
      <c r="D8824" s="8"/>
      <c r="E8824" s="8"/>
      <c r="F8824" s="8"/>
    </row>
    <row r="8825" spans="2:6">
      <c r="B8825" s="44"/>
      <c r="D8825" s="8"/>
      <c r="E8825" s="8"/>
      <c r="F8825" s="8"/>
    </row>
    <row r="8826" spans="2:6">
      <c r="B8826" s="44"/>
      <c r="D8826" s="8"/>
      <c r="E8826" s="8"/>
      <c r="F8826" s="8"/>
    </row>
    <row r="8827" spans="2:6">
      <c r="B8827" s="44"/>
      <c r="D8827" s="8"/>
      <c r="E8827" s="8"/>
      <c r="F8827" s="8"/>
    </row>
    <row r="8828" spans="2:6">
      <c r="B8828" s="44"/>
      <c r="D8828" s="8"/>
      <c r="E8828" s="8"/>
      <c r="F8828" s="8"/>
    </row>
    <row r="8829" spans="2:6">
      <c r="B8829" s="44"/>
      <c r="D8829" s="8"/>
      <c r="E8829" s="8"/>
      <c r="F8829" s="8"/>
    </row>
    <row r="8830" spans="2:6">
      <c r="B8830" s="44"/>
      <c r="D8830" s="8"/>
      <c r="E8830" s="8"/>
      <c r="F8830" s="8"/>
    </row>
    <row r="8831" spans="2:6">
      <c r="B8831" s="44"/>
      <c r="D8831" s="8"/>
      <c r="E8831" s="8"/>
      <c r="F8831" s="8"/>
    </row>
    <row r="8832" spans="2:6">
      <c r="B8832" s="44"/>
      <c r="D8832" s="8"/>
      <c r="E8832" s="8"/>
      <c r="F8832" s="8"/>
    </row>
    <row r="8833" spans="2:6">
      <c r="B8833" s="44"/>
      <c r="D8833" s="8"/>
      <c r="E8833" s="8"/>
      <c r="F8833" s="8"/>
    </row>
    <row r="8834" spans="2:6">
      <c r="B8834" s="44"/>
      <c r="D8834" s="8"/>
      <c r="E8834" s="8"/>
      <c r="F8834" s="8"/>
    </row>
    <row r="8835" spans="2:6">
      <c r="B8835" s="44"/>
      <c r="D8835" s="8"/>
      <c r="E8835" s="8"/>
      <c r="F8835" s="8"/>
    </row>
    <row r="8836" spans="2:6">
      <c r="B8836" s="44"/>
      <c r="D8836" s="8"/>
      <c r="E8836" s="8"/>
      <c r="F8836" s="8"/>
    </row>
    <row r="8837" spans="2:6">
      <c r="B8837" s="44"/>
      <c r="D8837" s="8"/>
      <c r="E8837" s="8"/>
      <c r="F8837" s="8"/>
    </row>
    <row r="8838" spans="2:6">
      <c r="B8838" s="44"/>
      <c r="D8838" s="8"/>
      <c r="E8838" s="8"/>
      <c r="F8838" s="8"/>
    </row>
    <row r="8839" spans="2:6">
      <c r="B8839" s="44"/>
      <c r="D8839" s="8"/>
      <c r="E8839" s="8"/>
      <c r="F8839" s="8"/>
    </row>
    <row r="8840" spans="2:6">
      <c r="B8840" s="44"/>
      <c r="D8840" s="8"/>
      <c r="E8840" s="8"/>
      <c r="F8840" s="8"/>
    </row>
    <row r="8841" spans="2:6">
      <c r="B8841" s="44"/>
      <c r="D8841" s="8"/>
      <c r="E8841" s="8"/>
      <c r="F8841" s="8"/>
    </row>
    <row r="8842" spans="2:6">
      <c r="B8842" s="44"/>
      <c r="D8842" s="8"/>
      <c r="E8842" s="8"/>
      <c r="F8842" s="8"/>
    </row>
    <row r="8843" spans="2:6">
      <c r="B8843" s="44"/>
      <c r="D8843" s="8"/>
      <c r="E8843" s="8"/>
      <c r="F8843" s="8"/>
    </row>
    <row r="8844" spans="2:6">
      <c r="B8844" s="44"/>
      <c r="D8844" s="8"/>
      <c r="E8844" s="8"/>
      <c r="F8844" s="8"/>
    </row>
    <row r="8845" spans="2:6">
      <c r="B8845" s="44"/>
      <c r="D8845" s="8"/>
      <c r="E8845" s="8"/>
      <c r="F8845" s="8"/>
    </row>
    <row r="8846" spans="2:6">
      <c r="B8846" s="44"/>
      <c r="D8846" s="8"/>
      <c r="E8846" s="8"/>
      <c r="F8846" s="8"/>
    </row>
    <row r="8847" spans="2:6">
      <c r="B8847" s="44"/>
      <c r="D8847" s="8"/>
      <c r="E8847" s="8"/>
      <c r="F8847" s="8"/>
    </row>
    <row r="8848" spans="2:6">
      <c r="B8848" s="44"/>
      <c r="D8848" s="8"/>
      <c r="E8848" s="8"/>
      <c r="F8848" s="8"/>
    </row>
    <row r="8849" spans="2:6">
      <c r="B8849" s="44"/>
      <c r="D8849" s="8"/>
      <c r="E8849" s="8"/>
      <c r="F8849" s="8"/>
    </row>
    <row r="8850" spans="2:6">
      <c r="B8850" s="44"/>
      <c r="D8850" s="8"/>
      <c r="E8850" s="8"/>
      <c r="F8850" s="8"/>
    </row>
    <row r="8851" spans="2:6">
      <c r="B8851" s="44"/>
      <c r="D8851" s="8"/>
      <c r="E8851" s="8"/>
      <c r="F8851" s="8"/>
    </row>
    <row r="8852" spans="2:6">
      <c r="B8852" s="44"/>
      <c r="D8852" s="8"/>
      <c r="E8852" s="8"/>
      <c r="F8852" s="8"/>
    </row>
    <row r="8853" spans="2:6">
      <c r="B8853" s="44"/>
      <c r="D8853" s="8"/>
      <c r="E8853" s="8"/>
      <c r="F8853" s="8"/>
    </row>
    <row r="8854" spans="2:6">
      <c r="B8854" s="44"/>
      <c r="D8854" s="8"/>
      <c r="E8854" s="8"/>
      <c r="F8854" s="8"/>
    </row>
    <row r="8855" spans="2:6">
      <c r="B8855" s="44"/>
      <c r="D8855" s="8"/>
      <c r="E8855" s="8"/>
      <c r="F8855" s="8"/>
    </row>
    <row r="8856" spans="2:6">
      <c r="B8856" s="44"/>
      <c r="D8856" s="8"/>
      <c r="E8856" s="8"/>
      <c r="F8856" s="8"/>
    </row>
    <row r="8857" spans="2:6">
      <c r="B8857" s="44"/>
      <c r="D8857" s="8"/>
      <c r="E8857" s="8"/>
      <c r="F8857" s="8"/>
    </row>
    <row r="8858" spans="2:6">
      <c r="B8858" s="44"/>
      <c r="D8858" s="8"/>
      <c r="E8858" s="8"/>
      <c r="F8858" s="8"/>
    </row>
    <row r="8859" spans="2:6">
      <c r="B8859" s="44"/>
      <c r="D8859" s="8"/>
      <c r="E8859" s="8"/>
      <c r="F8859" s="8"/>
    </row>
    <row r="8860" spans="2:6">
      <c r="B8860" s="44"/>
      <c r="D8860" s="8"/>
      <c r="E8860" s="8"/>
      <c r="F8860" s="8"/>
    </row>
    <row r="8861" spans="2:6">
      <c r="B8861" s="44"/>
      <c r="D8861" s="8"/>
      <c r="E8861" s="8"/>
      <c r="F8861" s="8"/>
    </row>
    <row r="8862" spans="2:6">
      <c r="B8862" s="44"/>
      <c r="D8862" s="8"/>
      <c r="E8862" s="8"/>
      <c r="F8862" s="8"/>
    </row>
    <row r="8863" spans="2:6">
      <c r="B8863" s="44"/>
      <c r="D8863" s="8"/>
      <c r="E8863" s="8"/>
      <c r="F8863" s="8"/>
    </row>
    <row r="8864" spans="2:6">
      <c r="B8864" s="44"/>
      <c r="D8864" s="8"/>
      <c r="E8864" s="8"/>
      <c r="F8864" s="8"/>
    </row>
    <row r="8865" spans="2:6">
      <c r="B8865" s="44"/>
      <c r="D8865" s="8"/>
      <c r="E8865" s="8"/>
      <c r="F8865" s="8"/>
    </row>
    <row r="8866" spans="2:6">
      <c r="B8866" s="44"/>
      <c r="D8866" s="8"/>
      <c r="E8866" s="8"/>
      <c r="F8866" s="8"/>
    </row>
    <row r="8867" spans="2:6">
      <c r="B8867" s="44"/>
      <c r="D8867" s="8"/>
      <c r="E8867" s="8"/>
      <c r="F8867" s="8"/>
    </row>
    <row r="8868" spans="2:6">
      <c r="B8868" s="44"/>
      <c r="D8868" s="8"/>
      <c r="E8868" s="8"/>
      <c r="F8868" s="8"/>
    </row>
    <row r="8869" spans="2:6">
      <c r="B8869" s="44"/>
      <c r="D8869" s="8"/>
      <c r="E8869" s="8"/>
      <c r="F8869" s="8"/>
    </row>
    <row r="8870" spans="2:6">
      <c r="B8870" s="44"/>
      <c r="D8870" s="8"/>
      <c r="E8870" s="8"/>
      <c r="F8870" s="8"/>
    </row>
    <row r="8871" spans="2:6">
      <c r="B8871" s="44"/>
      <c r="D8871" s="8"/>
      <c r="E8871" s="8"/>
      <c r="F8871" s="8"/>
    </row>
    <row r="8872" spans="2:6">
      <c r="B8872" s="44"/>
      <c r="D8872" s="8"/>
      <c r="E8872" s="8"/>
      <c r="F8872" s="8"/>
    </row>
    <row r="8873" spans="2:6">
      <c r="B8873" s="44"/>
      <c r="D8873" s="8"/>
      <c r="E8873" s="8"/>
      <c r="F8873" s="8"/>
    </row>
    <row r="8874" spans="2:6">
      <c r="B8874" s="44"/>
      <c r="D8874" s="8"/>
      <c r="E8874" s="8"/>
      <c r="F8874" s="8"/>
    </row>
    <row r="8875" spans="2:6">
      <c r="B8875" s="44"/>
      <c r="D8875" s="8"/>
      <c r="E8875" s="8"/>
      <c r="F8875" s="8"/>
    </row>
    <row r="8876" spans="2:6">
      <c r="B8876" s="44"/>
      <c r="D8876" s="8"/>
      <c r="E8876" s="8"/>
      <c r="F8876" s="8"/>
    </row>
    <row r="8877" spans="2:6">
      <c r="B8877" s="44"/>
      <c r="D8877" s="8"/>
      <c r="E8877" s="8"/>
      <c r="F8877" s="8"/>
    </row>
    <row r="8878" spans="2:6">
      <c r="B8878" s="44"/>
      <c r="D8878" s="8"/>
      <c r="E8878" s="8"/>
      <c r="F8878" s="8"/>
    </row>
    <row r="8879" spans="2:6">
      <c r="B8879" s="44"/>
      <c r="D8879" s="8"/>
      <c r="E8879" s="8"/>
      <c r="F8879" s="8"/>
    </row>
    <row r="8880" spans="2:6">
      <c r="B8880" s="44"/>
      <c r="D8880" s="8"/>
      <c r="E8880" s="8"/>
      <c r="F8880" s="8"/>
    </row>
    <row r="8881" spans="2:6">
      <c r="B8881" s="44"/>
      <c r="D8881" s="8"/>
      <c r="E8881" s="8"/>
      <c r="F8881" s="8"/>
    </row>
    <row r="8882" spans="2:6">
      <c r="B8882" s="44"/>
      <c r="D8882" s="8"/>
      <c r="E8882" s="8"/>
      <c r="F8882" s="8"/>
    </row>
    <row r="8883" spans="2:6">
      <c r="B8883" s="44"/>
      <c r="D8883" s="8"/>
      <c r="E8883" s="8"/>
      <c r="F8883" s="8"/>
    </row>
    <row r="8884" spans="2:6">
      <c r="B8884" s="44"/>
      <c r="D8884" s="8"/>
      <c r="E8884" s="8"/>
      <c r="F8884" s="8"/>
    </row>
    <row r="8885" spans="2:6">
      <c r="B8885" s="44"/>
      <c r="D8885" s="8"/>
      <c r="E8885" s="8"/>
      <c r="F8885" s="8"/>
    </row>
    <row r="8886" spans="2:6">
      <c r="B8886" s="44"/>
      <c r="D8886" s="8"/>
      <c r="E8886" s="8"/>
      <c r="F8886" s="8"/>
    </row>
    <row r="8887" spans="2:6">
      <c r="B8887" s="44"/>
      <c r="D8887" s="8"/>
      <c r="E8887" s="8"/>
      <c r="F8887" s="8"/>
    </row>
    <row r="8888" spans="2:6">
      <c r="B8888" s="44"/>
      <c r="D8888" s="8"/>
      <c r="E8888" s="8"/>
      <c r="F8888" s="8"/>
    </row>
    <row r="8889" spans="2:6">
      <c r="B8889" s="44"/>
      <c r="D8889" s="8"/>
      <c r="E8889" s="8"/>
      <c r="F8889" s="8"/>
    </row>
    <row r="8890" spans="2:6">
      <c r="B8890" s="44"/>
      <c r="D8890" s="8"/>
      <c r="E8890" s="8"/>
      <c r="F8890" s="8"/>
    </row>
    <row r="8891" spans="2:6">
      <c r="B8891" s="44"/>
      <c r="D8891" s="8"/>
      <c r="E8891" s="8"/>
      <c r="F8891" s="8"/>
    </row>
    <row r="8892" spans="2:6">
      <c r="B8892" s="44"/>
      <c r="D8892" s="8"/>
      <c r="E8892" s="8"/>
      <c r="F8892" s="8"/>
    </row>
    <row r="8893" spans="2:6">
      <c r="B8893" s="44"/>
      <c r="D8893" s="8"/>
      <c r="E8893" s="8"/>
      <c r="F8893" s="8"/>
    </row>
    <row r="8894" spans="2:6">
      <c r="B8894" s="44"/>
      <c r="D8894" s="8"/>
      <c r="E8894" s="8"/>
      <c r="F8894" s="8"/>
    </row>
    <row r="8895" spans="2:6">
      <c r="B8895" s="44"/>
      <c r="D8895" s="8"/>
      <c r="E8895" s="8"/>
      <c r="F8895" s="8"/>
    </row>
    <row r="8896" spans="2:6">
      <c r="B8896" s="44"/>
      <c r="D8896" s="8"/>
      <c r="E8896" s="8"/>
      <c r="F8896" s="8"/>
    </row>
    <row r="8897" spans="2:6">
      <c r="B8897" s="44"/>
      <c r="D8897" s="8"/>
      <c r="E8897" s="8"/>
      <c r="F8897" s="8"/>
    </row>
    <row r="8898" spans="2:6">
      <c r="B8898" s="44"/>
      <c r="D8898" s="8"/>
      <c r="E8898" s="8"/>
      <c r="F8898" s="8"/>
    </row>
    <row r="8899" spans="2:6">
      <c r="B8899" s="44"/>
      <c r="D8899" s="8"/>
      <c r="E8899" s="8"/>
      <c r="F8899" s="8"/>
    </row>
    <row r="8900" spans="2:6">
      <c r="B8900" s="44"/>
      <c r="D8900" s="8"/>
      <c r="E8900" s="8"/>
      <c r="F8900" s="8"/>
    </row>
    <row r="8901" spans="2:6">
      <c r="B8901" s="44"/>
      <c r="D8901" s="8"/>
      <c r="E8901" s="8"/>
      <c r="F8901" s="8"/>
    </row>
    <row r="8902" spans="2:6">
      <c r="B8902" s="44"/>
      <c r="D8902" s="8"/>
      <c r="E8902" s="8"/>
      <c r="F8902" s="8"/>
    </row>
    <row r="8903" spans="2:6">
      <c r="B8903" s="44"/>
      <c r="D8903" s="8"/>
      <c r="E8903" s="8"/>
      <c r="F8903" s="8"/>
    </row>
    <row r="8904" spans="2:6">
      <c r="B8904" s="44"/>
      <c r="D8904" s="8"/>
      <c r="E8904" s="8"/>
      <c r="F8904" s="8"/>
    </row>
    <row r="8905" spans="2:6">
      <c r="B8905" s="44"/>
      <c r="D8905" s="8"/>
      <c r="E8905" s="8"/>
      <c r="F8905" s="8"/>
    </row>
    <row r="8906" spans="2:6">
      <c r="B8906" s="44"/>
      <c r="D8906" s="8"/>
      <c r="E8906" s="8"/>
      <c r="F8906" s="8"/>
    </row>
    <row r="8907" spans="2:6">
      <c r="B8907" s="44"/>
      <c r="D8907" s="8"/>
      <c r="E8907" s="8"/>
      <c r="F8907" s="8"/>
    </row>
    <row r="8908" spans="2:6">
      <c r="B8908" s="44"/>
      <c r="D8908" s="8"/>
      <c r="E8908" s="8"/>
      <c r="F8908" s="8"/>
    </row>
    <row r="8909" spans="2:6">
      <c r="B8909" s="44"/>
      <c r="D8909" s="8"/>
      <c r="E8909" s="8"/>
      <c r="F8909" s="8"/>
    </row>
    <row r="8910" spans="2:6">
      <c r="B8910" s="44"/>
      <c r="D8910" s="8"/>
      <c r="E8910" s="8"/>
      <c r="F8910" s="8"/>
    </row>
    <row r="8911" spans="2:6">
      <c r="B8911" s="44"/>
      <c r="D8911" s="8"/>
      <c r="E8911" s="8"/>
      <c r="F8911" s="8"/>
    </row>
    <row r="8912" spans="2:6">
      <c r="B8912" s="44"/>
      <c r="D8912" s="8"/>
      <c r="E8912" s="8"/>
      <c r="F8912" s="8"/>
    </row>
    <row r="8913" spans="2:6">
      <c r="B8913" s="44"/>
      <c r="D8913" s="8"/>
      <c r="E8913" s="8"/>
      <c r="F8913" s="8"/>
    </row>
    <row r="8914" spans="2:6">
      <c r="B8914" s="44"/>
      <c r="D8914" s="8"/>
      <c r="E8914" s="8"/>
      <c r="F8914" s="8"/>
    </row>
    <row r="8915" spans="2:6">
      <c r="B8915" s="44"/>
      <c r="D8915" s="8"/>
      <c r="E8915" s="8"/>
      <c r="F8915" s="8"/>
    </row>
    <row r="8916" spans="2:6">
      <c r="B8916" s="44"/>
      <c r="D8916" s="8"/>
      <c r="E8916" s="8"/>
      <c r="F8916" s="8"/>
    </row>
    <row r="8917" spans="2:6">
      <c r="B8917" s="44"/>
      <c r="D8917" s="8"/>
      <c r="E8917" s="8"/>
      <c r="F8917" s="8"/>
    </row>
    <row r="8918" spans="2:6">
      <c r="B8918" s="44"/>
      <c r="D8918" s="8"/>
      <c r="E8918" s="8"/>
      <c r="F8918" s="8"/>
    </row>
    <row r="8919" spans="2:6">
      <c r="B8919" s="44"/>
      <c r="D8919" s="8"/>
      <c r="E8919" s="8"/>
      <c r="F8919" s="8"/>
    </row>
    <row r="8920" spans="2:6">
      <c r="B8920" s="44"/>
      <c r="D8920" s="8"/>
      <c r="E8920" s="8"/>
      <c r="F8920" s="8"/>
    </row>
    <row r="8921" spans="2:6">
      <c r="B8921" s="44"/>
      <c r="D8921" s="8"/>
      <c r="E8921" s="8"/>
      <c r="F8921" s="8"/>
    </row>
    <row r="8922" spans="2:6">
      <c r="B8922" s="44"/>
      <c r="D8922" s="8"/>
      <c r="E8922" s="8"/>
      <c r="F8922" s="8"/>
    </row>
    <row r="8923" spans="2:6">
      <c r="B8923" s="44"/>
      <c r="D8923" s="8"/>
      <c r="E8923" s="8"/>
      <c r="F8923" s="8"/>
    </row>
    <row r="8924" spans="2:6">
      <c r="B8924" s="44"/>
      <c r="D8924" s="8"/>
      <c r="E8924" s="8"/>
      <c r="F8924" s="8"/>
    </row>
    <row r="8925" spans="2:6">
      <c r="B8925" s="44"/>
      <c r="D8925" s="8"/>
      <c r="E8925" s="8"/>
      <c r="F8925" s="8"/>
    </row>
    <row r="8926" spans="2:6">
      <c r="B8926" s="44"/>
      <c r="D8926" s="8"/>
      <c r="E8926" s="8"/>
      <c r="F8926" s="8"/>
    </row>
    <row r="8927" spans="2:6">
      <c r="B8927" s="44"/>
      <c r="D8927" s="8"/>
      <c r="E8927" s="8"/>
      <c r="F8927" s="8"/>
    </row>
    <row r="8928" spans="2:6">
      <c r="B8928" s="44"/>
      <c r="D8928" s="8"/>
      <c r="E8928" s="8"/>
      <c r="F8928" s="8"/>
    </row>
    <row r="8929" spans="2:6">
      <c r="B8929" s="44"/>
      <c r="D8929" s="8"/>
      <c r="E8929" s="8"/>
      <c r="F8929" s="8"/>
    </row>
    <row r="8930" spans="2:6">
      <c r="B8930" s="44"/>
      <c r="D8930" s="8"/>
      <c r="E8930" s="8"/>
      <c r="F8930" s="8"/>
    </row>
    <row r="8931" spans="2:6">
      <c r="B8931" s="44"/>
      <c r="D8931" s="8"/>
      <c r="E8931" s="8"/>
      <c r="F8931" s="8"/>
    </row>
    <row r="8932" spans="2:6">
      <c r="B8932" s="44"/>
      <c r="D8932" s="8"/>
      <c r="E8932" s="8"/>
      <c r="F8932" s="8"/>
    </row>
    <row r="8933" spans="2:6">
      <c r="B8933" s="44"/>
      <c r="D8933" s="8"/>
      <c r="E8933" s="8"/>
      <c r="F8933" s="8"/>
    </row>
    <row r="8934" spans="2:6">
      <c r="B8934" s="44"/>
      <c r="D8934" s="8"/>
      <c r="E8934" s="8"/>
      <c r="F8934" s="8"/>
    </row>
    <row r="8935" spans="2:6">
      <c r="B8935" s="44"/>
      <c r="D8935" s="8"/>
      <c r="E8935" s="8"/>
      <c r="F8935" s="8"/>
    </row>
    <row r="8936" spans="2:6">
      <c r="B8936" s="44"/>
      <c r="D8936" s="8"/>
      <c r="E8936" s="8"/>
      <c r="F8936" s="8"/>
    </row>
    <row r="8937" spans="2:6">
      <c r="B8937" s="44"/>
      <c r="D8937" s="8"/>
      <c r="E8937" s="8"/>
      <c r="F8937" s="8"/>
    </row>
    <row r="8938" spans="2:6">
      <c r="B8938" s="44"/>
      <c r="D8938" s="8"/>
      <c r="E8938" s="8"/>
      <c r="F8938" s="8"/>
    </row>
    <row r="8939" spans="2:6">
      <c r="B8939" s="44"/>
      <c r="D8939" s="8"/>
      <c r="E8939" s="8"/>
      <c r="F8939" s="8"/>
    </row>
    <row r="8940" spans="2:6">
      <c r="B8940" s="44"/>
      <c r="D8940" s="8"/>
      <c r="E8940" s="8"/>
      <c r="F8940" s="8"/>
    </row>
    <row r="8941" spans="2:6">
      <c r="B8941" s="44"/>
      <c r="D8941" s="8"/>
      <c r="E8941" s="8"/>
      <c r="F8941" s="8"/>
    </row>
    <row r="8942" spans="2:6">
      <c r="B8942" s="44"/>
      <c r="D8942" s="8"/>
      <c r="E8942" s="8"/>
      <c r="F8942" s="8"/>
    </row>
    <row r="8943" spans="2:6">
      <c r="B8943" s="44"/>
      <c r="D8943" s="8"/>
      <c r="E8943" s="8"/>
      <c r="F8943" s="8"/>
    </row>
    <row r="8944" spans="2:6">
      <c r="B8944" s="44"/>
      <c r="D8944" s="8"/>
      <c r="E8944" s="8"/>
      <c r="F8944" s="8"/>
    </row>
    <row r="8945" spans="2:6">
      <c r="B8945" s="44"/>
      <c r="D8945" s="8"/>
      <c r="E8945" s="8"/>
      <c r="F8945" s="8"/>
    </row>
    <row r="8946" spans="2:6">
      <c r="B8946" s="44"/>
      <c r="D8946" s="8"/>
      <c r="E8946" s="8"/>
      <c r="F8946" s="8"/>
    </row>
    <row r="8947" spans="2:6">
      <c r="B8947" s="44"/>
      <c r="D8947" s="8"/>
      <c r="E8947" s="8"/>
      <c r="F8947" s="8"/>
    </row>
    <row r="8948" spans="2:6">
      <c r="B8948" s="44"/>
      <c r="D8948" s="8"/>
      <c r="E8948" s="8"/>
      <c r="F8948" s="8"/>
    </row>
    <row r="8949" spans="2:6">
      <c r="B8949" s="44"/>
      <c r="D8949" s="8"/>
      <c r="E8949" s="8"/>
      <c r="F8949" s="8"/>
    </row>
    <row r="8950" spans="2:6">
      <c r="B8950" s="44"/>
      <c r="D8950" s="8"/>
      <c r="E8950" s="8"/>
      <c r="F8950" s="8"/>
    </row>
    <row r="8951" spans="2:6">
      <c r="B8951" s="44"/>
      <c r="D8951" s="8"/>
      <c r="E8951" s="8"/>
      <c r="F8951" s="8"/>
    </row>
    <row r="8952" spans="2:6">
      <c r="B8952" s="44"/>
      <c r="D8952" s="8"/>
      <c r="E8952" s="8"/>
      <c r="F8952" s="8"/>
    </row>
    <row r="8953" spans="2:6">
      <c r="B8953" s="44"/>
      <c r="D8953" s="8"/>
      <c r="E8953" s="8"/>
      <c r="F8953" s="8"/>
    </row>
    <row r="8954" spans="2:6">
      <c r="B8954" s="44"/>
      <c r="D8954" s="8"/>
      <c r="E8954" s="8"/>
      <c r="F8954" s="8"/>
    </row>
    <row r="8955" spans="2:6">
      <c r="B8955" s="44"/>
      <c r="D8955" s="8"/>
      <c r="E8955" s="8"/>
      <c r="F8955" s="8"/>
    </row>
    <row r="8956" spans="2:6">
      <c r="B8956" s="44"/>
      <c r="D8956" s="8"/>
      <c r="E8956" s="8"/>
      <c r="F8956" s="8"/>
    </row>
    <row r="8957" spans="2:6">
      <c r="B8957" s="44"/>
      <c r="D8957" s="8"/>
      <c r="E8957" s="8"/>
      <c r="F8957" s="8"/>
    </row>
    <row r="8958" spans="2:6">
      <c r="B8958" s="44"/>
      <c r="D8958" s="8"/>
      <c r="E8958" s="8"/>
      <c r="F8958" s="8"/>
    </row>
    <row r="8959" spans="2:6">
      <c r="B8959" s="44"/>
      <c r="D8959" s="8"/>
      <c r="E8959" s="8"/>
      <c r="F8959" s="8"/>
    </row>
    <row r="8960" spans="2:6">
      <c r="B8960" s="44"/>
      <c r="D8960" s="8"/>
      <c r="E8960" s="8"/>
      <c r="F8960" s="8"/>
    </row>
    <row r="8961" spans="2:6">
      <c r="B8961" s="44"/>
      <c r="D8961" s="8"/>
      <c r="E8961" s="8"/>
      <c r="F8961" s="8"/>
    </row>
    <row r="8962" spans="2:6">
      <c r="B8962" s="44"/>
      <c r="D8962" s="8"/>
      <c r="E8962" s="8"/>
      <c r="F8962" s="8"/>
    </row>
    <row r="8963" spans="2:6">
      <c r="B8963" s="44"/>
      <c r="D8963" s="8"/>
      <c r="E8963" s="8"/>
      <c r="F8963" s="8"/>
    </row>
    <row r="8964" spans="2:6">
      <c r="B8964" s="44"/>
      <c r="D8964" s="8"/>
      <c r="E8964" s="8"/>
      <c r="F8964" s="8"/>
    </row>
    <row r="8965" spans="2:6">
      <c r="B8965" s="44"/>
      <c r="D8965" s="8"/>
      <c r="E8965" s="8"/>
      <c r="F8965" s="8"/>
    </row>
    <row r="8966" spans="2:6">
      <c r="B8966" s="44"/>
      <c r="D8966" s="8"/>
      <c r="E8966" s="8"/>
      <c r="F8966" s="8"/>
    </row>
    <row r="8967" spans="2:6">
      <c r="B8967" s="44"/>
      <c r="D8967" s="8"/>
      <c r="E8967" s="8"/>
      <c r="F8967" s="8"/>
    </row>
    <row r="8968" spans="2:6">
      <c r="B8968" s="44"/>
      <c r="D8968" s="8"/>
      <c r="E8968" s="8"/>
      <c r="F8968" s="8"/>
    </row>
    <row r="8969" spans="2:6">
      <c r="B8969" s="44"/>
      <c r="D8969" s="8"/>
      <c r="E8969" s="8"/>
      <c r="F8969" s="8"/>
    </row>
    <row r="8970" spans="2:6">
      <c r="B8970" s="44"/>
      <c r="D8970" s="8"/>
      <c r="E8970" s="8"/>
      <c r="F8970" s="8"/>
    </row>
    <row r="8971" spans="2:6">
      <c r="B8971" s="44"/>
      <c r="D8971" s="8"/>
      <c r="E8971" s="8"/>
      <c r="F8971" s="8"/>
    </row>
    <row r="8972" spans="2:6">
      <c r="B8972" s="44"/>
      <c r="D8972" s="8"/>
      <c r="E8972" s="8"/>
      <c r="F8972" s="8"/>
    </row>
    <row r="8973" spans="2:6">
      <c r="B8973" s="44"/>
      <c r="D8973" s="8"/>
      <c r="E8973" s="8"/>
      <c r="F8973" s="8"/>
    </row>
    <row r="8974" spans="2:6">
      <c r="B8974" s="44"/>
      <c r="D8974" s="8"/>
      <c r="E8974" s="8"/>
      <c r="F8974" s="8"/>
    </row>
    <row r="8975" spans="2:6">
      <c r="B8975" s="44"/>
      <c r="D8975" s="8"/>
      <c r="E8975" s="8"/>
      <c r="F8975" s="8"/>
    </row>
    <row r="8976" spans="2:6">
      <c r="B8976" s="44"/>
      <c r="D8976" s="8"/>
      <c r="E8976" s="8"/>
      <c r="F8976" s="8"/>
    </row>
    <row r="8977" spans="2:6">
      <c r="B8977" s="44"/>
      <c r="D8977" s="8"/>
      <c r="E8977" s="8"/>
      <c r="F8977" s="8"/>
    </row>
    <row r="8978" spans="2:6">
      <c r="B8978" s="44"/>
      <c r="D8978" s="8"/>
      <c r="E8978" s="8"/>
      <c r="F8978" s="8"/>
    </row>
    <row r="8979" spans="2:6">
      <c r="B8979" s="44"/>
      <c r="D8979" s="8"/>
      <c r="E8979" s="8"/>
      <c r="F8979" s="8"/>
    </row>
    <row r="8980" spans="2:6">
      <c r="B8980" s="44"/>
      <c r="D8980" s="8"/>
      <c r="E8980" s="8"/>
      <c r="F8980" s="8"/>
    </row>
    <row r="8981" spans="2:6">
      <c r="B8981" s="44"/>
      <c r="D8981" s="8"/>
      <c r="E8981" s="8"/>
      <c r="F8981" s="8"/>
    </row>
    <row r="8982" spans="2:6">
      <c r="B8982" s="44"/>
      <c r="D8982" s="8"/>
      <c r="E8982" s="8"/>
      <c r="F8982" s="8"/>
    </row>
    <row r="8983" spans="2:6">
      <c r="B8983" s="44"/>
      <c r="D8983" s="8"/>
      <c r="E8983" s="8"/>
      <c r="F8983" s="8"/>
    </row>
    <row r="8984" spans="2:6">
      <c r="B8984" s="44"/>
      <c r="D8984" s="8"/>
      <c r="E8984" s="8"/>
      <c r="F8984" s="8"/>
    </row>
    <row r="8985" spans="2:6">
      <c r="B8985" s="44"/>
      <c r="D8985" s="8"/>
      <c r="E8985" s="8"/>
      <c r="F8985" s="8"/>
    </row>
    <row r="8986" spans="2:6">
      <c r="B8986" s="44"/>
      <c r="D8986" s="8"/>
      <c r="E8986" s="8"/>
      <c r="F8986" s="8"/>
    </row>
    <row r="8987" spans="2:6">
      <c r="B8987" s="44"/>
      <c r="D8987" s="8"/>
      <c r="E8987" s="8"/>
      <c r="F8987" s="8"/>
    </row>
    <row r="8988" spans="2:6">
      <c r="B8988" s="44"/>
      <c r="D8988" s="8"/>
      <c r="E8988" s="8"/>
      <c r="F8988" s="8"/>
    </row>
    <row r="8989" spans="2:6">
      <c r="B8989" s="44"/>
      <c r="D8989" s="8"/>
      <c r="E8989" s="8"/>
      <c r="F8989" s="8"/>
    </row>
    <row r="8990" spans="2:6">
      <c r="B8990" s="44"/>
      <c r="D8990" s="8"/>
      <c r="E8990" s="8"/>
      <c r="F8990" s="8"/>
    </row>
    <row r="8991" spans="2:6">
      <c r="B8991" s="44"/>
      <c r="D8991" s="8"/>
      <c r="E8991" s="8"/>
      <c r="F8991" s="8"/>
    </row>
    <row r="8992" spans="2:6">
      <c r="B8992" s="44"/>
      <c r="D8992" s="8"/>
      <c r="E8992" s="8"/>
      <c r="F8992" s="8"/>
    </row>
    <row r="8993" spans="2:6">
      <c r="B8993" s="44"/>
      <c r="D8993" s="8"/>
      <c r="E8993" s="8"/>
      <c r="F8993" s="8"/>
    </row>
    <row r="8994" spans="2:6">
      <c r="B8994" s="44"/>
      <c r="D8994" s="8"/>
      <c r="E8994" s="8"/>
      <c r="F8994" s="8"/>
    </row>
    <row r="8995" spans="2:6">
      <c r="B8995" s="44"/>
      <c r="D8995" s="8"/>
      <c r="E8995" s="8"/>
      <c r="F8995" s="8"/>
    </row>
    <row r="8996" spans="2:6">
      <c r="B8996" s="44"/>
      <c r="D8996" s="8"/>
      <c r="E8996" s="8"/>
      <c r="F8996" s="8"/>
    </row>
    <row r="8997" spans="2:6">
      <c r="B8997" s="44"/>
      <c r="D8997" s="8"/>
      <c r="E8997" s="8"/>
      <c r="F8997" s="8"/>
    </row>
    <row r="8998" spans="2:6">
      <c r="B8998" s="44"/>
      <c r="D8998" s="8"/>
      <c r="E8998" s="8"/>
      <c r="F8998" s="8"/>
    </row>
    <row r="8999" spans="2:6">
      <c r="B8999" s="44"/>
      <c r="D8999" s="8"/>
      <c r="E8999" s="8"/>
      <c r="F8999" s="8"/>
    </row>
    <row r="9000" spans="2:6">
      <c r="B9000" s="44"/>
      <c r="D9000" s="8"/>
      <c r="E9000" s="8"/>
      <c r="F9000" s="8"/>
    </row>
    <row r="9001" spans="2:6">
      <c r="B9001" s="44"/>
      <c r="D9001" s="8"/>
      <c r="E9001" s="8"/>
      <c r="F9001" s="8"/>
    </row>
    <row r="9002" spans="2:6">
      <c r="B9002" s="44"/>
      <c r="D9002" s="8"/>
      <c r="E9002" s="8"/>
      <c r="F9002" s="8"/>
    </row>
    <row r="9003" spans="2:6">
      <c r="B9003" s="44"/>
      <c r="D9003" s="8"/>
      <c r="E9003" s="8"/>
      <c r="F9003" s="8"/>
    </row>
    <row r="9004" spans="2:6">
      <c r="B9004" s="44"/>
      <c r="D9004" s="8"/>
      <c r="E9004" s="8"/>
      <c r="F9004" s="8"/>
    </row>
    <row r="9005" spans="2:6">
      <c r="B9005" s="44"/>
      <c r="D9005" s="8"/>
      <c r="E9005" s="8"/>
      <c r="F9005" s="8"/>
    </row>
    <row r="9006" spans="2:6">
      <c r="B9006" s="44"/>
      <c r="D9006" s="8"/>
      <c r="E9006" s="8"/>
      <c r="F9006" s="8"/>
    </row>
    <row r="9007" spans="2:6">
      <c r="B9007" s="44"/>
      <c r="D9007" s="8"/>
      <c r="E9007" s="8"/>
      <c r="F9007" s="8"/>
    </row>
    <row r="9008" spans="2:6">
      <c r="B9008" s="44"/>
      <c r="D9008" s="8"/>
      <c r="E9008" s="8"/>
      <c r="F9008" s="8"/>
    </row>
    <row r="9009" spans="2:6">
      <c r="B9009" s="44"/>
      <c r="D9009" s="8"/>
      <c r="E9009" s="8"/>
      <c r="F9009" s="8"/>
    </row>
    <row r="9010" spans="2:6">
      <c r="B9010" s="44"/>
      <c r="D9010" s="8"/>
      <c r="E9010" s="8"/>
      <c r="F9010" s="8"/>
    </row>
    <row r="9011" spans="2:6">
      <c r="B9011" s="44"/>
      <c r="D9011" s="8"/>
      <c r="E9011" s="8"/>
      <c r="F9011" s="8"/>
    </row>
    <row r="9012" spans="2:6">
      <c r="B9012" s="44"/>
      <c r="D9012" s="8"/>
      <c r="E9012" s="8"/>
      <c r="F9012" s="8"/>
    </row>
    <row r="9013" spans="2:6">
      <c r="B9013" s="44"/>
      <c r="D9013" s="8"/>
      <c r="E9013" s="8"/>
      <c r="F9013" s="8"/>
    </row>
    <row r="9014" spans="2:6">
      <c r="B9014" s="44"/>
      <c r="D9014" s="8"/>
      <c r="E9014" s="8"/>
      <c r="F9014" s="8"/>
    </row>
    <row r="9015" spans="2:6">
      <c r="B9015" s="44"/>
      <c r="D9015" s="8"/>
      <c r="E9015" s="8"/>
      <c r="F9015" s="8"/>
    </row>
    <row r="9016" spans="2:6">
      <c r="B9016" s="44"/>
      <c r="D9016" s="8"/>
      <c r="E9016" s="8"/>
      <c r="F9016" s="8"/>
    </row>
    <row r="9017" spans="2:6">
      <c r="B9017" s="44"/>
      <c r="D9017" s="8"/>
      <c r="E9017" s="8"/>
      <c r="F9017" s="8"/>
    </row>
    <row r="9018" spans="2:6">
      <c r="B9018" s="44"/>
      <c r="D9018" s="8"/>
      <c r="E9018" s="8"/>
      <c r="F9018" s="8"/>
    </row>
    <row r="9019" spans="2:6">
      <c r="B9019" s="44"/>
      <c r="D9019" s="8"/>
      <c r="E9019" s="8"/>
      <c r="F9019" s="8"/>
    </row>
    <row r="9020" spans="2:6">
      <c r="B9020" s="44"/>
      <c r="D9020" s="8"/>
      <c r="E9020" s="8"/>
      <c r="F9020" s="8"/>
    </row>
    <row r="9021" spans="2:6">
      <c r="B9021" s="44"/>
      <c r="D9021" s="8"/>
      <c r="E9021" s="8"/>
      <c r="F9021" s="8"/>
    </row>
    <row r="9022" spans="2:6">
      <c r="B9022" s="44"/>
      <c r="D9022" s="8"/>
      <c r="E9022" s="8"/>
      <c r="F9022" s="8"/>
    </row>
    <row r="9023" spans="2:6">
      <c r="B9023" s="44"/>
      <c r="D9023" s="8"/>
      <c r="E9023" s="8"/>
      <c r="F9023" s="8"/>
    </row>
    <row r="9024" spans="2:6">
      <c r="B9024" s="44"/>
      <c r="D9024" s="8"/>
      <c r="E9024" s="8"/>
      <c r="F9024" s="8"/>
    </row>
    <row r="9025" spans="2:6">
      <c r="B9025" s="44"/>
      <c r="D9025" s="8"/>
      <c r="E9025" s="8"/>
      <c r="F9025" s="8"/>
    </row>
    <row r="9026" spans="2:6">
      <c r="B9026" s="44"/>
      <c r="D9026" s="8"/>
      <c r="E9026" s="8"/>
      <c r="F9026" s="8"/>
    </row>
    <row r="9027" spans="2:6">
      <c r="B9027" s="44"/>
      <c r="D9027" s="8"/>
      <c r="E9027" s="8"/>
      <c r="F9027" s="8"/>
    </row>
    <row r="9028" spans="2:6">
      <c r="B9028" s="44"/>
      <c r="D9028" s="8"/>
      <c r="E9028" s="8"/>
      <c r="F9028" s="8"/>
    </row>
    <row r="9029" spans="2:6">
      <c r="B9029" s="44"/>
      <c r="D9029" s="8"/>
      <c r="E9029" s="8"/>
      <c r="F9029" s="8"/>
    </row>
    <row r="9030" spans="2:6">
      <c r="B9030" s="44"/>
      <c r="D9030" s="8"/>
      <c r="E9030" s="8"/>
      <c r="F9030" s="8"/>
    </row>
    <row r="9031" spans="2:6">
      <c r="B9031" s="44"/>
      <c r="D9031" s="8"/>
      <c r="E9031" s="8"/>
      <c r="F9031" s="8"/>
    </row>
    <row r="9032" spans="2:6">
      <c r="B9032" s="44"/>
      <c r="D9032" s="8"/>
      <c r="E9032" s="8"/>
      <c r="F9032" s="8"/>
    </row>
    <row r="9033" spans="2:6">
      <c r="B9033" s="44"/>
      <c r="D9033" s="8"/>
      <c r="E9033" s="8"/>
      <c r="F9033" s="8"/>
    </row>
    <row r="9034" spans="2:6">
      <c r="B9034" s="44"/>
      <c r="D9034" s="8"/>
      <c r="E9034" s="8"/>
      <c r="F9034" s="8"/>
    </row>
    <row r="9035" spans="2:6">
      <c r="B9035" s="44"/>
      <c r="D9035" s="8"/>
      <c r="E9035" s="8"/>
      <c r="F9035" s="8"/>
    </row>
    <row r="9036" spans="2:6">
      <c r="B9036" s="44"/>
      <c r="D9036" s="8"/>
      <c r="E9036" s="8"/>
      <c r="F9036" s="8"/>
    </row>
    <row r="9037" spans="2:6">
      <c r="B9037" s="44"/>
      <c r="D9037" s="8"/>
      <c r="E9037" s="8"/>
      <c r="F9037" s="8"/>
    </row>
    <row r="9038" spans="2:6">
      <c r="B9038" s="44"/>
      <c r="D9038" s="8"/>
      <c r="E9038" s="8"/>
      <c r="F9038" s="8"/>
    </row>
    <row r="9039" spans="2:6">
      <c r="B9039" s="44"/>
      <c r="D9039" s="8"/>
      <c r="E9039" s="8"/>
      <c r="F9039" s="8"/>
    </row>
    <row r="9040" spans="2:6">
      <c r="B9040" s="44"/>
      <c r="D9040" s="8"/>
      <c r="E9040" s="8"/>
      <c r="F9040" s="8"/>
    </row>
    <row r="9041" spans="2:6">
      <c r="B9041" s="44"/>
      <c r="D9041" s="8"/>
      <c r="E9041" s="8"/>
      <c r="F9041" s="8"/>
    </row>
    <row r="9042" spans="2:6">
      <c r="B9042" s="44"/>
      <c r="D9042" s="8"/>
      <c r="E9042" s="8"/>
      <c r="F9042" s="8"/>
    </row>
    <row r="9043" spans="2:6">
      <c r="B9043" s="44"/>
      <c r="D9043" s="8"/>
      <c r="E9043" s="8"/>
      <c r="F9043" s="8"/>
    </row>
    <row r="9044" spans="2:6">
      <c r="B9044" s="44"/>
      <c r="D9044" s="8"/>
      <c r="E9044" s="8"/>
      <c r="F9044" s="8"/>
    </row>
    <row r="9045" spans="2:6">
      <c r="B9045" s="44"/>
      <c r="D9045" s="8"/>
      <c r="E9045" s="8"/>
      <c r="F9045" s="8"/>
    </row>
    <row r="9046" spans="2:6">
      <c r="B9046" s="44"/>
      <c r="D9046" s="8"/>
      <c r="E9046" s="8"/>
      <c r="F9046" s="8"/>
    </row>
    <row r="9047" spans="2:6">
      <c r="B9047" s="44"/>
      <c r="D9047" s="8"/>
      <c r="E9047" s="8"/>
      <c r="F9047" s="8"/>
    </row>
    <row r="9048" spans="2:6">
      <c r="B9048" s="44"/>
      <c r="D9048" s="8"/>
      <c r="E9048" s="8"/>
      <c r="F9048" s="8"/>
    </row>
    <row r="9049" spans="2:6">
      <c r="B9049" s="44"/>
      <c r="D9049" s="8"/>
      <c r="E9049" s="8"/>
      <c r="F9049" s="8"/>
    </row>
    <row r="9050" spans="2:6">
      <c r="B9050" s="44"/>
      <c r="D9050" s="8"/>
      <c r="E9050" s="8"/>
      <c r="F9050" s="8"/>
    </row>
    <row r="9051" spans="2:6">
      <c r="B9051" s="44"/>
      <c r="D9051" s="8"/>
      <c r="E9051" s="8"/>
      <c r="F9051" s="8"/>
    </row>
    <row r="9052" spans="2:6">
      <c r="B9052" s="44"/>
      <c r="D9052" s="8"/>
      <c r="E9052" s="8"/>
      <c r="F9052" s="8"/>
    </row>
    <row r="9053" spans="2:6">
      <c r="B9053" s="44"/>
      <c r="D9053" s="8"/>
      <c r="E9053" s="8"/>
      <c r="F9053" s="8"/>
    </row>
    <row r="9054" spans="2:6">
      <c r="B9054" s="44"/>
      <c r="D9054" s="8"/>
      <c r="E9054" s="8"/>
      <c r="F9054" s="8"/>
    </row>
    <row r="9055" spans="2:6">
      <c r="B9055" s="44"/>
      <c r="D9055" s="8"/>
      <c r="E9055" s="8"/>
      <c r="F9055" s="8"/>
    </row>
    <row r="9056" spans="2:6">
      <c r="B9056" s="44"/>
      <c r="D9056" s="8"/>
      <c r="E9056" s="8"/>
      <c r="F9056" s="8"/>
    </row>
    <row r="9057" spans="2:6">
      <c r="B9057" s="44"/>
      <c r="D9057" s="8"/>
      <c r="E9057" s="8"/>
      <c r="F9057" s="8"/>
    </row>
    <row r="9058" spans="2:6">
      <c r="B9058" s="44"/>
      <c r="D9058" s="8"/>
      <c r="E9058" s="8"/>
      <c r="F9058" s="8"/>
    </row>
    <row r="9059" spans="2:6">
      <c r="B9059" s="44"/>
      <c r="D9059" s="8"/>
      <c r="E9059" s="8"/>
      <c r="F9059" s="8"/>
    </row>
    <row r="9060" spans="2:6">
      <c r="B9060" s="44"/>
      <c r="D9060" s="8"/>
      <c r="E9060" s="8"/>
      <c r="F9060" s="8"/>
    </row>
    <row r="9061" spans="2:6">
      <c r="B9061" s="44"/>
      <c r="D9061" s="8"/>
      <c r="E9061" s="8"/>
      <c r="F9061" s="8"/>
    </row>
    <row r="9062" spans="2:6">
      <c r="B9062" s="44"/>
      <c r="D9062" s="8"/>
      <c r="E9062" s="8"/>
      <c r="F9062" s="8"/>
    </row>
    <row r="9063" spans="2:6">
      <c r="B9063" s="44"/>
      <c r="D9063" s="8"/>
      <c r="E9063" s="8"/>
      <c r="F9063" s="8"/>
    </row>
    <row r="9064" spans="2:6">
      <c r="B9064" s="44"/>
      <c r="D9064" s="8"/>
      <c r="E9064" s="8"/>
      <c r="F9064" s="8"/>
    </row>
    <row r="9065" spans="2:6">
      <c r="B9065" s="44"/>
      <c r="D9065" s="8"/>
      <c r="E9065" s="8"/>
      <c r="F9065" s="8"/>
    </row>
    <row r="9066" spans="2:6">
      <c r="B9066" s="44"/>
      <c r="D9066" s="8"/>
      <c r="E9066" s="8"/>
      <c r="F9066" s="8"/>
    </row>
    <row r="9067" spans="2:6">
      <c r="B9067" s="44"/>
      <c r="D9067" s="8"/>
      <c r="E9067" s="8"/>
      <c r="F9067" s="8"/>
    </row>
    <row r="9068" spans="2:6">
      <c r="B9068" s="44"/>
      <c r="D9068" s="8"/>
      <c r="E9068" s="8"/>
      <c r="F9068" s="8"/>
    </row>
    <row r="9069" spans="2:6">
      <c r="B9069" s="44"/>
      <c r="D9069" s="8"/>
      <c r="E9069" s="8"/>
      <c r="F9069" s="8"/>
    </row>
    <row r="9070" spans="2:6">
      <c r="B9070" s="44"/>
      <c r="D9070" s="8"/>
      <c r="E9070" s="8"/>
      <c r="F9070" s="8"/>
    </row>
    <row r="9071" spans="2:6">
      <c r="B9071" s="44"/>
      <c r="D9071" s="8"/>
      <c r="E9071" s="8"/>
      <c r="F9071" s="8"/>
    </row>
    <row r="9072" spans="2:6">
      <c r="B9072" s="44"/>
      <c r="D9072" s="8"/>
      <c r="E9072" s="8"/>
      <c r="F9072" s="8"/>
    </row>
    <row r="9073" spans="2:6">
      <c r="B9073" s="44"/>
      <c r="D9073" s="8"/>
      <c r="E9073" s="8"/>
      <c r="F9073" s="8"/>
    </row>
    <row r="9074" spans="2:6">
      <c r="B9074" s="44"/>
      <c r="D9074" s="8"/>
      <c r="E9074" s="8"/>
      <c r="F9074" s="8"/>
    </row>
    <row r="9075" spans="2:6">
      <c r="B9075" s="44"/>
      <c r="D9075" s="8"/>
      <c r="E9075" s="8"/>
      <c r="F9075" s="8"/>
    </row>
    <row r="9076" spans="2:6">
      <c r="B9076" s="44"/>
      <c r="D9076" s="8"/>
      <c r="E9076" s="8"/>
      <c r="F9076" s="8"/>
    </row>
    <row r="9077" spans="2:6">
      <c r="B9077" s="44"/>
      <c r="D9077" s="8"/>
      <c r="E9077" s="8"/>
      <c r="F9077" s="8"/>
    </row>
    <row r="9078" spans="2:6">
      <c r="B9078" s="44"/>
      <c r="D9078" s="8"/>
      <c r="E9078" s="8"/>
      <c r="F9078" s="8"/>
    </row>
    <row r="9079" spans="2:6">
      <c r="B9079" s="44"/>
      <c r="D9079" s="8"/>
      <c r="E9079" s="8"/>
      <c r="F9079" s="8"/>
    </row>
    <row r="9080" spans="2:6">
      <c r="B9080" s="44"/>
      <c r="D9080" s="8"/>
      <c r="E9080" s="8"/>
      <c r="F9080" s="8"/>
    </row>
    <row r="9081" spans="2:6">
      <c r="B9081" s="44"/>
      <c r="D9081" s="8"/>
      <c r="E9081" s="8"/>
      <c r="F9081" s="8"/>
    </row>
    <row r="9082" spans="2:6">
      <c r="B9082" s="44"/>
      <c r="D9082" s="8"/>
      <c r="E9082" s="8"/>
      <c r="F9082" s="8"/>
    </row>
    <row r="9083" spans="2:6">
      <c r="B9083" s="44"/>
      <c r="D9083" s="8"/>
      <c r="E9083" s="8"/>
      <c r="F9083" s="8"/>
    </row>
    <row r="9084" spans="2:6">
      <c r="B9084" s="44"/>
      <c r="D9084" s="8"/>
      <c r="E9084" s="8"/>
      <c r="F9084" s="8"/>
    </row>
    <row r="9085" spans="2:6">
      <c r="B9085" s="44"/>
      <c r="D9085" s="8"/>
      <c r="E9085" s="8"/>
      <c r="F9085" s="8"/>
    </row>
    <row r="9086" spans="2:6">
      <c r="B9086" s="44"/>
      <c r="D9086" s="8"/>
      <c r="E9086" s="8"/>
      <c r="F9086" s="8"/>
    </row>
    <row r="9087" spans="2:6">
      <c r="B9087" s="44"/>
      <c r="D9087" s="8"/>
      <c r="E9087" s="8"/>
      <c r="F9087" s="8"/>
    </row>
    <row r="9088" spans="2:6">
      <c r="B9088" s="44"/>
      <c r="D9088" s="8"/>
      <c r="E9088" s="8"/>
      <c r="F9088" s="8"/>
    </row>
    <row r="9089" spans="2:6">
      <c r="B9089" s="44"/>
      <c r="D9089" s="8"/>
      <c r="E9089" s="8"/>
      <c r="F9089" s="8"/>
    </row>
    <row r="9090" spans="2:6">
      <c r="B9090" s="44"/>
      <c r="D9090" s="8"/>
      <c r="E9090" s="8"/>
      <c r="F9090" s="8"/>
    </row>
    <row r="9091" spans="2:6">
      <c r="B9091" s="44"/>
      <c r="D9091" s="8"/>
      <c r="E9091" s="8"/>
      <c r="F9091" s="8"/>
    </row>
    <row r="9092" spans="2:6">
      <c r="B9092" s="44"/>
      <c r="D9092" s="8"/>
      <c r="E9092" s="8"/>
      <c r="F9092" s="8"/>
    </row>
    <row r="9093" spans="2:6">
      <c r="B9093" s="44"/>
      <c r="D9093" s="8"/>
      <c r="E9093" s="8"/>
      <c r="F9093" s="8"/>
    </row>
    <row r="9094" spans="2:6">
      <c r="B9094" s="44"/>
      <c r="D9094" s="8"/>
      <c r="E9094" s="8"/>
      <c r="F9094" s="8"/>
    </row>
    <row r="9095" spans="2:6">
      <c r="B9095" s="44"/>
      <c r="D9095" s="8"/>
      <c r="E9095" s="8"/>
      <c r="F9095" s="8"/>
    </row>
    <row r="9096" spans="2:6">
      <c r="B9096" s="44"/>
      <c r="D9096" s="8"/>
      <c r="E9096" s="8"/>
      <c r="F9096" s="8"/>
    </row>
    <row r="9097" spans="2:6">
      <c r="B9097" s="44"/>
      <c r="D9097" s="8"/>
      <c r="E9097" s="8"/>
      <c r="F9097" s="8"/>
    </row>
    <row r="9098" spans="2:6">
      <c r="B9098" s="44"/>
      <c r="D9098" s="8"/>
      <c r="E9098" s="8"/>
      <c r="F9098" s="8"/>
    </row>
    <row r="9099" spans="2:6">
      <c r="B9099" s="44"/>
      <c r="D9099" s="8"/>
      <c r="E9099" s="8"/>
      <c r="F9099" s="8"/>
    </row>
    <row r="9100" spans="2:6">
      <c r="B9100" s="44"/>
      <c r="D9100" s="8"/>
      <c r="E9100" s="8"/>
      <c r="F9100" s="8"/>
    </row>
    <row r="9101" spans="2:6">
      <c r="B9101" s="44"/>
      <c r="D9101" s="8"/>
      <c r="E9101" s="8"/>
      <c r="F9101" s="8"/>
    </row>
    <row r="9102" spans="2:6">
      <c r="B9102" s="44"/>
      <c r="D9102" s="8"/>
      <c r="E9102" s="8"/>
      <c r="F9102" s="8"/>
    </row>
    <row r="9103" spans="2:6">
      <c r="B9103" s="44"/>
      <c r="D9103" s="8"/>
      <c r="E9103" s="8"/>
      <c r="F9103" s="8"/>
    </row>
    <row r="9104" spans="2:6">
      <c r="B9104" s="44"/>
      <c r="D9104" s="8"/>
      <c r="E9104" s="8"/>
      <c r="F9104" s="8"/>
    </row>
    <row r="9105" spans="2:6">
      <c r="B9105" s="44"/>
      <c r="D9105" s="8"/>
      <c r="E9105" s="8"/>
      <c r="F9105" s="8"/>
    </row>
    <row r="9106" spans="2:6">
      <c r="B9106" s="44"/>
      <c r="D9106" s="8"/>
      <c r="E9106" s="8"/>
      <c r="F9106" s="8"/>
    </row>
    <row r="9107" spans="2:6">
      <c r="B9107" s="44"/>
      <c r="D9107" s="8"/>
      <c r="E9107" s="8"/>
      <c r="F9107" s="8"/>
    </row>
    <row r="9108" spans="2:6">
      <c r="B9108" s="44"/>
      <c r="D9108" s="8"/>
      <c r="E9108" s="8"/>
      <c r="F9108" s="8"/>
    </row>
    <row r="9109" spans="2:6">
      <c r="B9109" s="44"/>
      <c r="D9109" s="8"/>
      <c r="E9109" s="8"/>
      <c r="F9109" s="8"/>
    </row>
    <row r="9110" spans="2:6">
      <c r="B9110" s="44"/>
      <c r="D9110" s="8"/>
      <c r="E9110" s="8"/>
      <c r="F9110" s="8"/>
    </row>
    <row r="9111" spans="2:6">
      <c r="B9111" s="44"/>
      <c r="D9111" s="8"/>
      <c r="E9111" s="8"/>
      <c r="F9111" s="8"/>
    </row>
    <row r="9112" spans="2:6">
      <c r="B9112" s="44"/>
      <c r="D9112" s="8"/>
      <c r="E9112" s="8"/>
      <c r="F9112" s="8"/>
    </row>
    <row r="9113" spans="2:6">
      <c r="B9113" s="44"/>
      <c r="D9113" s="8"/>
      <c r="E9113" s="8"/>
      <c r="F9113" s="8"/>
    </row>
    <row r="9114" spans="2:6">
      <c r="B9114" s="44"/>
      <c r="D9114" s="8"/>
      <c r="E9114" s="8"/>
      <c r="F9114" s="8"/>
    </row>
    <row r="9115" spans="2:6">
      <c r="B9115" s="44"/>
      <c r="D9115" s="8"/>
      <c r="E9115" s="8"/>
      <c r="F9115" s="8"/>
    </row>
    <row r="9116" spans="2:6">
      <c r="B9116" s="44"/>
      <c r="D9116" s="8"/>
      <c r="E9116" s="8"/>
      <c r="F9116" s="8"/>
    </row>
    <row r="9117" spans="2:6">
      <c r="B9117" s="44"/>
      <c r="D9117" s="8"/>
      <c r="E9117" s="8"/>
      <c r="F9117" s="8"/>
    </row>
    <row r="9118" spans="2:6">
      <c r="B9118" s="44"/>
      <c r="D9118" s="8"/>
      <c r="E9118" s="8"/>
      <c r="F9118" s="8"/>
    </row>
    <row r="9119" spans="2:6">
      <c r="B9119" s="44"/>
      <c r="D9119" s="8"/>
      <c r="E9119" s="8"/>
      <c r="F9119" s="8"/>
    </row>
    <row r="9120" spans="2:6">
      <c r="B9120" s="44"/>
      <c r="D9120" s="8"/>
      <c r="E9120" s="8"/>
      <c r="F9120" s="8"/>
    </row>
    <row r="9121" spans="2:6">
      <c r="B9121" s="44"/>
      <c r="D9121" s="8"/>
      <c r="E9121" s="8"/>
      <c r="F9121" s="8"/>
    </row>
    <row r="9122" spans="2:6">
      <c r="B9122" s="44"/>
      <c r="D9122" s="8"/>
      <c r="E9122" s="8"/>
      <c r="F9122" s="8"/>
    </row>
    <row r="9123" spans="2:6">
      <c r="B9123" s="44"/>
      <c r="D9123" s="8"/>
      <c r="E9123" s="8"/>
      <c r="F9123" s="8"/>
    </row>
    <row r="9124" spans="2:6">
      <c r="B9124" s="44"/>
      <c r="D9124" s="8"/>
      <c r="E9124" s="8"/>
      <c r="F9124" s="8"/>
    </row>
    <row r="9125" spans="2:6">
      <c r="B9125" s="44"/>
      <c r="D9125" s="8"/>
      <c r="E9125" s="8"/>
      <c r="F9125" s="8"/>
    </row>
    <row r="9126" spans="2:6">
      <c r="B9126" s="44"/>
      <c r="D9126" s="8"/>
      <c r="E9126" s="8"/>
      <c r="F9126" s="8"/>
    </row>
    <row r="9127" spans="2:6">
      <c r="B9127" s="44"/>
      <c r="D9127" s="8"/>
      <c r="E9127" s="8"/>
      <c r="F9127" s="8"/>
    </row>
    <row r="9128" spans="2:6">
      <c r="B9128" s="44"/>
      <c r="D9128" s="8"/>
      <c r="E9128" s="8"/>
      <c r="F9128" s="8"/>
    </row>
    <row r="9129" spans="2:6">
      <c r="B9129" s="44"/>
      <c r="D9129" s="8"/>
      <c r="E9129" s="8"/>
      <c r="F9129" s="8"/>
    </row>
    <row r="9130" spans="2:6">
      <c r="B9130" s="44"/>
      <c r="D9130" s="8"/>
      <c r="E9130" s="8"/>
      <c r="F9130" s="8"/>
    </row>
    <row r="9131" spans="2:6">
      <c r="B9131" s="44"/>
      <c r="D9131" s="8"/>
      <c r="E9131" s="8"/>
      <c r="F9131" s="8"/>
    </row>
    <row r="9132" spans="2:6">
      <c r="B9132" s="44"/>
      <c r="D9132" s="8"/>
      <c r="E9132" s="8"/>
      <c r="F9132" s="8"/>
    </row>
    <row r="9133" spans="2:6">
      <c r="B9133" s="44"/>
      <c r="D9133" s="8"/>
      <c r="E9133" s="8"/>
      <c r="F9133" s="8"/>
    </row>
    <row r="9134" spans="2:6">
      <c r="B9134" s="44"/>
      <c r="D9134" s="8"/>
      <c r="E9134" s="8"/>
      <c r="F9134" s="8"/>
    </row>
    <row r="9135" spans="2:6">
      <c r="B9135" s="44"/>
      <c r="D9135" s="8"/>
      <c r="E9135" s="8"/>
      <c r="F9135" s="8"/>
    </row>
    <row r="9136" spans="2:6">
      <c r="B9136" s="44"/>
      <c r="D9136" s="8"/>
      <c r="E9136" s="8"/>
      <c r="F9136" s="8"/>
    </row>
    <row r="9137" spans="2:6">
      <c r="B9137" s="44"/>
      <c r="D9137" s="8"/>
      <c r="E9137" s="8"/>
      <c r="F9137" s="8"/>
    </row>
    <row r="9138" spans="2:6">
      <c r="B9138" s="44"/>
      <c r="D9138" s="8"/>
      <c r="E9138" s="8"/>
      <c r="F9138" s="8"/>
    </row>
    <row r="9139" spans="2:6">
      <c r="B9139" s="44"/>
      <c r="D9139" s="8"/>
      <c r="E9139" s="8"/>
      <c r="F9139" s="8"/>
    </row>
    <row r="9140" spans="2:6">
      <c r="B9140" s="44"/>
      <c r="D9140" s="8"/>
      <c r="E9140" s="8"/>
      <c r="F9140" s="8"/>
    </row>
    <row r="9141" spans="2:6">
      <c r="B9141" s="44"/>
      <c r="D9141" s="8"/>
      <c r="E9141" s="8"/>
      <c r="F9141" s="8"/>
    </row>
    <row r="9142" spans="2:6">
      <c r="B9142" s="44"/>
      <c r="D9142" s="8"/>
      <c r="E9142" s="8"/>
      <c r="F9142" s="8"/>
    </row>
    <row r="9143" spans="2:6">
      <c r="B9143" s="44"/>
      <c r="D9143" s="8"/>
      <c r="E9143" s="8"/>
      <c r="F9143" s="8"/>
    </row>
    <row r="9144" spans="2:6">
      <c r="B9144" s="44"/>
      <c r="D9144" s="8"/>
      <c r="E9144" s="8"/>
      <c r="F9144" s="8"/>
    </row>
    <row r="9145" spans="2:6">
      <c r="B9145" s="44"/>
      <c r="D9145" s="8"/>
      <c r="E9145" s="8"/>
      <c r="F9145" s="8"/>
    </row>
    <row r="9146" spans="2:6">
      <c r="B9146" s="44"/>
      <c r="D9146" s="8"/>
      <c r="E9146" s="8"/>
      <c r="F9146" s="8"/>
    </row>
    <row r="9147" spans="2:6">
      <c r="B9147" s="44"/>
      <c r="D9147" s="8"/>
      <c r="E9147" s="8"/>
      <c r="F9147" s="8"/>
    </row>
    <row r="9148" spans="2:6">
      <c r="B9148" s="44"/>
      <c r="D9148" s="8"/>
      <c r="E9148" s="8"/>
      <c r="F9148" s="8"/>
    </row>
    <row r="9149" spans="2:6">
      <c r="B9149" s="44"/>
      <c r="D9149" s="8"/>
      <c r="E9149" s="8"/>
      <c r="F9149" s="8"/>
    </row>
    <row r="9150" spans="2:6">
      <c r="B9150" s="44"/>
      <c r="D9150" s="8"/>
      <c r="E9150" s="8"/>
      <c r="F9150" s="8"/>
    </row>
    <row r="9151" spans="2:6">
      <c r="B9151" s="44"/>
      <c r="D9151" s="8"/>
      <c r="E9151" s="8"/>
      <c r="F9151" s="8"/>
    </row>
    <row r="9152" spans="2:6">
      <c r="B9152" s="44"/>
      <c r="D9152" s="8"/>
      <c r="E9152" s="8"/>
      <c r="F9152" s="8"/>
    </row>
    <row r="9153" spans="2:6">
      <c r="B9153" s="44"/>
      <c r="D9153" s="8"/>
      <c r="E9153" s="8"/>
      <c r="F9153" s="8"/>
    </row>
    <row r="9154" spans="2:6">
      <c r="B9154" s="44"/>
      <c r="D9154" s="8"/>
      <c r="E9154" s="8"/>
      <c r="F9154" s="8"/>
    </row>
    <row r="9155" spans="2:6">
      <c r="B9155" s="44"/>
      <c r="D9155" s="8"/>
      <c r="E9155" s="8"/>
      <c r="F9155" s="8"/>
    </row>
    <row r="9156" spans="2:6">
      <c r="B9156" s="44"/>
      <c r="D9156" s="8"/>
      <c r="E9156" s="8"/>
      <c r="F9156" s="8"/>
    </row>
    <row r="9157" spans="2:6">
      <c r="B9157" s="44"/>
      <c r="D9157" s="8"/>
      <c r="E9157" s="8"/>
      <c r="F9157" s="8"/>
    </row>
    <row r="9158" spans="2:6">
      <c r="B9158" s="44"/>
      <c r="D9158" s="8"/>
      <c r="E9158" s="8"/>
      <c r="F9158" s="8"/>
    </row>
    <row r="9159" spans="2:6">
      <c r="B9159" s="44"/>
      <c r="D9159" s="8"/>
      <c r="E9159" s="8"/>
      <c r="F9159" s="8"/>
    </row>
    <row r="9160" spans="2:6">
      <c r="B9160" s="44"/>
      <c r="D9160" s="8"/>
      <c r="E9160" s="8"/>
      <c r="F9160" s="8"/>
    </row>
    <row r="9161" spans="2:6">
      <c r="B9161" s="44"/>
      <c r="D9161" s="8"/>
      <c r="E9161" s="8"/>
      <c r="F9161" s="8"/>
    </row>
    <row r="9162" spans="2:6">
      <c r="B9162" s="44"/>
      <c r="D9162" s="8"/>
      <c r="E9162" s="8"/>
      <c r="F9162" s="8"/>
    </row>
    <row r="9163" spans="2:6">
      <c r="B9163" s="44"/>
      <c r="D9163" s="8"/>
      <c r="E9163" s="8"/>
      <c r="F9163" s="8"/>
    </row>
    <row r="9164" spans="2:6">
      <c r="B9164" s="44"/>
      <c r="D9164" s="8"/>
      <c r="E9164" s="8"/>
      <c r="F9164" s="8"/>
    </row>
    <row r="9165" spans="2:6">
      <c r="B9165" s="44"/>
      <c r="D9165" s="8"/>
      <c r="E9165" s="8"/>
      <c r="F9165" s="8"/>
    </row>
    <row r="9166" spans="2:6">
      <c r="B9166" s="44"/>
      <c r="D9166" s="8"/>
      <c r="E9166" s="8"/>
      <c r="F9166" s="8"/>
    </row>
    <row r="9167" spans="2:6">
      <c r="B9167" s="44"/>
      <c r="D9167" s="8"/>
      <c r="E9167" s="8"/>
      <c r="F9167" s="8"/>
    </row>
    <row r="9168" spans="2:6">
      <c r="B9168" s="44"/>
      <c r="D9168" s="8"/>
      <c r="E9168" s="8"/>
      <c r="F9168" s="8"/>
    </row>
    <row r="9169" spans="2:6">
      <c r="B9169" s="44"/>
      <c r="D9169" s="8"/>
      <c r="E9169" s="8"/>
      <c r="F9169" s="8"/>
    </row>
    <row r="9170" spans="2:6">
      <c r="B9170" s="44"/>
      <c r="D9170" s="8"/>
      <c r="E9170" s="8"/>
      <c r="F9170" s="8"/>
    </row>
    <row r="9171" spans="2:6">
      <c r="B9171" s="44"/>
      <c r="D9171" s="8"/>
      <c r="E9171" s="8"/>
      <c r="F9171" s="8"/>
    </row>
    <row r="9172" spans="2:6">
      <c r="B9172" s="44"/>
      <c r="D9172" s="8"/>
      <c r="E9172" s="8"/>
      <c r="F9172" s="8"/>
    </row>
    <row r="9173" spans="2:6">
      <c r="B9173" s="44"/>
      <c r="D9173" s="8"/>
      <c r="E9173" s="8"/>
      <c r="F9173" s="8"/>
    </row>
    <row r="9174" spans="2:6">
      <c r="B9174" s="44"/>
      <c r="D9174" s="8"/>
      <c r="E9174" s="8"/>
      <c r="F9174" s="8"/>
    </row>
    <row r="9175" spans="2:6">
      <c r="B9175" s="44"/>
      <c r="D9175" s="8"/>
      <c r="E9175" s="8"/>
      <c r="F9175" s="8"/>
    </row>
    <row r="9176" spans="2:6">
      <c r="B9176" s="44"/>
      <c r="D9176" s="8"/>
      <c r="E9176" s="8"/>
      <c r="F9176" s="8"/>
    </row>
    <row r="9177" spans="2:6">
      <c r="B9177" s="44"/>
      <c r="D9177" s="8"/>
      <c r="E9177" s="8"/>
      <c r="F9177" s="8"/>
    </row>
    <row r="9178" spans="2:6">
      <c r="B9178" s="44"/>
      <c r="D9178" s="8"/>
      <c r="E9178" s="8"/>
      <c r="F9178" s="8"/>
    </row>
    <row r="9179" spans="2:6">
      <c r="B9179" s="44"/>
      <c r="D9179" s="8"/>
      <c r="E9179" s="8"/>
      <c r="F9179" s="8"/>
    </row>
    <row r="9180" spans="2:6">
      <c r="B9180" s="44"/>
      <c r="D9180" s="8"/>
      <c r="E9180" s="8"/>
      <c r="F9180" s="8"/>
    </row>
    <row r="9181" spans="2:6">
      <c r="B9181" s="44"/>
      <c r="D9181" s="8"/>
      <c r="E9181" s="8"/>
      <c r="F9181" s="8"/>
    </row>
    <row r="9182" spans="2:6">
      <c r="B9182" s="44"/>
      <c r="D9182" s="8"/>
      <c r="E9182" s="8"/>
      <c r="F9182" s="8"/>
    </row>
    <row r="9183" spans="2:6">
      <c r="B9183" s="44"/>
      <c r="D9183" s="8"/>
      <c r="E9183" s="8"/>
      <c r="F9183" s="8"/>
    </row>
    <row r="9184" spans="2:6">
      <c r="B9184" s="44"/>
      <c r="D9184" s="8"/>
      <c r="E9184" s="8"/>
      <c r="F9184" s="8"/>
    </row>
    <row r="9185" spans="2:6">
      <c r="B9185" s="44"/>
      <c r="D9185" s="8"/>
      <c r="E9185" s="8"/>
      <c r="F9185" s="8"/>
    </row>
    <row r="9186" spans="2:6">
      <c r="B9186" s="44"/>
      <c r="D9186" s="8"/>
      <c r="E9186" s="8"/>
      <c r="F9186" s="8"/>
    </row>
    <row r="9187" spans="2:6">
      <c r="B9187" s="44"/>
      <c r="D9187" s="8"/>
      <c r="E9187" s="8"/>
      <c r="F9187" s="8"/>
    </row>
    <row r="9188" spans="2:6">
      <c r="B9188" s="44"/>
      <c r="D9188" s="8"/>
      <c r="E9188" s="8"/>
      <c r="F9188" s="8"/>
    </row>
    <row r="9189" spans="2:6">
      <c r="B9189" s="44"/>
      <c r="D9189" s="8"/>
      <c r="E9189" s="8"/>
      <c r="F9189" s="8"/>
    </row>
    <row r="9190" spans="2:6">
      <c r="B9190" s="44"/>
      <c r="D9190" s="8"/>
      <c r="E9190" s="8"/>
      <c r="F9190" s="8"/>
    </row>
    <row r="9191" spans="2:6">
      <c r="B9191" s="44"/>
      <c r="D9191" s="8"/>
      <c r="E9191" s="8"/>
      <c r="F9191" s="8"/>
    </row>
    <row r="9192" spans="2:6">
      <c r="B9192" s="44"/>
      <c r="D9192" s="8"/>
      <c r="E9192" s="8"/>
      <c r="F9192" s="8"/>
    </row>
    <row r="9193" spans="2:6">
      <c r="B9193" s="44"/>
      <c r="D9193" s="8"/>
      <c r="E9193" s="8"/>
      <c r="F9193" s="8"/>
    </row>
    <row r="9194" spans="2:6">
      <c r="B9194" s="44"/>
      <c r="D9194" s="8"/>
      <c r="E9194" s="8"/>
      <c r="F9194" s="8"/>
    </row>
    <row r="9195" spans="2:6">
      <c r="B9195" s="44"/>
      <c r="D9195" s="8"/>
      <c r="E9195" s="8"/>
      <c r="F9195" s="8"/>
    </row>
    <row r="9196" spans="2:6">
      <c r="B9196" s="44"/>
      <c r="D9196" s="8"/>
      <c r="E9196" s="8"/>
      <c r="F9196" s="8"/>
    </row>
    <row r="9197" spans="2:6">
      <c r="B9197" s="44"/>
      <c r="D9197" s="8"/>
      <c r="E9197" s="8"/>
      <c r="F9197" s="8"/>
    </row>
    <row r="9198" spans="2:6">
      <c r="B9198" s="44"/>
      <c r="D9198" s="8"/>
      <c r="E9198" s="8"/>
      <c r="F9198" s="8"/>
    </row>
    <row r="9199" spans="2:6">
      <c r="B9199" s="44"/>
      <c r="D9199" s="8"/>
      <c r="E9199" s="8"/>
      <c r="F9199" s="8"/>
    </row>
    <row r="9200" spans="2:6">
      <c r="B9200" s="44"/>
      <c r="D9200" s="8"/>
      <c r="E9200" s="8"/>
      <c r="F9200" s="8"/>
    </row>
    <row r="9201" spans="2:6">
      <c r="B9201" s="44"/>
      <c r="D9201" s="8"/>
      <c r="E9201" s="8"/>
      <c r="F9201" s="8"/>
    </row>
    <row r="9202" spans="2:6">
      <c r="B9202" s="44"/>
      <c r="D9202" s="8"/>
      <c r="E9202" s="8"/>
      <c r="F9202" s="8"/>
    </row>
    <row r="9203" spans="2:6">
      <c r="B9203" s="44"/>
      <c r="D9203" s="8"/>
      <c r="E9203" s="8"/>
      <c r="F9203" s="8"/>
    </row>
    <row r="9204" spans="2:6">
      <c r="B9204" s="44"/>
      <c r="D9204" s="8"/>
      <c r="E9204" s="8"/>
      <c r="F9204" s="8"/>
    </row>
    <row r="9205" spans="2:6">
      <c r="B9205" s="44"/>
      <c r="D9205" s="8"/>
      <c r="E9205" s="8"/>
      <c r="F9205" s="8"/>
    </row>
    <row r="9206" spans="2:6">
      <c r="B9206" s="44"/>
      <c r="D9206" s="8"/>
      <c r="E9206" s="8"/>
      <c r="F9206" s="8"/>
    </row>
    <row r="9207" spans="2:6">
      <c r="B9207" s="44"/>
      <c r="D9207" s="8"/>
      <c r="E9207" s="8"/>
      <c r="F9207" s="8"/>
    </row>
    <row r="9208" spans="2:6">
      <c r="B9208" s="44"/>
      <c r="D9208" s="8"/>
      <c r="E9208" s="8"/>
      <c r="F9208" s="8"/>
    </row>
    <row r="9209" spans="2:6">
      <c r="B9209" s="44"/>
      <c r="D9209" s="8"/>
      <c r="E9209" s="8"/>
      <c r="F9209" s="8"/>
    </row>
    <row r="9210" spans="2:6">
      <c r="B9210" s="44"/>
      <c r="D9210" s="8"/>
      <c r="E9210" s="8"/>
      <c r="F9210" s="8"/>
    </row>
    <row r="9211" spans="2:6">
      <c r="B9211" s="44"/>
      <c r="D9211" s="8"/>
      <c r="E9211" s="8"/>
      <c r="F9211" s="8"/>
    </row>
    <row r="9212" spans="2:6">
      <c r="B9212" s="44"/>
      <c r="D9212" s="8"/>
      <c r="E9212" s="8"/>
      <c r="F9212" s="8"/>
    </row>
    <row r="9213" spans="2:6">
      <c r="B9213" s="44"/>
      <c r="D9213" s="8"/>
      <c r="E9213" s="8"/>
      <c r="F9213" s="8"/>
    </row>
    <row r="9214" spans="2:6">
      <c r="B9214" s="44"/>
      <c r="D9214" s="8"/>
      <c r="E9214" s="8"/>
      <c r="F9214" s="8"/>
    </row>
    <row r="9215" spans="2:6">
      <c r="B9215" s="44"/>
      <c r="D9215" s="8"/>
      <c r="E9215" s="8"/>
      <c r="F9215" s="8"/>
    </row>
    <row r="9216" spans="2:6">
      <c r="B9216" s="44"/>
      <c r="D9216" s="8"/>
      <c r="E9216" s="8"/>
      <c r="F9216" s="8"/>
    </row>
    <row r="9217" spans="2:6">
      <c r="B9217" s="44"/>
      <c r="D9217" s="8"/>
      <c r="E9217" s="8"/>
      <c r="F9217" s="8"/>
    </row>
    <row r="9218" spans="2:6">
      <c r="B9218" s="44"/>
      <c r="D9218" s="8"/>
      <c r="E9218" s="8"/>
      <c r="F9218" s="8"/>
    </row>
    <row r="9219" spans="2:6">
      <c r="B9219" s="44"/>
      <c r="D9219" s="8"/>
      <c r="E9219" s="8"/>
      <c r="F9219" s="8"/>
    </row>
    <row r="9220" spans="2:6">
      <c r="B9220" s="44"/>
      <c r="D9220" s="8"/>
      <c r="E9220" s="8"/>
      <c r="F9220" s="8"/>
    </row>
    <row r="9221" spans="2:6">
      <c r="B9221" s="44"/>
      <c r="D9221" s="8"/>
      <c r="E9221" s="8"/>
      <c r="F9221" s="8"/>
    </row>
    <row r="9222" spans="2:6">
      <c r="B9222" s="44"/>
      <c r="D9222" s="8"/>
      <c r="E9222" s="8"/>
      <c r="F9222" s="8"/>
    </row>
    <row r="9223" spans="2:6">
      <c r="B9223" s="44"/>
      <c r="D9223" s="8"/>
      <c r="E9223" s="8"/>
      <c r="F9223" s="8"/>
    </row>
    <row r="9224" spans="2:6">
      <c r="B9224" s="44"/>
      <c r="D9224" s="8"/>
      <c r="E9224" s="8"/>
      <c r="F9224" s="8"/>
    </row>
    <row r="9225" spans="2:6">
      <c r="B9225" s="44"/>
      <c r="D9225" s="8"/>
      <c r="E9225" s="8"/>
      <c r="F9225" s="8"/>
    </row>
    <row r="9226" spans="2:6">
      <c r="B9226" s="44"/>
      <c r="D9226" s="8"/>
      <c r="E9226" s="8"/>
      <c r="F9226" s="8"/>
    </row>
    <row r="9227" spans="2:6">
      <c r="B9227" s="44"/>
      <c r="D9227" s="8"/>
      <c r="E9227" s="8"/>
      <c r="F9227" s="8"/>
    </row>
    <row r="9228" spans="2:6">
      <c r="B9228" s="44"/>
      <c r="D9228" s="8"/>
      <c r="E9228" s="8"/>
      <c r="F9228" s="8"/>
    </row>
    <row r="9229" spans="2:6">
      <c r="B9229" s="44"/>
      <c r="D9229" s="8"/>
      <c r="E9229" s="8"/>
      <c r="F9229" s="8"/>
    </row>
    <row r="9230" spans="2:6">
      <c r="B9230" s="44"/>
      <c r="D9230" s="8"/>
      <c r="E9230" s="8"/>
      <c r="F9230" s="8"/>
    </row>
    <row r="9231" spans="2:6">
      <c r="B9231" s="44"/>
      <c r="D9231" s="8"/>
      <c r="E9231" s="8"/>
      <c r="F9231" s="8"/>
    </row>
    <row r="9232" spans="2:6">
      <c r="B9232" s="44"/>
      <c r="D9232" s="8"/>
      <c r="E9232" s="8"/>
      <c r="F9232" s="8"/>
    </row>
    <row r="9233" spans="2:6">
      <c r="B9233" s="44"/>
      <c r="D9233" s="8"/>
      <c r="E9233" s="8"/>
      <c r="F9233" s="8"/>
    </row>
    <row r="9234" spans="2:6">
      <c r="B9234" s="44"/>
      <c r="D9234" s="8"/>
      <c r="E9234" s="8"/>
      <c r="F9234" s="8"/>
    </row>
    <row r="9235" spans="2:6">
      <c r="B9235" s="44"/>
      <c r="D9235" s="8"/>
      <c r="E9235" s="8"/>
      <c r="F9235" s="8"/>
    </row>
    <row r="9236" spans="2:6">
      <c r="B9236" s="44"/>
      <c r="D9236" s="8"/>
      <c r="E9236" s="8"/>
      <c r="F9236" s="8"/>
    </row>
    <row r="9237" spans="2:6">
      <c r="B9237" s="44"/>
      <c r="D9237" s="8"/>
      <c r="E9237" s="8"/>
      <c r="F9237" s="8"/>
    </row>
    <row r="9238" spans="2:6">
      <c r="B9238" s="44"/>
      <c r="D9238" s="8"/>
      <c r="E9238" s="8"/>
      <c r="F9238" s="8"/>
    </row>
    <row r="9239" spans="2:6">
      <c r="B9239" s="44"/>
      <c r="D9239" s="8"/>
      <c r="E9239" s="8"/>
      <c r="F9239" s="8"/>
    </row>
    <row r="9240" spans="2:6">
      <c r="B9240" s="44"/>
      <c r="D9240" s="8"/>
      <c r="E9240" s="8"/>
      <c r="F9240" s="8"/>
    </row>
    <row r="9241" spans="2:6">
      <c r="B9241" s="44"/>
      <c r="D9241" s="8"/>
      <c r="E9241" s="8"/>
      <c r="F9241" s="8"/>
    </row>
    <row r="9242" spans="2:6">
      <c r="B9242" s="44"/>
      <c r="D9242" s="8"/>
      <c r="E9242" s="8"/>
      <c r="F9242" s="8"/>
    </row>
    <row r="9243" spans="2:6">
      <c r="B9243" s="44"/>
      <c r="D9243" s="8"/>
      <c r="E9243" s="8"/>
      <c r="F9243" s="8"/>
    </row>
    <row r="9244" spans="2:6">
      <c r="B9244" s="44"/>
      <c r="D9244" s="8"/>
      <c r="E9244" s="8"/>
      <c r="F9244" s="8"/>
    </row>
    <row r="9245" spans="2:6">
      <c r="B9245" s="44"/>
      <c r="D9245" s="8"/>
      <c r="E9245" s="8"/>
      <c r="F9245" s="8"/>
    </row>
    <row r="9246" spans="2:6">
      <c r="B9246" s="44"/>
      <c r="D9246" s="8"/>
      <c r="E9246" s="8"/>
      <c r="F9246" s="8"/>
    </row>
    <row r="9247" spans="2:6">
      <c r="B9247" s="44"/>
      <c r="D9247" s="8"/>
      <c r="E9247" s="8"/>
      <c r="F9247" s="8"/>
    </row>
    <row r="9248" spans="2:6">
      <c r="B9248" s="44"/>
      <c r="D9248" s="8"/>
      <c r="E9248" s="8"/>
      <c r="F9248" s="8"/>
    </row>
    <row r="9249" spans="2:6">
      <c r="B9249" s="44"/>
      <c r="D9249" s="8"/>
      <c r="E9249" s="8"/>
      <c r="F9249" s="8"/>
    </row>
    <row r="9250" spans="2:6">
      <c r="B9250" s="44"/>
      <c r="D9250" s="8"/>
      <c r="E9250" s="8"/>
      <c r="F9250" s="8"/>
    </row>
    <row r="9251" spans="2:6">
      <c r="B9251" s="44"/>
      <c r="D9251" s="8"/>
      <c r="E9251" s="8"/>
      <c r="F9251" s="8"/>
    </row>
    <row r="9252" spans="2:6">
      <c r="B9252" s="44"/>
      <c r="D9252" s="8"/>
      <c r="E9252" s="8"/>
      <c r="F9252" s="8"/>
    </row>
    <row r="9253" spans="2:6">
      <c r="B9253" s="44"/>
      <c r="D9253" s="8"/>
      <c r="E9253" s="8"/>
      <c r="F9253" s="8"/>
    </row>
    <row r="9254" spans="2:6">
      <c r="B9254" s="44"/>
      <c r="D9254" s="8"/>
      <c r="E9254" s="8"/>
      <c r="F9254" s="8"/>
    </row>
    <row r="9255" spans="2:6">
      <c r="B9255" s="44"/>
      <c r="D9255" s="8"/>
      <c r="E9255" s="8"/>
      <c r="F9255" s="8"/>
    </row>
    <row r="9256" spans="2:6">
      <c r="B9256" s="44"/>
      <c r="D9256" s="8"/>
      <c r="E9256" s="8"/>
      <c r="F9256" s="8"/>
    </row>
    <row r="9257" spans="2:6">
      <c r="B9257" s="44"/>
      <c r="D9257" s="8"/>
      <c r="E9257" s="8"/>
      <c r="F9257" s="8"/>
    </row>
    <row r="9258" spans="2:6">
      <c r="B9258" s="44"/>
      <c r="D9258" s="8"/>
      <c r="E9258" s="8"/>
      <c r="F9258" s="8"/>
    </row>
    <row r="9259" spans="2:6">
      <c r="B9259" s="44"/>
      <c r="D9259" s="8"/>
      <c r="E9259" s="8"/>
      <c r="F9259" s="8"/>
    </row>
    <row r="9260" spans="2:6">
      <c r="B9260" s="44"/>
      <c r="D9260" s="8"/>
      <c r="E9260" s="8"/>
      <c r="F9260" s="8"/>
    </row>
    <row r="9261" spans="2:6">
      <c r="B9261" s="44"/>
      <c r="D9261" s="8"/>
      <c r="E9261" s="8"/>
      <c r="F9261" s="8"/>
    </row>
    <row r="9262" spans="2:6">
      <c r="B9262" s="44"/>
      <c r="D9262" s="8"/>
      <c r="E9262" s="8"/>
      <c r="F9262" s="8"/>
    </row>
    <row r="9263" spans="2:6">
      <c r="B9263" s="44"/>
      <c r="D9263" s="8"/>
      <c r="E9263" s="8"/>
      <c r="F9263" s="8"/>
    </row>
    <row r="9264" spans="2:6">
      <c r="B9264" s="44"/>
      <c r="D9264" s="8"/>
      <c r="E9264" s="8"/>
      <c r="F9264" s="8"/>
    </row>
    <row r="9265" spans="2:6">
      <c r="B9265" s="44"/>
      <c r="D9265" s="8"/>
      <c r="E9265" s="8"/>
      <c r="F9265" s="8"/>
    </row>
    <row r="9266" spans="2:6">
      <c r="B9266" s="44"/>
      <c r="D9266" s="8"/>
      <c r="E9266" s="8"/>
      <c r="F9266" s="8"/>
    </row>
    <row r="9267" spans="2:6">
      <c r="B9267" s="44"/>
      <c r="D9267" s="8"/>
      <c r="E9267" s="8"/>
      <c r="F9267" s="8"/>
    </row>
    <row r="9268" spans="2:6">
      <c r="B9268" s="44"/>
      <c r="D9268" s="8"/>
      <c r="E9268" s="8"/>
      <c r="F9268" s="8"/>
    </row>
    <row r="9269" spans="2:6">
      <c r="B9269" s="44"/>
      <c r="D9269" s="8"/>
      <c r="E9269" s="8"/>
      <c r="F9269" s="8"/>
    </row>
    <row r="9270" spans="2:6">
      <c r="B9270" s="44"/>
      <c r="D9270" s="8"/>
      <c r="E9270" s="8"/>
      <c r="F9270" s="8"/>
    </row>
    <row r="9271" spans="2:6">
      <c r="B9271" s="44"/>
      <c r="D9271" s="8"/>
      <c r="E9271" s="8"/>
      <c r="F9271" s="8"/>
    </row>
    <row r="9272" spans="2:6">
      <c r="B9272" s="44"/>
      <c r="D9272" s="8"/>
      <c r="E9272" s="8"/>
      <c r="F9272" s="8"/>
    </row>
    <row r="9273" spans="2:6">
      <c r="B9273" s="44"/>
      <c r="D9273" s="8"/>
      <c r="E9273" s="8"/>
      <c r="F9273" s="8"/>
    </row>
    <row r="9274" spans="2:6">
      <c r="B9274" s="44"/>
      <c r="D9274" s="8"/>
      <c r="E9274" s="8"/>
      <c r="F9274" s="8"/>
    </row>
    <row r="9275" spans="2:6">
      <c r="B9275" s="44"/>
      <c r="D9275" s="8"/>
      <c r="E9275" s="8"/>
      <c r="F9275" s="8"/>
    </row>
    <row r="9276" spans="2:6">
      <c r="B9276" s="44"/>
      <c r="D9276" s="8"/>
      <c r="E9276" s="8"/>
      <c r="F9276" s="8"/>
    </row>
    <row r="9277" spans="2:6">
      <c r="B9277" s="44"/>
      <c r="D9277" s="8"/>
      <c r="E9277" s="8"/>
      <c r="F9277" s="8"/>
    </row>
    <row r="9278" spans="2:6">
      <c r="B9278" s="44"/>
      <c r="D9278" s="8"/>
      <c r="E9278" s="8"/>
      <c r="F9278" s="8"/>
    </row>
    <row r="9279" spans="2:6">
      <c r="B9279" s="44"/>
      <c r="D9279" s="8"/>
      <c r="E9279" s="8"/>
      <c r="F9279" s="8"/>
    </row>
    <row r="9280" spans="2:6">
      <c r="B9280" s="44"/>
      <c r="D9280" s="8"/>
      <c r="E9280" s="8"/>
      <c r="F9280" s="8"/>
    </row>
    <row r="9281" spans="2:6">
      <c r="B9281" s="44"/>
      <c r="D9281" s="8"/>
      <c r="E9281" s="8"/>
      <c r="F9281" s="8"/>
    </row>
    <row r="9282" spans="2:6">
      <c r="B9282" s="44"/>
      <c r="D9282" s="8"/>
      <c r="E9282" s="8"/>
      <c r="F9282" s="8"/>
    </row>
    <row r="9283" spans="2:6">
      <c r="B9283" s="44"/>
      <c r="D9283" s="8"/>
      <c r="E9283" s="8"/>
      <c r="F9283" s="8"/>
    </row>
    <row r="9284" spans="2:6">
      <c r="B9284" s="44"/>
      <c r="D9284" s="8"/>
      <c r="E9284" s="8"/>
      <c r="F9284" s="8"/>
    </row>
    <row r="9285" spans="2:6">
      <c r="B9285" s="44"/>
      <c r="D9285" s="8"/>
      <c r="E9285" s="8"/>
      <c r="F9285" s="8"/>
    </row>
    <row r="9286" spans="2:6">
      <c r="B9286" s="44"/>
      <c r="D9286" s="8"/>
      <c r="E9286" s="8"/>
      <c r="F9286" s="8"/>
    </row>
    <row r="9287" spans="2:6">
      <c r="B9287" s="44"/>
      <c r="D9287" s="8"/>
      <c r="E9287" s="8"/>
      <c r="F9287" s="8"/>
    </row>
    <row r="9288" spans="2:6">
      <c r="B9288" s="44"/>
      <c r="D9288" s="8"/>
      <c r="E9288" s="8"/>
      <c r="F9288" s="8"/>
    </row>
    <row r="9289" spans="2:6">
      <c r="B9289" s="44"/>
      <c r="D9289" s="8"/>
      <c r="E9289" s="8"/>
      <c r="F9289" s="8"/>
    </row>
    <row r="9290" spans="2:6">
      <c r="B9290" s="44"/>
      <c r="D9290" s="8"/>
      <c r="E9290" s="8"/>
      <c r="F9290" s="8"/>
    </row>
    <row r="9291" spans="2:6">
      <c r="B9291" s="44"/>
      <c r="D9291" s="8"/>
      <c r="E9291" s="8"/>
      <c r="F9291" s="8"/>
    </row>
    <row r="9292" spans="2:6">
      <c r="B9292" s="44"/>
      <c r="D9292" s="8"/>
      <c r="E9292" s="8"/>
      <c r="F9292" s="8"/>
    </row>
    <row r="9293" spans="2:6">
      <c r="B9293" s="44"/>
      <c r="D9293" s="8"/>
      <c r="E9293" s="8"/>
      <c r="F9293" s="8"/>
    </row>
    <row r="9294" spans="2:6">
      <c r="B9294" s="44"/>
      <c r="D9294" s="8"/>
      <c r="E9294" s="8"/>
      <c r="F9294" s="8"/>
    </row>
    <row r="9295" spans="2:6">
      <c r="B9295" s="44"/>
      <c r="D9295" s="8"/>
      <c r="E9295" s="8"/>
      <c r="F9295" s="8"/>
    </row>
    <row r="9296" spans="2:6">
      <c r="B9296" s="44"/>
      <c r="D9296" s="8"/>
      <c r="E9296" s="8"/>
      <c r="F9296" s="8"/>
    </row>
    <row r="9297" spans="2:6">
      <c r="B9297" s="44"/>
      <c r="D9297" s="8"/>
      <c r="E9297" s="8"/>
      <c r="F9297" s="8"/>
    </row>
    <row r="9298" spans="2:6">
      <c r="B9298" s="44"/>
      <c r="D9298" s="8"/>
      <c r="E9298" s="8"/>
      <c r="F9298" s="8"/>
    </row>
    <row r="9299" spans="2:6">
      <c r="B9299" s="44"/>
      <c r="D9299" s="8"/>
      <c r="E9299" s="8"/>
      <c r="F9299" s="8"/>
    </row>
    <row r="9300" spans="2:6">
      <c r="B9300" s="44"/>
      <c r="D9300" s="8"/>
      <c r="E9300" s="8"/>
      <c r="F9300" s="8"/>
    </row>
    <row r="9301" spans="2:6">
      <c r="B9301" s="44"/>
      <c r="D9301" s="8"/>
      <c r="E9301" s="8"/>
      <c r="F9301" s="8"/>
    </row>
    <row r="9302" spans="2:6">
      <c r="B9302" s="44"/>
      <c r="D9302" s="8"/>
      <c r="E9302" s="8"/>
      <c r="F9302" s="8"/>
    </row>
    <row r="9303" spans="2:6">
      <c r="B9303" s="44"/>
      <c r="D9303" s="8"/>
      <c r="E9303" s="8"/>
      <c r="F9303" s="8"/>
    </row>
    <row r="9304" spans="2:6">
      <c r="B9304" s="44"/>
      <c r="D9304" s="8"/>
      <c r="E9304" s="8"/>
      <c r="F9304" s="8"/>
    </row>
    <row r="9305" spans="2:6">
      <c r="B9305" s="44"/>
      <c r="D9305" s="8"/>
      <c r="E9305" s="8"/>
      <c r="F9305" s="8"/>
    </row>
    <row r="9306" spans="2:6">
      <c r="B9306" s="44"/>
      <c r="D9306" s="8"/>
      <c r="E9306" s="8"/>
      <c r="F9306" s="8"/>
    </row>
    <row r="9307" spans="2:6">
      <c r="B9307" s="44"/>
      <c r="D9307" s="8"/>
      <c r="E9307" s="8"/>
      <c r="F9307" s="8"/>
    </row>
    <row r="9308" spans="2:6">
      <c r="B9308" s="44"/>
      <c r="D9308" s="8"/>
      <c r="E9308" s="8"/>
      <c r="F9308" s="8"/>
    </row>
    <row r="9309" spans="2:6">
      <c r="B9309" s="44"/>
      <c r="D9309" s="8"/>
      <c r="E9309" s="8"/>
      <c r="F9309" s="8"/>
    </row>
    <row r="9310" spans="2:6">
      <c r="B9310" s="44"/>
      <c r="D9310" s="8"/>
      <c r="E9310" s="8"/>
      <c r="F9310" s="8"/>
    </row>
    <row r="9311" spans="2:6">
      <c r="B9311" s="44"/>
      <c r="D9311" s="8"/>
      <c r="E9311" s="8"/>
      <c r="F9311" s="8"/>
    </row>
    <row r="9312" spans="2:6">
      <c r="B9312" s="44"/>
      <c r="D9312" s="8"/>
      <c r="E9312" s="8"/>
      <c r="F9312" s="8"/>
    </row>
    <row r="9313" spans="2:6">
      <c r="B9313" s="44"/>
      <c r="D9313" s="8"/>
      <c r="E9313" s="8"/>
      <c r="F9313" s="8"/>
    </row>
    <row r="9314" spans="2:6">
      <c r="B9314" s="44"/>
      <c r="D9314" s="8"/>
      <c r="E9314" s="8"/>
      <c r="F9314" s="8"/>
    </row>
    <row r="9315" spans="2:6">
      <c r="B9315" s="44"/>
      <c r="D9315" s="8"/>
      <c r="E9315" s="8"/>
      <c r="F9315" s="8"/>
    </row>
    <row r="9316" spans="2:6">
      <c r="B9316" s="44"/>
      <c r="D9316" s="8"/>
      <c r="E9316" s="8"/>
      <c r="F9316" s="8"/>
    </row>
    <row r="9317" spans="2:6">
      <c r="B9317" s="44"/>
      <c r="D9317" s="8"/>
      <c r="E9317" s="8"/>
      <c r="F9317" s="8"/>
    </row>
    <row r="9318" spans="2:6">
      <c r="B9318" s="44"/>
      <c r="D9318" s="8"/>
      <c r="E9318" s="8"/>
      <c r="F9318" s="8"/>
    </row>
    <row r="9319" spans="2:6">
      <c r="B9319" s="44"/>
      <c r="D9319" s="8"/>
      <c r="E9319" s="8"/>
      <c r="F9319" s="8"/>
    </row>
    <row r="9320" spans="2:6">
      <c r="B9320" s="44"/>
      <c r="D9320" s="8"/>
      <c r="E9320" s="8"/>
      <c r="F9320" s="8"/>
    </row>
    <row r="9321" spans="2:6">
      <c r="B9321" s="44"/>
      <c r="D9321" s="8"/>
      <c r="E9321" s="8"/>
      <c r="F9321" s="8"/>
    </row>
    <row r="9322" spans="2:6">
      <c r="B9322" s="44"/>
      <c r="D9322" s="8"/>
      <c r="E9322" s="8"/>
      <c r="F9322" s="8"/>
    </row>
    <row r="9323" spans="2:6">
      <c r="B9323" s="44"/>
      <c r="D9323" s="8"/>
      <c r="E9323" s="8"/>
      <c r="F9323" s="8"/>
    </row>
    <row r="9324" spans="2:6">
      <c r="B9324" s="44"/>
      <c r="D9324" s="8"/>
      <c r="E9324" s="8"/>
      <c r="F9324" s="8"/>
    </row>
    <row r="9325" spans="2:6">
      <c r="B9325" s="44"/>
      <c r="D9325" s="8"/>
      <c r="E9325" s="8"/>
      <c r="F9325" s="8"/>
    </row>
    <row r="9326" spans="2:6">
      <c r="B9326" s="44"/>
      <c r="D9326" s="8"/>
      <c r="E9326" s="8"/>
      <c r="F9326" s="8"/>
    </row>
    <row r="9327" spans="2:6">
      <c r="B9327" s="44"/>
      <c r="D9327" s="8"/>
      <c r="E9327" s="8"/>
      <c r="F9327" s="8"/>
    </row>
    <row r="9328" spans="2:6">
      <c r="B9328" s="44"/>
      <c r="D9328" s="8"/>
      <c r="E9328" s="8"/>
      <c r="F9328" s="8"/>
    </row>
    <row r="9329" spans="2:6">
      <c r="B9329" s="44"/>
      <c r="D9329" s="8"/>
      <c r="E9329" s="8"/>
      <c r="F9329" s="8"/>
    </row>
    <row r="9330" spans="2:6">
      <c r="B9330" s="44"/>
      <c r="D9330" s="8"/>
      <c r="E9330" s="8"/>
      <c r="F9330" s="8"/>
    </row>
    <row r="9331" spans="2:6">
      <c r="B9331" s="44"/>
      <c r="D9331" s="8"/>
      <c r="E9331" s="8"/>
      <c r="F9331" s="8"/>
    </row>
    <row r="9332" spans="2:6">
      <c r="B9332" s="44"/>
      <c r="D9332" s="8"/>
      <c r="E9332" s="8"/>
      <c r="F9332" s="8"/>
    </row>
    <row r="9333" spans="2:6">
      <c r="B9333" s="44"/>
      <c r="D9333" s="8"/>
      <c r="E9333" s="8"/>
      <c r="F9333" s="8"/>
    </row>
    <row r="9334" spans="2:6">
      <c r="B9334" s="44"/>
      <c r="D9334" s="8"/>
      <c r="E9334" s="8"/>
      <c r="F9334" s="8"/>
    </row>
    <row r="9335" spans="2:6">
      <c r="B9335" s="44"/>
      <c r="D9335" s="8"/>
      <c r="E9335" s="8"/>
      <c r="F9335" s="8"/>
    </row>
    <row r="9336" spans="2:6">
      <c r="B9336" s="44"/>
      <c r="D9336" s="8"/>
      <c r="E9336" s="8"/>
      <c r="F9336" s="8"/>
    </row>
    <row r="9337" spans="2:6">
      <c r="B9337" s="44"/>
      <c r="D9337" s="8"/>
      <c r="E9337" s="8"/>
      <c r="F9337" s="8"/>
    </row>
    <row r="9338" spans="2:6">
      <c r="B9338" s="44"/>
      <c r="D9338" s="8"/>
      <c r="E9338" s="8"/>
      <c r="F9338" s="8"/>
    </row>
    <row r="9339" spans="2:6">
      <c r="B9339" s="44"/>
      <c r="D9339" s="8"/>
      <c r="E9339" s="8"/>
      <c r="F9339" s="8"/>
    </row>
    <row r="9340" spans="2:6">
      <c r="B9340" s="44"/>
      <c r="D9340" s="8"/>
      <c r="E9340" s="8"/>
      <c r="F9340" s="8"/>
    </row>
    <row r="9341" spans="2:6">
      <c r="B9341" s="44"/>
      <c r="D9341" s="8"/>
      <c r="E9341" s="8"/>
      <c r="F9341" s="8"/>
    </row>
    <row r="9342" spans="2:6">
      <c r="B9342" s="44"/>
      <c r="D9342" s="8"/>
      <c r="E9342" s="8"/>
      <c r="F9342" s="8"/>
    </row>
    <row r="9343" spans="2:6">
      <c r="B9343" s="44"/>
      <c r="D9343" s="8"/>
      <c r="E9343" s="8"/>
      <c r="F9343" s="8"/>
    </row>
    <row r="9344" spans="2:6">
      <c r="B9344" s="44"/>
      <c r="D9344" s="8"/>
      <c r="E9344" s="8"/>
      <c r="F9344" s="8"/>
    </row>
    <row r="9345" spans="2:6">
      <c r="B9345" s="44"/>
      <c r="D9345" s="8"/>
      <c r="E9345" s="8"/>
      <c r="F9345" s="8"/>
    </row>
    <row r="9346" spans="2:6">
      <c r="B9346" s="44"/>
      <c r="D9346" s="8"/>
      <c r="E9346" s="8"/>
      <c r="F9346" s="8"/>
    </row>
    <row r="9347" spans="2:6">
      <c r="B9347" s="44"/>
      <c r="D9347" s="8"/>
      <c r="E9347" s="8"/>
      <c r="F9347" s="8"/>
    </row>
    <row r="9348" spans="2:6">
      <c r="B9348" s="44"/>
      <c r="D9348" s="8"/>
      <c r="E9348" s="8"/>
      <c r="F9348" s="8"/>
    </row>
    <row r="9349" spans="2:6">
      <c r="B9349" s="44"/>
      <c r="D9349" s="8"/>
      <c r="E9349" s="8"/>
      <c r="F9349" s="8"/>
    </row>
    <row r="9350" spans="2:6">
      <c r="B9350" s="44"/>
      <c r="D9350" s="8"/>
      <c r="E9350" s="8"/>
      <c r="F9350" s="8"/>
    </row>
    <row r="9351" spans="2:6">
      <c r="B9351" s="44"/>
      <c r="D9351" s="8"/>
      <c r="E9351" s="8"/>
      <c r="F9351" s="8"/>
    </row>
    <row r="9352" spans="2:6">
      <c r="B9352" s="44"/>
      <c r="D9352" s="8"/>
      <c r="E9352" s="8"/>
      <c r="F9352" s="8"/>
    </row>
    <row r="9353" spans="2:6">
      <c r="B9353" s="44"/>
      <c r="D9353" s="8"/>
      <c r="E9353" s="8"/>
      <c r="F9353" s="8"/>
    </row>
    <row r="9354" spans="2:6">
      <c r="B9354" s="44"/>
      <c r="D9354" s="8"/>
      <c r="E9354" s="8"/>
      <c r="F9354" s="8"/>
    </row>
    <row r="9355" spans="2:6">
      <c r="B9355" s="44"/>
      <c r="D9355" s="8"/>
      <c r="E9355" s="8"/>
      <c r="F9355" s="8"/>
    </row>
    <row r="9356" spans="2:6">
      <c r="B9356" s="44"/>
      <c r="D9356" s="8"/>
      <c r="E9356" s="8"/>
      <c r="F9356" s="8"/>
    </row>
    <row r="9357" spans="2:6">
      <c r="B9357" s="44"/>
      <c r="D9357" s="8"/>
      <c r="E9357" s="8"/>
      <c r="F9357" s="8"/>
    </row>
    <row r="9358" spans="2:6">
      <c r="B9358" s="44"/>
      <c r="D9358" s="8"/>
      <c r="E9358" s="8"/>
      <c r="F9358" s="8"/>
    </row>
    <row r="9359" spans="2:6">
      <c r="B9359" s="44"/>
      <c r="D9359" s="8"/>
      <c r="E9359" s="8"/>
      <c r="F9359" s="8"/>
    </row>
    <row r="9360" spans="2:6">
      <c r="B9360" s="44"/>
      <c r="D9360" s="8"/>
      <c r="E9360" s="8"/>
      <c r="F9360" s="8"/>
    </row>
    <row r="9361" spans="2:6">
      <c r="B9361" s="44"/>
      <c r="D9361" s="8"/>
      <c r="E9361" s="8"/>
      <c r="F9361" s="8"/>
    </row>
    <row r="9362" spans="2:6">
      <c r="B9362" s="44"/>
      <c r="D9362" s="8"/>
      <c r="E9362" s="8"/>
      <c r="F9362" s="8"/>
    </row>
    <row r="9363" spans="2:6">
      <c r="B9363" s="44"/>
      <c r="D9363" s="8"/>
      <c r="E9363" s="8"/>
      <c r="F9363" s="8"/>
    </row>
    <row r="9364" spans="2:6">
      <c r="B9364" s="44"/>
      <c r="D9364" s="8"/>
      <c r="E9364" s="8"/>
      <c r="F9364" s="8"/>
    </row>
    <row r="9365" spans="2:6">
      <c r="B9365" s="44"/>
      <c r="D9365" s="8"/>
      <c r="E9365" s="8"/>
      <c r="F9365" s="8"/>
    </row>
    <row r="9366" spans="2:6">
      <c r="B9366" s="44"/>
      <c r="D9366" s="8"/>
      <c r="E9366" s="8"/>
      <c r="F9366" s="8"/>
    </row>
    <row r="9367" spans="2:6">
      <c r="B9367" s="44"/>
      <c r="D9367" s="8"/>
      <c r="E9367" s="8"/>
      <c r="F9367" s="8"/>
    </row>
    <row r="9368" spans="2:6">
      <c r="B9368" s="44"/>
      <c r="D9368" s="8"/>
      <c r="E9368" s="8"/>
      <c r="F9368" s="8"/>
    </row>
    <row r="9369" spans="2:6">
      <c r="B9369" s="44"/>
      <c r="D9369" s="8"/>
      <c r="E9369" s="8"/>
      <c r="F9369" s="8"/>
    </row>
    <row r="9370" spans="2:6">
      <c r="B9370" s="44"/>
      <c r="D9370" s="8"/>
      <c r="E9370" s="8"/>
      <c r="F9370" s="8"/>
    </row>
    <row r="9371" spans="2:6">
      <c r="B9371" s="44"/>
      <c r="D9371" s="8"/>
      <c r="E9371" s="8"/>
      <c r="F9371" s="8"/>
    </row>
    <row r="9372" spans="2:6">
      <c r="B9372" s="44"/>
      <c r="D9372" s="8"/>
      <c r="E9372" s="8"/>
      <c r="F9372" s="8"/>
    </row>
    <row r="9373" spans="2:6">
      <c r="B9373" s="44"/>
      <c r="D9373" s="8"/>
      <c r="E9373" s="8"/>
      <c r="F9373" s="8"/>
    </row>
    <row r="9374" spans="2:6">
      <c r="B9374" s="44"/>
      <c r="D9374" s="8"/>
      <c r="E9374" s="8"/>
      <c r="F9374" s="8"/>
    </row>
    <row r="9375" spans="2:6">
      <c r="B9375" s="44"/>
      <c r="D9375" s="8"/>
      <c r="E9375" s="8"/>
      <c r="F9375" s="8"/>
    </row>
    <row r="9376" spans="2:6">
      <c r="B9376" s="44"/>
      <c r="D9376" s="8"/>
      <c r="E9376" s="8"/>
      <c r="F9376" s="8"/>
    </row>
    <row r="9377" spans="2:6">
      <c r="B9377" s="44"/>
      <c r="D9377" s="8"/>
      <c r="E9377" s="8"/>
      <c r="F9377" s="8"/>
    </row>
    <row r="9378" spans="2:6">
      <c r="B9378" s="44"/>
      <c r="D9378" s="8"/>
      <c r="E9378" s="8"/>
      <c r="F9378" s="8"/>
    </row>
    <row r="9379" spans="2:6">
      <c r="B9379" s="44"/>
      <c r="D9379" s="8"/>
      <c r="E9379" s="8"/>
      <c r="F9379" s="8"/>
    </row>
    <row r="9380" spans="2:6">
      <c r="B9380" s="44"/>
      <c r="D9380" s="8"/>
      <c r="E9380" s="8"/>
      <c r="F9380" s="8"/>
    </row>
    <row r="9381" spans="2:6">
      <c r="B9381" s="44"/>
      <c r="D9381" s="8"/>
      <c r="E9381" s="8"/>
      <c r="F9381" s="8"/>
    </row>
    <row r="9382" spans="2:6">
      <c r="B9382" s="44"/>
      <c r="D9382" s="8"/>
      <c r="E9382" s="8"/>
      <c r="F9382" s="8"/>
    </row>
    <row r="9383" spans="2:6">
      <c r="B9383" s="44"/>
      <c r="D9383" s="8"/>
      <c r="E9383" s="8"/>
      <c r="F9383" s="8"/>
    </row>
    <row r="9384" spans="2:6">
      <c r="B9384" s="44"/>
      <c r="D9384" s="8"/>
      <c r="E9384" s="8"/>
      <c r="F9384" s="8"/>
    </row>
    <row r="9385" spans="2:6">
      <c r="B9385" s="44"/>
      <c r="D9385" s="8"/>
      <c r="E9385" s="8"/>
      <c r="F9385" s="8"/>
    </row>
    <row r="9386" spans="2:6">
      <c r="B9386" s="44"/>
      <c r="D9386" s="8"/>
      <c r="E9386" s="8"/>
      <c r="F9386" s="8"/>
    </row>
    <row r="9387" spans="2:6">
      <c r="B9387" s="44"/>
      <c r="D9387" s="8"/>
      <c r="E9387" s="8"/>
      <c r="F9387" s="8"/>
    </row>
    <row r="9388" spans="2:6">
      <c r="B9388" s="44"/>
      <c r="D9388" s="8"/>
      <c r="E9388" s="8"/>
      <c r="F9388" s="8"/>
    </row>
    <row r="9389" spans="2:6">
      <c r="B9389" s="44"/>
      <c r="D9389" s="8"/>
      <c r="E9389" s="8"/>
      <c r="F9389" s="8"/>
    </row>
    <row r="9390" spans="2:6">
      <c r="B9390" s="44"/>
      <c r="D9390" s="8"/>
      <c r="E9390" s="8"/>
      <c r="F9390" s="8"/>
    </row>
    <row r="9391" spans="2:6">
      <c r="B9391" s="44"/>
      <c r="D9391" s="8"/>
      <c r="E9391" s="8"/>
      <c r="F9391" s="8"/>
    </row>
    <row r="9392" spans="2:6">
      <c r="B9392" s="44"/>
      <c r="D9392" s="8"/>
      <c r="E9392" s="8"/>
      <c r="F9392" s="8"/>
    </row>
    <row r="9393" spans="2:6">
      <c r="B9393" s="44"/>
      <c r="D9393" s="8"/>
      <c r="E9393" s="8"/>
      <c r="F9393" s="8"/>
    </row>
    <row r="9394" spans="2:6">
      <c r="B9394" s="44"/>
      <c r="D9394" s="8"/>
      <c r="E9394" s="8"/>
      <c r="F9394" s="8"/>
    </row>
    <row r="9395" spans="2:6">
      <c r="B9395" s="44"/>
      <c r="D9395" s="8"/>
      <c r="E9395" s="8"/>
      <c r="F9395" s="8"/>
    </row>
    <row r="9396" spans="2:6">
      <c r="B9396" s="44"/>
      <c r="D9396" s="8"/>
      <c r="E9396" s="8"/>
      <c r="F9396" s="8"/>
    </row>
    <row r="9397" spans="2:6">
      <c r="B9397" s="44"/>
      <c r="D9397" s="8"/>
      <c r="E9397" s="8"/>
      <c r="F9397" s="8"/>
    </row>
    <row r="9398" spans="2:6">
      <c r="B9398" s="44"/>
      <c r="D9398" s="8"/>
      <c r="E9398" s="8"/>
      <c r="F9398" s="8"/>
    </row>
    <row r="9399" spans="2:6">
      <c r="B9399" s="44"/>
      <c r="D9399" s="8"/>
      <c r="E9399" s="8"/>
      <c r="F9399" s="8"/>
    </row>
    <row r="9400" spans="2:6">
      <c r="B9400" s="44"/>
      <c r="D9400" s="8"/>
      <c r="E9400" s="8"/>
      <c r="F9400" s="8"/>
    </row>
    <row r="9401" spans="2:6">
      <c r="B9401" s="44"/>
      <c r="D9401" s="8"/>
      <c r="E9401" s="8"/>
      <c r="F9401" s="8"/>
    </row>
    <row r="9402" spans="2:6">
      <c r="B9402" s="44"/>
      <c r="D9402" s="8"/>
      <c r="E9402" s="8"/>
      <c r="F9402" s="8"/>
    </row>
    <row r="9403" spans="2:6">
      <c r="B9403" s="44"/>
      <c r="D9403" s="8"/>
      <c r="E9403" s="8"/>
      <c r="F9403" s="8"/>
    </row>
    <row r="9404" spans="2:6">
      <c r="B9404" s="44"/>
      <c r="D9404" s="8"/>
      <c r="E9404" s="8"/>
      <c r="F9404" s="8"/>
    </row>
    <row r="9405" spans="2:6">
      <c r="B9405" s="44"/>
      <c r="D9405" s="8"/>
      <c r="E9405" s="8"/>
      <c r="F9405" s="8"/>
    </row>
    <row r="9406" spans="2:6">
      <c r="B9406" s="44"/>
      <c r="D9406" s="8"/>
      <c r="E9406" s="8"/>
      <c r="F9406" s="8"/>
    </row>
    <row r="9407" spans="2:6">
      <c r="B9407" s="44"/>
      <c r="D9407" s="8"/>
      <c r="E9407" s="8"/>
      <c r="F9407" s="8"/>
    </row>
    <row r="9408" spans="2:6">
      <c r="B9408" s="44"/>
      <c r="D9408" s="8"/>
      <c r="E9408" s="8"/>
      <c r="F9408" s="8"/>
    </row>
    <row r="9409" spans="2:6">
      <c r="B9409" s="44"/>
      <c r="D9409" s="8"/>
      <c r="E9409" s="8"/>
      <c r="F9409" s="8"/>
    </row>
    <row r="9410" spans="2:6">
      <c r="B9410" s="44"/>
      <c r="D9410" s="8"/>
      <c r="E9410" s="8"/>
      <c r="F9410" s="8"/>
    </row>
    <row r="9411" spans="2:6">
      <c r="B9411" s="44"/>
      <c r="D9411" s="8"/>
      <c r="E9411" s="8"/>
      <c r="F9411" s="8"/>
    </row>
    <row r="9412" spans="2:6">
      <c r="B9412" s="44"/>
      <c r="D9412" s="8"/>
      <c r="E9412" s="8"/>
      <c r="F9412" s="8"/>
    </row>
    <row r="9413" spans="2:6">
      <c r="B9413" s="44"/>
      <c r="D9413" s="8"/>
      <c r="E9413" s="8"/>
      <c r="F9413" s="8"/>
    </row>
    <row r="9414" spans="2:6">
      <c r="B9414" s="44"/>
      <c r="D9414" s="8"/>
      <c r="E9414" s="8"/>
      <c r="F9414" s="8"/>
    </row>
    <row r="9415" spans="2:6">
      <c r="B9415" s="44"/>
      <c r="D9415" s="8"/>
      <c r="E9415" s="8"/>
      <c r="F9415" s="8"/>
    </row>
    <row r="9416" spans="2:6">
      <c r="B9416" s="44"/>
      <c r="D9416" s="8"/>
      <c r="E9416" s="8"/>
      <c r="F9416" s="8"/>
    </row>
    <row r="9417" spans="2:6">
      <c r="B9417" s="44"/>
      <c r="D9417" s="8"/>
      <c r="E9417" s="8"/>
      <c r="F9417" s="8"/>
    </row>
    <row r="9418" spans="2:6">
      <c r="B9418" s="44"/>
      <c r="D9418" s="8"/>
      <c r="E9418" s="8"/>
      <c r="F9418" s="8"/>
    </row>
    <row r="9419" spans="2:6">
      <c r="B9419" s="44"/>
      <c r="D9419" s="8"/>
      <c r="E9419" s="8"/>
      <c r="F9419" s="8"/>
    </row>
    <row r="9420" spans="2:6">
      <c r="B9420" s="44"/>
      <c r="D9420" s="8"/>
      <c r="E9420" s="8"/>
      <c r="F9420" s="8"/>
    </row>
    <row r="9421" spans="2:6">
      <c r="B9421" s="44"/>
      <c r="D9421" s="8"/>
      <c r="E9421" s="8"/>
      <c r="F9421" s="8"/>
    </row>
    <row r="9422" spans="2:6">
      <c r="B9422" s="44"/>
      <c r="D9422" s="8"/>
      <c r="E9422" s="8"/>
      <c r="F9422" s="8"/>
    </row>
    <row r="9423" spans="2:6">
      <c r="B9423" s="44"/>
      <c r="D9423" s="8"/>
      <c r="E9423" s="8"/>
      <c r="F9423" s="8"/>
    </row>
    <row r="9424" spans="2:6">
      <c r="B9424" s="44"/>
      <c r="D9424" s="8"/>
      <c r="E9424" s="8"/>
      <c r="F9424" s="8"/>
    </row>
    <row r="9425" spans="2:6">
      <c r="B9425" s="44"/>
      <c r="D9425" s="8"/>
      <c r="E9425" s="8"/>
      <c r="F9425" s="8"/>
    </row>
    <row r="9426" spans="2:6">
      <c r="B9426" s="44"/>
      <c r="D9426" s="8"/>
      <c r="E9426" s="8"/>
      <c r="F9426" s="8"/>
    </row>
    <row r="9427" spans="2:6">
      <c r="B9427" s="44"/>
      <c r="D9427" s="8"/>
      <c r="E9427" s="8"/>
      <c r="F9427" s="8"/>
    </row>
    <row r="9428" spans="2:6">
      <c r="B9428" s="44"/>
      <c r="D9428" s="8"/>
      <c r="E9428" s="8"/>
      <c r="F9428" s="8"/>
    </row>
    <row r="9429" spans="2:6">
      <c r="B9429" s="44"/>
      <c r="D9429" s="8"/>
      <c r="E9429" s="8"/>
      <c r="F9429" s="8"/>
    </row>
    <row r="9430" spans="2:6">
      <c r="B9430" s="44"/>
      <c r="D9430" s="8"/>
      <c r="E9430" s="8"/>
      <c r="F9430" s="8"/>
    </row>
    <row r="9431" spans="2:6">
      <c r="B9431" s="44"/>
      <c r="D9431" s="8"/>
      <c r="E9431" s="8"/>
      <c r="F9431" s="8"/>
    </row>
    <row r="9432" spans="2:6">
      <c r="B9432" s="44"/>
      <c r="D9432" s="8"/>
      <c r="E9432" s="8"/>
      <c r="F9432" s="8"/>
    </row>
    <row r="9433" spans="2:6">
      <c r="B9433" s="44"/>
      <c r="D9433" s="8"/>
      <c r="E9433" s="8"/>
      <c r="F9433" s="8"/>
    </row>
    <row r="9434" spans="2:6">
      <c r="B9434" s="44"/>
      <c r="D9434" s="8"/>
      <c r="E9434" s="8"/>
      <c r="F9434" s="8"/>
    </row>
    <row r="9435" spans="2:6">
      <c r="B9435" s="44"/>
      <c r="D9435" s="8"/>
      <c r="E9435" s="8"/>
      <c r="F9435" s="8"/>
    </row>
    <row r="9436" spans="2:6">
      <c r="B9436" s="44"/>
      <c r="D9436" s="8"/>
      <c r="E9436" s="8"/>
      <c r="F9436" s="8"/>
    </row>
    <row r="9437" spans="2:6">
      <c r="B9437" s="44"/>
      <c r="D9437" s="8"/>
      <c r="E9437" s="8"/>
      <c r="F9437" s="8"/>
    </row>
    <row r="9438" spans="2:6">
      <c r="B9438" s="44"/>
      <c r="D9438" s="8"/>
      <c r="E9438" s="8"/>
      <c r="F9438" s="8"/>
    </row>
    <row r="9439" spans="2:6">
      <c r="B9439" s="44"/>
      <c r="D9439" s="8"/>
      <c r="E9439" s="8"/>
      <c r="F9439" s="8"/>
    </row>
    <row r="9440" spans="2:6">
      <c r="B9440" s="44"/>
      <c r="D9440" s="8"/>
      <c r="E9440" s="8"/>
      <c r="F9440" s="8"/>
    </row>
    <row r="9441" spans="2:6">
      <c r="B9441" s="44"/>
      <c r="D9441" s="8"/>
      <c r="E9441" s="8"/>
      <c r="F9441" s="8"/>
    </row>
    <row r="9442" spans="2:6">
      <c r="B9442" s="44"/>
      <c r="D9442" s="8"/>
      <c r="E9442" s="8"/>
      <c r="F9442" s="8"/>
    </row>
    <row r="9443" spans="2:6">
      <c r="B9443" s="44"/>
      <c r="D9443" s="8"/>
      <c r="E9443" s="8"/>
      <c r="F9443" s="8"/>
    </row>
    <row r="9444" spans="2:6">
      <c r="B9444" s="44"/>
      <c r="D9444" s="8"/>
      <c r="E9444" s="8"/>
      <c r="F9444" s="8"/>
    </row>
    <row r="9445" spans="2:6">
      <c r="B9445" s="44"/>
      <c r="D9445" s="8"/>
      <c r="E9445" s="8"/>
      <c r="F9445" s="8"/>
    </row>
    <row r="9446" spans="2:6">
      <c r="B9446" s="44"/>
      <c r="D9446" s="8"/>
      <c r="E9446" s="8"/>
      <c r="F9446" s="8"/>
    </row>
    <row r="9447" spans="2:6">
      <c r="B9447" s="44"/>
      <c r="D9447" s="8"/>
      <c r="E9447" s="8"/>
      <c r="F9447" s="8"/>
    </row>
    <row r="9448" spans="2:6">
      <c r="B9448" s="44"/>
      <c r="D9448" s="8"/>
      <c r="E9448" s="8"/>
      <c r="F9448" s="8"/>
    </row>
    <row r="9449" spans="2:6">
      <c r="B9449" s="44"/>
      <c r="D9449" s="8"/>
      <c r="E9449" s="8"/>
      <c r="F9449" s="8"/>
    </row>
    <row r="9450" spans="2:6">
      <c r="B9450" s="44"/>
      <c r="D9450" s="8"/>
      <c r="E9450" s="8"/>
      <c r="F9450" s="8"/>
    </row>
    <row r="9451" spans="2:6">
      <c r="B9451" s="44"/>
      <c r="D9451" s="8"/>
      <c r="E9451" s="8"/>
      <c r="F9451" s="8"/>
    </row>
    <row r="9452" spans="2:6">
      <c r="B9452" s="44"/>
      <c r="D9452" s="8"/>
      <c r="E9452" s="8"/>
      <c r="F9452" s="8"/>
    </row>
    <row r="9453" spans="2:6">
      <c r="B9453" s="44"/>
      <c r="D9453" s="8"/>
      <c r="E9453" s="8"/>
      <c r="F9453" s="8"/>
    </row>
    <row r="9454" spans="2:6">
      <c r="B9454" s="44"/>
      <c r="D9454" s="8"/>
      <c r="E9454" s="8"/>
      <c r="F9454" s="8"/>
    </row>
    <row r="9455" spans="2:6">
      <c r="B9455" s="44"/>
      <c r="D9455" s="8"/>
      <c r="E9455" s="8"/>
      <c r="F9455" s="8"/>
    </row>
    <row r="9456" spans="2:6">
      <c r="B9456" s="44"/>
      <c r="D9456" s="8"/>
      <c r="E9456" s="8"/>
      <c r="F9456" s="8"/>
    </row>
    <row r="9457" spans="2:6">
      <c r="B9457" s="44"/>
      <c r="D9457" s="8"/>
      <c r="E9457" s="8"/>
      <c r="F9457" s="8"/>
    </row>
    <row r="9458" spans="2:6">
      <c r="B9458" s="44"/>
      <c r="D9458" s="8"/>
      <c r="E9458" s="8"/>
      <c r="F9458" s="8"/>
    </row>
    <row r="9459" spans="2:6">
      <c r="B9459" s="44"/>
      <c r="D9459" s="8"/>
      <c r="E9459" s="8"/>
      <c r="F9459" s="8"/>
    </row>
    <row r="9460" spans="2:6">
      <c r="B9460" s="44"/>
      <c r="D9460" s="8"/>
      <c r="E9460" s="8"/>
      <c r="F9460" s="8"/>
    </row>
    <row r="9461" spans="2:6">
      <c r="B9461" s="44"/>
      <c r="D9461" s="8"/>
      <c r="E9461" s="8"/>
      <c r="F9461" s="8"/>
    </row>
    <row r="9462" spans="2:6">
      <c r="B9462" s="44"/>
      <c r="D9462" s="8"/>
      <c r="E9462" s="8"/>
      <c r="F9462" s="8"/>
    </row>
    <row r="9463" spans="2:6">
      <c r="B9463" s="44"/>
      <c r="D9463" s="8"/>
      <c r="E9463" s="8"/>
      <c r="F9463" s="8"/>
    </row>
    <row r="9464" spans="2:6">
      <c r="B9464" s="44"/>
      <c r="D9464" s="8"/>
      <c r="E9464" s="8"/>
      <c r="F9464" s="8"/>
    </row>
    <row r="9465" spans="2:6">
      <c r="B9465" s="44"/>
      <c r="D9465" s="8"/>
      <c r="E9465" s="8"/>
      <c r="F9465" s="8"/>
    </row>
    <row r="9466" spans="2:6">
      <c r="B9466" s="44"/>
      <c r="D9466" s="8"/>
      <c r="E9466" s="8"/>
      <c r="F9466" s="8"/>
    </row>
    <row r="9467" spans="2:6">
      <c r="B9467" s="44"/>
      <c r="D9467" s="8"/>
      <c r="E9467" s="8"/>
      <c r="F9467" s="8"/>
    </row>
    <row r="9468" spans="2:6">
      <c r="B9468" s="44"/>
      <c r="D9468" s="8"/>
      <c r="E9468" s="8"/>
      <c r="F9468" s="8"/>
    </row>
    <row r="9469" spans="2:6">
      <c r="B9469" s="44"/>
      <c r="D9469" s="8"/>
      <c r="E9469" s="8"/>
      <c r="F9469" s="8"/>
    </row>
    <row r="9470" spans="2:6">
      <c r="B9470" s="44"/>
      <c r="D9470" s="8"/>
      <c r="E9470" s="8"/>
      <c r="F9470" s="8"/>
    </row>
    <row r="9471" spans="2:6">
      <c r="B9471" s="44"/>
      <c r="D9471" s="8"/>
      <c r="E9471" s="8"/>
      <c r="F9471" s="8"/>
    </row>
    <row r="9472" spans="2:6">
      <c r="B9472" s="44"/>
      <c r="D9472" s="8"/>
      <c r="E9472" s="8"/>
      <c r="F9472" s="8"/>
    </row>
    <row r="9473" spans="2:6">
      <c r="B9473" s="44"/>
      <c r="D9473" s="8"/>
      <c r="E9473" s="8"/>
      <c r="F9473" s="8"/>
    </row>
    <row r="9474" spans="2:6">
      <c r="B9474" s="44"/>
      <c r="D9474" s="8"/>
      <c r="E9474" s="8"/>
      <c r="F9474" s="8"/>
    </row>
    <row r="9475" spans="2:6">
      <c r="B9475" s="44"/>
      <c r="D9475" s="8"/>
      <c r="E9475" s="8"/>
      <c r="F9475" s="8"/>
    </row>
    <row r="9476" spans="2:6">
      <c r="B9476" s="44"/>
      <c r="D9476" s="8"/>
      <c r="E9476" s="8"/>
      <c r="F9476" s="8"/>
    </row>
    <row r="9477" spans="2:6">
      <c r="B9477" s="44"/>
      <c r="D9477" s="8"/>
      <c r="E9477" s="8"/>
      <c r="F9477" s="8"/>
    </row>
    <row r="9478" spans="2:6">
      <c r="B9478" s="44"/>
      <c r="D9478" s="8"/>
      <c r="E9478" s="8"/>
      <c r="F9478" s="8"/>
    </row>
    <row r="9479" spans="2:6">
      <c r="B9479" s="44"/>
      <c r="D9479" s="8"/>
      <c r="E9479" s="8"/>
      <c r="F9479" s="8"/>
    </row>
    <row r="9480" spans="2:6">
      <c r="B9480" s="44"/>
      <c r="D9480" s="8"/>
      <c r="E9480" s="8"/>
      <c r="F9480" s="8"/>
    </row>
    <row r="9481" spans="2:6">
      <c r="B9481" s="44"/>
      <c r="D9481" s="8"/>
      <c r="E9481" s="8"/>
      <c r="F9481" s="8"/>
    </row>
    <row r="9482" spans="2:6">
      <c r="B9482" s="44"/>
      <c r="D9482" s="8"/>
      <c r="E9482" s="8"/>
      <c r="F9482" s="8"/>
    </row>
    <row r="9483" spans="2:6">
      <c r="B9483" s="44"/>
      <c r="D9483" s="8"/>
      <c r="E9483" s="8"/>
      <c r="F9483" s="8"/>
    </row>
    <row r="9484" spans="2:6">
      <c r="B9484" s="44"/>
      <c r="D9484" s="8"/>
      <c r="E9484" s="8"/>
      <c r="F9484" s="8"/>
    </row>
    <row r="9485" spans="2:6">
      <c r="B9485" s="44"/>
      <c r="D9485" s="8"/>
      <c r="E9485" s="8"/>
      <c r="F9485" s="8"/>
    </row>
    <row r="9486" spans="2:6">
      <c r="B9486" s="44"/>
      <c r="D9486" s="8"/>
      <c r="E9486" s="8"/>
      <c r="F9486" s="8"/>
    </row>
    <row r="9487" spans="2:6">
      <c r="B9487" s="44"/>
      <c r="D9487" s="8"/>
      <c r="E9487" s="8"/>
      <c r="F9487" s="8"/>
    </row>
    <row r="9488" spans="2:6">
      <c r="B9488" s="44"/>
      <c r="D9488" s="8"/>
      <c r="E9488" s="8"/>
      <c r="F9488" s="8"/>
    </row>
    <row r="9489" spans="2:6">
      <c r="B9489" s="44"/>
      <c r="D9489" s="8"/>
      <c r="E9489" s="8"/>
      <c r="F9489" s="8"/>
    </row>
    <row r="9490" spans="2:6">
      <c r="B9490" s="44"/>
      <c r="D9490" s="8"/>
      <c r="E9490" s="8"/>
      <c r="F9490" s="8"/>
    </row>
    <row r="9491" spans="2:6">
      <c r="B9491" s="44"/>
      <c r="D9491" s="8"/>
      <c r="E9491" s="8"/>
      <c r="F9491" s="8"/>
    </row>
    <row r="9492" spans="2:6">
      <c r="B9492" s="44"/>
      <c r="D9492" s="8"/>
      <c r="E9492" s="8"/>
      <c r="F9492" s="8"/>
    </row>
    <row r="9493" spans="2:6">
      <c r="B9493" s="44"/>
      <c r="D9493" s="8"/>
      <c r="E9493" s="8"/>
      <c r="F9493" s="8"/>
    </row>
    <row r="9494" spans="2:6">
      <c r="B9494" s="44"/>
      <c r="D9494" s="8"/>
      <c r="E9494" s="8"/>
      <c r="F9494" s="8"/>
    </row>
    <row r="9495" spans="2:6">
      <c r="B9495" s="44"/>
      <c r="D9495" s="8"/>
      <c r="E9495" s="8"/>
      <c r="F9495" s="8"/>
    </row>
    <row r="9496" spans="2:6">
      <c r="B9496" s="44"/>
      <c r="D9496" s="8"/>
      <c r="E9496" s="8"/>
      <c r="F9496" s="8"/>
    </row>
    <row r="9497" spans="2:6">
      <c r="B9497" s="44"/>
      <c r="D9497" s="8"/>
      <c r="E9497" s="8"/>
      <c r="F9497" s="8"/>
    </row>
    <row r="9498" spans="2:6">
      <c r="B9498" s="44"/>
      <c r="D9498" s="8"/>
      <c r="E9498" s="8"/>
      <c r="F9498" s="8"/>
    </row>
    <row r="9499" spans="2:6">
      <c r="B9499" s="44"/>
      <c r="D9499" s="8"/>
      <c r="E9499" s="8"/>
      <c r="F9499" s="8"/>
    </row>
    <row r="9500" spans="2:6">
      <c r="B9500" s="44"/>
      <c r="D9500" s="8"/>
      <c r="E9500" s="8"/>
      <c r="F9500" s="8"/>
    </row>
    <row r="9501" spans="2:6">
      <c r="B9501" s="44"/>
      <c r="D9501" s="8"/>
      <c r="E9501" s="8"/>
      <c r="F9501" s="8"/>
    </row>
    <row r="9502" spans="2:6">
      <c r="B9502" s="44"/>
      <c r="D9502" s="8"/>
      <c r="E9502" s="8"/>
      <c r="F9502" s="8"/>
    </row>
    <row r="9503" spans="2:6">
      <c r="B9503" s="44"/>
      <c r="D9503" s="8"/>
      <c r="E9503" s="8"/>
      <c r="F9503" s="8"/>
    </row>
    <row r="9504" spans="2:6">
      <c r="B9504" s="44"/>
      <c r="D9504" s="8"/>
      <c r="E9504" s="8"/>
      <c r="F9504" s="8"/>
    </row>
    <row r="9505" spans="2:6">
      <c r="B9505" s="44"/>
      <c r="D9505" s="8"/>
      <c r="E9505" s="8"/>
      <c r="F9505" s="8"/>
    </row>
    <row r="9506" spans="2:6">
      <c r="B9506" s="44"/>
      <c r="D9506" s="8"/>
      <c r="E9506" s="8"/>
      <c r="F9506" s="8"/>
    </row>
    <row r="9507" spans="2:6">
      <c r="B9507" s="44"/>
      <c r="D9507" s="8"/>
      <c r="E9507" s="8"/>
      <c r="F9507" s="8"/>
    </row>
    <row r="9508" spans="2:6">
      <c r="B9508" s="44"/>
      <c r="D9508" s="8"/>
      <c r="E9508" s="8"/>
      <c r="F9508" s="8"/>
    </row>
    <row r="9509" spans="2:6">
      <c r="B9509" s="44"/>
      <c r="D9509" s="8"/>
      <c r="E9509" s="8"/>
      <c r="F9509" s="8"/>
    </row>
    <row r="9510" spans="2:6">
      <c r="B9510" s="44"/>
      <c r="D9510" s="8"/>
      <c r="E9510" s="8"/>
      <c r="F9510" s="8"/>
    </row>
    <row r="9511" spans="2:6">
      <c r="B9511" s="44"/>
      <c r="D9511" s="8"/>
      <c r="E9511" s="8"/>
      <c r="F9511" s="8"/>
    </row>
    <row r="9512" spans="2:6">
      <c r="B9512" s="44"/>
      <c r="D9512" s="8"/>
      <c r="E9512" s="8"/>
      <c r="F9512" s="8"/>
    </row>
    <row r="9513" spans="2:6">
      <c r="B9513" s="44"/>
      <c r="D9513" s="8"/>
      <c r="E9513" s="8"/>
      <c r="F9513" s="8"/>
    </row>
    <row r="9514" spans="2:6">
      <c r="B9514" s="44"/>
      <c r="D9514" s="8"/>
      <c r="E9514" s="8"/>
      <c r="F9514" s="8"/>
    </row>
    <row r="9515" spans="2:6">
      <c r="B9515" s="44"/>
      <c r="D9515" s="8"/>
      <c r="E9515" s="8"/>
      <c r="F9515" s="8"/>
    </row>
    <row r="9516" spans="2:6">
      <c r="B9516" s="44"/>
      <c r="D9516" s="8"/>
      <c r="E9516" s="8"/>
      <c r="F9516" s="8"/>
    </row>
    <row r="9517" spans="2:6">
      <c r="B9517" s="44"/>
      <c r="D9517" s="8"/>
      <c r="E9517" s="8"/>
      <c r="F9517" s="8"/>
    </row>
    <row r="9518" spans="2:6">
      <c r="B9518" s="44"/>
      <c r="D9518" s="8"/>
      <c r="E9518" s="8"/>
      <c r="F9518" s="8"/>
    </row>
    <row r="9519" spans="2:6">
      <c r="B9519" s="44"/>
      <c r="D9519" s="8"/>
      <c r="E9519" s="8"/>
      <c r="F9519" s="8"/>
    </row>
    <row r="9520" spans="2:6">
      <c r="B9520" s="44"/>
      <c r="D9520" s="8"/>
      <c r="E9520" s="8"/>
      <c r="F9520" s="8"/>
    </row>
    <row r="9521" spans="2:6">
      <c r="B9521" s="44"/>
      <c r="D9521" s="8"/>
      <c r="E9521" s="8"/>
      <c r="F9521" s="8"/>
    </row>
    <row r="9522" spans="2:6">
      <c r="B9522" s="44"/>
      <c r="D9522" s="8"/>
      <c r="E9522" s="8"/>
      <c r="F9522" s="8"/>
    </row>
    <row r="9523" spans="2:6">
      <c r="B9523" s="44"/>
      <c r="D9523" s="8"/>
      <c r="E9523" s="8"/>
      <c r="F9523" s="8"/>
    </row>
    <row r="9524" spans="2:6">
      <c r="B9524" s="44"/>
      <c r="D9524" s="8"/>
      <c r="E9524" s="8"/>
      <c r="F9524" s="8"/>
    </row>
    <row r="9525" spans="2:6">
      <c r="B9525" s="44"/>
      <c r="D9525" s="8"/>
      <c r="E9525" s="8"/>
      <c r="F9525" s="8"/>
    </row>
    <row r="9526" spans="2:6">
      <c r="B9526" s="44"/>
      <c r="D9526" s="8"/>
      <c r="E9526" s="8"/>
      <c r="F9526" s="8"/>
    </row>
    <row r="9527" spans="2:6">
      <c r="B9527" s="44"/>
      <c r="D9527" s="8"/>
      <c r="E9527" s="8"/>
      <c r="F9527" s="8"/>
    </row>
    <row r="9528" spans="2:6">
      <c r="B9528" s="44"/>
      <c r="D9528" s="8"/>
      <c r="E9528" s="8"/>
      <c r="F9528" s="8"/>
    </row>
    <row r="9529" spans="2:6">
      <c r="B9529" s="44"/>
      <c r="D9529" s="8"/>
      <c r="E9529" s="8"/>
      <c r="F9529" s="8"/>
    </row>
    <row r="9530" spans="2:6">
      <c r="B9530" s="44"/>
      <c r="D9530" s="8"/>
      <c r="E9530" s="8"/>
      <c r="F9530" s="8"/>
    </row>
    <row r="9531" spans="2:6">
      <c r="B9531" s="44"/>
      <c r="D9531" s="8"/>
      <c r="E9531" s="8"/>
      <c r="F9531" s="8"/>
    </row>
    <row r="9532" spans="2:6">
      <c r="B9532" s="44"/>
      <c r="D9532" s="8"/>
      <c r="E9532" s="8"/>
      <c r="F9532" s="8"/>
    </row>
    <row r="9533" spans="2:6">
      <c r="B9533" s="44"/>
      <c r="D9533" s="8"/>
      <c r="E9533" s="8"/>
      <c r="F9533" s="8"/>
    </row>
    <row r="9534" spans="2:6">
      <c r="B9534" s="44"/>
      <c r="D9534" s="8"/>
      <c r="E9534" s="8"/>
      <c r="F9534" s="8"/>
    </row>
    <row r="9535" spans="2:6">
      <c r="B9535" s="44"/>
      <c r="D9535" s="8"/>
      <c r="E9535" s="8"/>
      <c r="F9535" s="8"/>
    </row>
    <row r="9536" spans="2:6">
      <c r="B9536" s="44"/>
      <c r="D9536" s="8"/>
      <c r="E9536" s="8"/>
      <c r="F9536" s="8"/>
    </row>
    <row r="9537" spans="2:6">
      <c r="B9537" s="44"/>
      <c r="D9537" s="8"/>
      <c r="E9537" s="8"/>
      <c r="F9537" s="8"/>
    </row>
    <row r="9538" spans="2:6">
      <c r="B9538" s="44"/>
      <c r="D9538" s="8"/>
      <c r="E9538" s="8"/>
      <c r="F9538" s="8"/>
    </row>
    <row r="9539" spans="2:6">
      <c r="B9539" s="44"/>
      <c r="D9539" s="8"/>
      <c r="E9539" s="8"/>
      <c r="F9539" s="8"/>
    </row>
    <row r="9540" spans="2:6">
      <c r="B9540" s="44"/>
      <c r="D9540" s="8"/>
      <c r="E9540" s="8"/>
      <c r="F9540" s="8"/>
    </row>
    <row r="9541" spans="2:6">
      <c r="B9541" s="44"/>
      <c r="D9541" s="8"/>
      <c r="E9541" s="8"/>
      <c r="F9541" s="8"/>
    </row>
    <row r="9542" spans="2:6">
      <c r="B9542" s="44"/>
      <c r="D9542" s="8"/>
      <c r="E9542" s="8"/>
      <c r="F9542" s="8"/>
    </row>
    <row r="9543" spans="2:6">
      <c r="B9543" s="44"/>
      <c r="D9543" s="8"/>
      <c r="E9543" s="8"/>
      <c r="F9543" s="8"/>
    </row>
    <row r="9544" spans="2:6">
      <c r="B9544" s="44"/>
      <c r="D9544" s="8"/>
      <c r="E9544" s="8"/>
      <c r="F9544" s="8"/>
    </row>
    <row r="9545" spans="2:6">
      <c r="B9545" s="44"/>
      <c r="D9545" s="8"/>
      <c r="E9545" s="8"/>
      <c r="F9545" s="8"/>
    </row>
    <row r="9546" spans="2:6">
      <c r="B9546" s="44"/>
      <c r="D9546" s="8"/>
      <c r="E9546" s="8"/>
      <c r="F9546" s="8"/>
    </row>
    <row r="9547" spans="2:6">
      <c r="B9547" s="44"/>
      <c r="D9547" s="8"/>
      <c r="E9547" s="8"/>
      <c r="F9547" s="8"/>
    </row>
    <row r="9548" spans="2:6">
      <c r="B9548" s="44"/>
      <c r="D9548" s="8"/>
      <c r="E9548" s="8"/>
      <c r="F9548" s="8"/>
    </row>
    <row r="9549" spans="2:6">
      <c r="B9549" s="44"/>
      <c r="D9549" s="8"/>
      <c r="E9549" s="8"/>
      <c r="F9549" s="8"/>
    </row>
    <row r="9550" spans="2:6">
      <c r="B9550" s="44"/>
      <c r="D9550" s="8"/>
      <c r="E9550" s="8"/>
      <c r="F9550" s="8"/>
    </row>
    <row r="9551" spans="2:6">
      <c r="B9551" s="44"/>
      <c r="D9551" s="8"/>
      <c r="E9551" s="8"/>
      <c r="F9551" s="8"/>
    </row>
    <row r="9552" spans="2:6">
      <c r="B9552" s="44"/>
      <c r="D9552" s="8"/>
      <c r="E9552" s="8"/>
      <c r="F9552" s="8"/>
    </row>
    <row r="9553" spans="2:6">
      <c r="B9553" s="44"/>
      <c r="D9553" s="8"/>
      <c r="E9553" s="8"/>
      <c r="F9553" s="8"/>
    </row>
    <row r="9554" spans="2:6">
      <c r="B9554" s="44"/>
      <c r="D9554" s="8"/>
      <c r="E9554" s="8"/>
      <c r="F9554" s="8"/>
    </row>
    <row r="9555" spans="2:6">
      <c r="B9555" s="44"/>
      <c r="D9555" s="8"/>
      <c r="E9555" s="8"/>
      <c r="F9555" s="8"/>
    </row>
    <row r="9556" spans="2:6">
      <c r="B9556" s="44"/>
      <c r="D9556" s="8"/>
      <c r="E9556" s="8"/>
      <c r="F9556" s="8"/>
    </row>
    <row r="9557" spans="2:6">
      <c r="B9557" s="44"/>
      <c r="D9557" s="8"/>
      <c r="E9557" s="8"/>
      <c r="F9557" s="8"/>
    </row>
    <row r="9558" spans="2:6">
      <c r="B9558" s="44"/>
      <c r="D9558" s="8"/>
      <c r="E9558" s="8"/>
      <c r="F9558" s="8"/>
    </row>
    <row r="9559" spans="2:6">
      <c r="B9559" s="44"/>
      <c r="D9559" s="8"/>
      <c r="E9559" s="8"/>
      <c r="F9559" s="8"/>
    </row>
    <row r="9560" spans="2:6">
      <c r="B9560" s="44"/>
      <c r="D9560" s="8"/>
      <c r="E9560" s="8"/>
      <c r="F9560" s="8"/>
    </row>
    <row r="9561" spans="2:6">
      <c r="B9561" s="44"/>
      <c r="D9561" s="8"/>
      <c r="E9561" s="8"/>
      <c r="F9561" s="8"/>
    </row>
    <row r="9562" spans="2:6">
      <c r="B9562" s="44"/>
      <c r="D9562" s="8"/>
      <c r="E9562" s="8"/>
      <c r="F9562" s="8"/>
    </row>
    <row r="9563" spans="2:6">
      <c r="B9563" s="44"/>
      <c r="D9563" s="8"/>
      <c r="E9563" s="8"/>
      <c r="F9563" s="8"/>
    </row>
    <row r="9564" spans="2:6">
      <c r="B9564" s="44"/>
      <c r="D9564" s="8"/>
      <c r="E9564" s="8"/>
      <c r="F9564" s="8"/>
    </row>
    <row r="9565" spans="2:6">
      <c r="B9565" s="44"/>
      <c r="D9565" s="8"/>
      <c r="E9565" s="8"/>
      <c r="F9565" s="8"/>
    </row>
    <row r="9566" spans="2:6">
      <c r="B9566" s="44"/>
      <c r="D9566" s="8"/>
      <c r="E9566" s="8"/>
      <c r="F9566" s="8"/>
    </row>
    <row r="9567" spans="2:6">
      <c r="B9567" s="44"/>
      <c r="D9567" s="8"/>
      <c r="E9567" s="8"/>
      <c r="F9567" s="8"/>
    </row>
    <row r="9568" spans="2:6">
      <c r="B9568" s="44"/>
      <c r="D9568" s="8"/>
      <c r="E9568" s="8"/>
      <c r="F9568" s="8"/>
    </row>
    <row r="9569" spans="2:6">
      <c r="B9569" s="44"/>
      <c r="D9569" s="8"/>
      <c r="E9569" s="8"/>
      <c r="F9569" s="8"/>
    </row>
    <row r="9570" spans="2:6">
      <c r="B9570" s="44"/>
      <c r="D9570" s="8"/>
      <c r="E9570" s="8"/>
      <c r="F9570" s="8"/>
    </row>
    <row r="9571" spans="2:6">
      <c r="B9571" s="44"/>
      <c r="D9571" s="8"/>
      <c r="E9571" s="8"/>
      <c r="F9571" s="8"/>
    </row>
    <row r="9572" spans="2:6">
      <c r="B9572" s="44"/>
      <c r="D9572" s="8"/>
      <c r="E9572" s="8"/>
      <c r="F9572" s="8"/>
    </row>
    <row r="9573" spans="2:6">
      <c r="B9573" s="44"/>
      <c r="D9573" s="8"/>
      <c r="E9573" s="8"/>
      <c r="F9573" s="8"/>
    </row>
    <row r="9574" spans="2:6">
      <c r="B9574" s="44"/>
      <c r="D9574" s="8"/>
      <c r="E9574" s="8"/>
      <c r="F9574" s="8"/>
    </row>
    <row r="9575" spans="2:6">
      <c r="B9575" s="44"/>
      <c r="D9575" s="8"/>
      <c r="E9575" s="8"/>
      <c r="F9575" s="8"/>
    </row>
    <row r="9576" spans="2:6">
      <c r="B9576" s="44"/>
      <c r="D9576" s="8"/>
      <c r="E9576" s="8"/>
      <c r="F9576" s="8"/>
    </row>
    <row r="9577" spans="2:6">
      <c r="B9577" s="44"/>
      <c r="D9577" s="8"/>
      <c r="E9577" s="8"/>
      <c r="F9577" s="8"/>
    </row>
    <row r="9578" spans="2:6">
      <c r="B9578" s="44"/>
      <c r="D9578" s="8"/>
      <c r="E9578" s="8"/>
      <c r="F9578" s="8"/>
    </row>
    <row r="9579" spans="2:6">
      <c r="B9579" s="44"/>
      <c r="D9579" s="8"/>
      <c r="E9579" s="8"/>
      <c r="F9579" s="8"/>
    </row>
    <row r="9580" spans="2:6">
      <c r="B9580" s="44"/>
      <c r="D9580" s="8"/>
      <c r="E9580" s="8"/>
      <c r="F9580" s="8"/>
    </row>
    <row r="9581" spans="2:6">
      <c r="B9581" s="44"/>
      <c r="D9581" s="8"/>
      <c r="E9581" s="8"/>
      <c r="F9581" s="8"/>
    </row>
    <row r="9582" spans="2:6">
      <c r="B9582" s="44"/>
      <c r="D9582" s="8"/>
      <c r="E9582" s="8"/>
      <c r="F9582" s="8"/>
    </row>
    <row r="9583" spans="2:6">
      <c r="B9583" s="44"/>
      <c r="D9583" s="8"/>
      <c r="E9583" s="8"/>
      <c r="F9583" s="8"/>
    </row>
    <row r="9584" spans="2:6">
      <c r="B9584" s="44"/>
      <c r="D9584" s="8"/>
      <c r="E9584" s="8"/>
      <c r="F9584" s="8"/>
    </row>
    <row r="9585" spans="2:6">
      <c r="B9585" s="44"/>
      <c r="D9585" s="8"/>
      <c r="E9585" s="8"/>
      <c r="F9585" s="8"/>
    </row>
    <row r="9586" spans="2:6">
      <c r="B9586" s="44"/>
      <c r="D9586" s="8"/>
      <c r="E9586" s="8"/>
      <c r="F9586" s="8"/>
    </row>
    <row r="9587" spans="2:6">
      <c r="B9587" s="44"/>
      <c r="D9587" s="8"/>
      <c r="E9587" s="8"/>
      <c r="F9587" s="8"/>
    </row>
    <row r="9588" spans="2:6">
      <c r="B9588" s="44"/>
      <c r="D9588" s="8"/>
      <c r="E9588" s="8"/>
      <c r="F9588" s="8"/>
    </row>
    <row r="9589" spans="2:6">
      <c r="B9589" s="44"/>
      <c r="D9589" s="8"/>
      <c r="E9589" s="8"/>
      <c r="F9589" s="8"/>
    </row>
    <row r="9590" spans="2:6">
      <c r="B9590" s="44"/>
      <c r="D9590" s="8"/>
      <c r="E9590" s="8"/>
      <c r="F9590" s="8"/>
    </row>
    <row r="9591" spans="2:6">
      <c r="B9591" s="44"/>
      <c r="D9591" s="8"/>
      <c r="E9591" s="8"/>
      <c r="F9591" s="8"/>
    </row>
    <row r="9592" spans="2:6">
      <c r="B9592" s="44"/>
      <c r="D9592" s="8"/>
      <c r="E9592" s="8"/>
      <c r="F9592" s="8"/>
    </row>
    <row r="9593" spans="2:6">
      <c r="B9593" s="44"/>
      <c r="D9593" s="8"/>
      <c r="E9593" s="8"/>
      <c r="F9593" s="8"/>
    </row>
    <row r="9594" spans="2:6">
      <c r="B9594" s="44"/>
      <c r="D9594" s="8"/>
      <c r="E9594" s="8"/>
      <c r="F9594" s="8"/>
    </row>
    <row r="9595" spans="2:6">
      <c r="B9595" s="44"/>
      <c r="D9595" s="8"/>
      <c r="E9595" s="8"/>
      <c r="F9595" s="8"/>
    </row>
    <row r="9596" spans="2:6">
      <c r="B9596" s="44"/>
      <c r="D9596" s="8"/>
      <c r="E9596" s="8"/>
      <c r="F9596" s="8"/>
    </row>
    <row r="9597" spans="2:6">
      <c r="B9597" s="44"/>
      <c r="D9597" s="8"/>
      <c r="E9597" s="8"/>
      <c r="F9597" s="8"/>
    </row>
    <row r="9598" spans="2:6">
      <c r="B9598" s="44"/>
      <c r="D9598" s="8"/>
      <c r="E9598" s="8"/>
      <c r="F9598" s="8"/>
    </row>
    <row r="9599" spans="2:6">
      <c r="B9599" s="44"/>
      <c r="D9599" s="8"/>
      <c r="E9599" s="8"/>
      <c r="F9599" s="8"/>
    </row>
    <row r="9600" spans="2:6">
      <c r="B9600" s="44"/>
      <c r="D9600" s="8"/>
      <c r="E9600" s="8"/>
      <c r="F9600" s="8"/>
    </row>
    <row r="9601" spans="2:6">
      <c r="B9601" s="44"/>
      <c r="D9601" s="8"/>
      <c r="E9601" s="8"/>
      <c r="F9601" s="8"/>
    </row>
    <row r="9602" spans="2:6">
      <c r="B9602" s="44"/>
      <c r="D9602" s="8"/>
      <c r="E9602" s="8"/>
      <c r="F9602" s="8"/>
    </row>
    <row r="9603" spans="2:6">
      <c r="B9603" s="44"/>
      <c r="D9603" s="8"/>
      <c r="E9603" s="8"/>
      <c r="F9603" s="8"/>
    </row>
    <row r="9604" spans="2:6">
      <c r="B9604" s="44"/>
      <c r="D9604" s="8"/>
      <c r="E9604" s="8"/>
      <c r="F9604" s="8"/>
    </row>
    <row r="9605" spans="2:6">
      <c r="B9605" s="44"/>
      <c r="D9605" s="8"/>
      <c r="E9605" s="8"/>
      <c r="F9605" s="8"/>
    </row>
    <row r="9606" spans="2:6">
      <c r="B9606" s="44"/>
      <c r="D9606" s="8"/>
      <c r="E9606" s="8"/>
      <c r="F9606" s="8"/>
    </row>
    <row r="9607" spans="2:6">
      <c r="B9607" s="44"/>
      <c r="D9607" s="8"/>
      <c r="E9607" s="8"/>
      <c r="F9607" s="8"/>
    </row>
    <row r="9608" spans="2:6">
      <c r="B9608" s="44"/>
      <c r="D9608" s="8"/>
      <c r="E9608" s="8"/>
      <c r="F9608" s="8"/>
    </row>
    <row r="9609" spans="2:6">
      <c r="B9609" s="44"/>
      <c r="D9609" s="8"/>
      <c r="E9609" s="8"/>
      <c r="F9609" s="8"/>
    </row>
    <row r="9610" spans="2:6">
      <c r="B9610" s="44"/>
      <c r="D9610" s="8"/>
      <c r="E9610" s="8"/>
      <c r="F9610" s="8"/>
    </row>
    <row r="9611" spans="2:6">
      <c r="B9611" s="44"/>
      <c r="D9611" s="8"/>
      <c r="E9611" s="8"/>
      <c r="F9611" s="8"/>
    </row>
    <row r="9612" spans="2:6">
      <c r="B9612" s="44"/>
      <c r="D9612" s="8"/>
      <c r="E9612" s="8"/>
      <c r="F9612" s="8"/>
    </row>
    <row r="9613" spans="2:6">
      <c r="B9613" s="44"/>
      <c r="D9613" s="8"/>
      <c r="E9613" s="8"/>
      <c r="F9613" s="8"/>
    </row>
    <row r="9614" spans="2:6">
      <c r="B9614" s="44"/>
      <c r="D9614" s="8"/>
      <c r="E9614" s="8"/>
      <c r="F9614" s="8"/>
    </row>
    <row r="9615" spans="2:6">
      <c r="B9615" s="44"/>
      <c r="D9615" s="8"/>
      <c r="E9615" s="8"/>
      <c r="F9615" s="8"/>
    </row>
    <row r="9616" spans="2:6">
      <c r="B9616" s="44"/>
      <c r="D9616" s="8"/>
      <c r="E9616" s="8"/>
      <c r="F9616" s="8"/>
    </row>
    <row r="9617" spans="2:6">
      <c r="B9617" s="44"/>
      <c r="D9617" s="8"/>
      <c r="E9617" s="8"/>
      <c r="F9617" s="8"/>
    </row>
    <row r="9618" spans="2:6">
      <c r="B9618" s="44"/>
      <c r="D9618" s="8"/>
      <c r="E9618" s="8"/>
      <c r="F9618" s="8"/>
    </row>
    <row r="9619" spans="2:6">
      <c r="B9619" s="44"/>
      <c r="D9619" s="8"/>
      <c r="E9619" s="8"/>
      <c r="F9619" s="8"/>
    </row>
    <row r="9620" spans="2:6">
      <c r="B9620" s="44"/>
      <c r="D9620" s="8"/>
      <c r="E9620" s="8"/>
      <c r="F9620" s="8"/>
    </row>
    <row r="9621" spans="2:6">
      <c r="B9621" s="44"/>
      <c r="D9621" s="8"/>
      <c r="E9621" s="8"/>
      <c r="F9621" s="8"/>
    </row>
    <row r="9622" spans="2:6">
      <c r="B9622" s="44"/>
      <c r="D9622" s="8"/>
      <c r="E9622" s="8"/>
      <c r="F9622" s="8"/>
    </row>
    <row r="9623" spans="2:6">
      <c r="B9623" s="44"/>
      <c r="D9623" s="8"/>
      <c r="E9623" s="8"/>
      <c r="F9623" s="8"/>
    </row>
    <row r="9624" spans="2:6">
      <c r="B9624" s="44"/>
      <c r="D9624" s="8"/>
      <c r="E9624" s="8"/>
      <c r="F9624" s="8"/>
    </row>
    <row r="9625" spans="2:6">
      <c r="B9625" s="44"/>
      <c r="D9625" s="8"/>
      <c r="E9625" s="8"/>
      <c r="F9625" s="8"/>
    </row>
    <row r="9626" spans="2:6">
      <c r="B9626" s="44"/>
      <c r="D9626" s="8"/>
      <c r="E9626" s="8"/>
      <c r="F9626" s="8"/>
    </row>
    <row r="9627" spans="2:6">
      <c r="B9627" s="44"/>
      <c r="D9627" s="8"/>
      <c r="E9627" s="8"/>
      <c r="F9627" s="8"/>
    </row>
    <row r="9628" spans="2:6">
      <c r="B9628" s="44"/>
      <c r="D9628" s="8"/>
      <c r="E9628" s="8"/>
      <c r="F9628" s="8"/>
    </row>
    <row r="9629" spans="2:6">
      <c r="B9629" s="44"/>
      <c r="D9629" s="8"/>
      <c r="E9629" s="8"/>
      <c r="F9629" s="8"/>
    </row>
    <row r="9630" spans="2:6">
      <c r="B9630" s="44"/>
      <c r="D9630" s="8"/>
      <c r="E9630" s="8"/>
      <c r="F9630" s="8"/>
    </row>
    <row r="9631" spans="2:6">
      <c r="B9631" s="44"/>
      <c r="D9631" s="8"/>
      <c r="E9631" s="8"/>
      <c r="F9631" s="8"/>
    </row>
    <row r="9632" spans="2:6">
      <c r="B9632" s="44"/>
      <c r="D9632" s="8"/>
      <c r="E9632" s="8"/>
      <c r="F9632" s="8"/>
    </row>
    <row r="9633" spans="2:6">
      <c r="B9633" s="44"/>
      <c r="D9633" s="8"/>
      <c r="E9633" s="8"/>
      <c r="F9633" s="8"/>
    </row>
    <row r="9634" spans="2:6">
      <c r="B9634" s="44"/>
      <c r="D9634" s="8"/>
      <c r="E9634" s="8"/>
      <c r="F9634" s="8"/>
    </row>
    <row r="9635" spans="2:6">
      <c r="B9635" s="44"/>
      <c r="D9635" s="8"/>
      <c r="E9635" s="8"/>
      <c r="F9635" s="8"/>
    </row>
    <row r="9636" spans="2:6">
      <c r="B9636" s="44"/>
      <c r="D9636" s="8"/>
      <c r="E9636" s="8"/>
      <c r="F9636" s="8"/>
    </row>
    <row r="9637" spans="2:6">
      <c r="B9637" s="44"/>
      <c r="D9637" s="8"/>
      <c r="E9637" s="8"/>
      <c r="F9637" s="8"/>
    </row>
    <row r="9638" spans="2:6">
      <c r="B9638" s="44"/>
      <c r="D9638" s="8"/>
      <c r="E9638" s="8"/>
      <c r="F9638" s="8"/>
    </row>
    <row r="9639" spans="2:6">
      <c r="B9639" s="44"/>
      <c r="D9639" s="8"/>
      <c r="E9639" s="8"/>
      <c r="F9639" s="8"/>
    </row>
    <row r="9640" spans="2:6">
      <c r="B9640" s="44"/>
      <c r="D9640" s="8"/>
      <c r="E9640" s="8"/>
      <c r="F9640" s="8"/>
    </row>
    <row r="9641" spans="2:6">
      <c r="B9641" s="44"/>
      <c r="D9641" s="8"/>
      <c r="E9641" s="8"/>
      <c r="F9641" s="8"/>
    </row>
    <row r="9642" spans="2:6">
      <c r="B9642" s="44"/>
      <c r="D9642" s="8"/>
      <c r="E9642" s="8"/>
      <c r="F9642" s="8"/>
    </row>
    <row r="9643" spans="2:6">
      <c r="B9643" s="44"/>
      <c r="D9643" s="8"/>
      <c r="E9643" s="8"/>
      <c r="F9643" s="8"/>
    </row>
    <row r="9644" spans="2:6">
      <c r="B9644" s="44"/>
      <c r="D9644" s="8"/>
      <c r="E9644" s="8"/>
      <c r="F9644" s="8"/>
    </row>
    <row r="9645" spans="2:6">
      <c r="B9645" s="44"/>
      <c r="D9645" s="8"/>
      <c r="E9645" s="8"/>
      <c r="F9645" s="8"/>
    </row>
    <row r="9646" spans="2:6">
      <c r="B9646" s="44"/>
      <c r="D9646" s="8"/>
      <c r="E9646" s="8"/>
      <c r="F9646" s="8"/>
    </row>
    <row r="9647" spans="2:6">
      <c r="B9647" s="44"/>
      <c r="D9647" s="8"/>
      <c r="E9647" s="8"/>
      <c r="F9647" s="8"/>
    </row>
    <row r="9648" spans="2:6">
      <c r="B9648" s="44"/>
      <c r="D9648" s="8"/>
      <c r="E9648" s="8"/>
      <c r="F9648" s="8"/>
    </row>
    <row r="9649" spans="2:6">
      <c r="B9649" s="44"/>
      <c r="D9649" s="8"/>
      <c r="E9649" s="8"/>
      <c r="F9649" s="8"/>
    </row>
    <row r="9650" spans="2:6">
      <c r="B9650" s="44"/>
      <c r="D9650" s="8"/>
      <c r="E9650" s="8"/>
      <c r="F9650" s="8"/>
    </row>
    <row r="9651" spans="2:6">
      <c r="B9651" s="44"/>
      <c r="D9651" s="8"/>
      <c r="E9651" s="8"/>
      <c r="F9651" s="8"/>
    </row>
    <row r="9652" spans="2:6">
      <c r="B9652" s="44"/>
      <c r="D9652" s="8"/>
      <c r="E9652" s="8"/>
      <c r="F9652" s="8"/>
    </row>
    <row r="9653" spans="2:6">
      <c r="B9653" s="44"/>
      <c r="D9653" s="8"/>
      <c r="E9653" s="8"/>
      <c r="F9653" s="8"/>
    </row>
    <row r="9654" spans="2:6">
      <c r="B9654" s="44"/>
      <c r="D9654" s="8"/>
      <c r="E9654" s="8"/>
      <c r="F9654" s="8"/>
    </row>
    <row r="9655" spans="2:6">
      <c r="B9655" s="44"/>
      <c r="D9655" s="8"/>
      <c r="E9655" s="8"/>
      <c r="F9655" s="8"/>
    </row>
    <row r="9656" spans="2:6">
      <c r="B9656" s="44"/>
      <c r="D9656" s="8"/>
      <c r="E9656" s="8"/>
      <c r="F9656" s="8"/>
    </row>
    <row r="9657" spans="2:6">
      <c r="B9657" s="44"/>
      <c r="D9657" s="8"/>
      <c r="E9657" s="8"/>
      <c r="F9657" s="8"/>
    </row>
    <row r="9658" spans="2:6">
      <c r="B9658" s="44"/>
      <c r="D9658" s="8"/>
      <c r="E9658" s="8"/>
      <c r="F9658" s="8"/>
    </row>
    <row r="9659" spans="2:6">
      <c r="B9659" s="44"/>
      <c r="D9659" s="8"/>
      <c r="E9659" s="8"/>
      <c r="F9659" s="8"/>
    </row>
    <row r="9660" spans="2:6">
      <c r="B9660" s="44"/>
      <c r="D9660" s="8"/>
      <c r="E9660" s="8"/>
      <c r="F9660" s="8"/>
    </row>
    <row r="9661" spans="2:6">
      <c r="B9661" s="44"/>
      <c r="D9661" s="8"/>
      <c r="E9661" s="8"/>
      <c r="F9661" s="8"/>
    </row>
    <row r="9662" spans="2:6">
      <c r="B9662" s="44"/>
      <c r="D9662" s="8"/>
      <c r="E9662" s="8"/>
      <c r="F9662" s="8"/>
    </row>
    <row r="9663" spans="2:6">
      <c r="B9663" s="44"/>
      <c r="D9663" s="8"/>
      <c r="E9663" s="8"/>
      <c r="F9663" s="8"/>
    </row>
    <row r="9664" spans="2:6">
      <c r="B9664" s="44"/>
      <c r="D9664" s="8"/>
      <c r="E9664" s="8"/>
      <c r="F9664" s="8"/>
    </row>
    <row r="9665" spans="2:6">
      <c r="B9665" s="44"/>
      <c r="D9665" s="8"/>
      <c r="E9665" s="8"/>
      <c r="F9665" s="8"/>
    </row>
    <row r="9666" spans="2:6">
      <c r="B9666" s="44"/>
      <c r="D9666" s="8"/>
      <c r="E9666" s="8"/>
      <c r="F9666" s="8"/>
    </row>
    <row r="9667" spans="2:6">
      <c r="B9667" s="44"/>
      <c r="D9667" s="8"/>
      <c r="E9667" s="8"/>
      <c r="F9667" s="8"/>
    </row>
    <row r="9668" spans="2:6">
      <c r="B9668" s="44"/>
      <c r="D9668" s="8"/>
      <c r="E9668" s="8"/>
      <c r="F9668" s="8"/>
    </row>
    <row r="9669" spans="2:6">
      <c r="B9669" s="44"/>
      <c r="D9669" s="8"/>
      <c r="E9669" s="8"/>
      <c r="F9669" s="8"/>
    </row>
    <row r="9670" spans="2:6">
      <c r="B9670" s="44"/>
      <c r="D9670" s="8"/>
      <c r="E9670" s="8"/>
      <c r="F9670" s="8"/>
    </row>
    <row r="9671" spans="2:6">
      <c r="B9671" s="44"/>
      <c r="D9671" s="8"/>
      <c r="E9671" s="8"/>
      <c r="F9671" s="8"/>
    </row>
    <row r="9672" spans="2:6">
      <c r="B9672" s="44"/>
      <c r="D9672" s="8"/>
      <c r="E9672" s="8"/>
      <c r="F9672" s="8"/>
    </row>
    <row r="9673" spans="2:6">
      <c r="B9673" s="44"/>
      <c r="D9673" s="8"/>
      <c r="E9673" s="8"/>
      <c r="F9673" s="8"/>
    </row>
    <row r="9674" spans="2:6">
      <c r="B9674" s="44"/>
      <c r="D9674" s="8"/>
      <c r="E9674" s="8"/>
      <c r="F9674" s="8"/>
    </row>
    <row r="9675" spans="2:6">
      <c r="B9675" s="44"/>
      <c r="D9675" s="8"/>
      <c r="E9675" s="8"/>
      <c r="F9675" s="8"/>
    </row>
    <row r="9676" spans="2:6">
      <c r="B9676" s="44"/>
      <c r="D9676" s="8"/>
      <c r="E9676" s="8"/>
      <c r="F9676" s="8"/>
    </row>
    <row r="9677" spans="2:6">
      <c r="B9677" s="44"/>
      <c r="D9677" s="8"/>
      <c r="E9677" s="8"/>
      <c r="F9677" s="8"/>
    </row>
    <row r="9678" spans="2:6">
      <c r="B9678" s="44"/>
      <c r="D9678" s="8"/>
      <c r="E9678" s="8"/>
      <c r="F9678" s="8"/>
    </row>
    <row r="9679" spans="2:6">
      <c r="B9679" s="44"/>
      <c r="D9679" s="8"/>
      <c r="E9679" s="8"/>
      <c r="F9679" s="8"/>
    </row>
    <row r="9680" spans="2:6">
      <c r="B9680" s="44"/>
      <c r="D9680" s="8"/>
      <c r="E9680" s="8"/>
      <c r="F9680" s="8"/>
    </row>
    <row r="9681" spans="2:6">
      <c r="B9681" s="44"/>
      <c r="D9681" s="8"/>
      <c r="E9681" s="8"/>
      <c r="F9681" s="8"/>
    </row>
    <row r="9682" spans="2:6">
      <c r="B9682" s="44"/>
      <c r="D9682" s="8"/>
      <c r="E9682" s="8"/>
      <c r="F9682" s="8"/>
    </row>
    <row r="9683" spans="2:6">
      <c r="B9683" s="44"/>
      <c r="D9683" s="8"/>
      <c r="E9683" s="8"/>
      <c r="F9683" s="8"/>
    </row>
    <row r="9684" spans="2:6">
      <c r="B9684" s="44"/>
      <c r="D9684" s="8"/>
      <c r="E9684" s="8"/>
      <c r="F9684" s="8"/>
    </row>
    <row r="9685" spans="2:6">
      <c r="B9685" s="44"/>
      <c r="D9685" s="8"/>
      <c r="E9685" s="8"/>
      <c r="F9685" s="8"/>
    </row>
    <row r="9686" spans="2:6">
      <c r="B9686" s="44"/>
      <c r="D9686" s="8"/>
      <c r="E9686" s="8"/>
      <c r="F9686" s="8"/>
    </row>
    <row r="9687" spans="2:6">
      <c r="B9687" s="44"/>
      <c r="D9687" s="8"/>
      <c r="E9687" s="8"/>
      <c r="F9687" s="8"/>
    </row>
    <row r="9688" spans="2:6">
      <c r="B9688" s="44"/>
      <c r="D9688" s="8"/>
      <c r="E9688" s="8"/>
      <c r="F9688" s="8"/>
    </row>
    <row r="9689" spans="2:6">
      <c r="B9689" s="44"/>
      <c r="D9689" s="8"/>
      <c r="E9689" s="8"/>
      <c r="F9689" s="8"/>
    </row>
    <row r="9690" spans="2:6">
      <c r="B9690" s="44"/>
      <c r="D9690" s="8"/>
      <c r="E9690" s="8"/>
      <c r="F9690" s="8"/>
    </row>
    <row r="9691" spans="2:6">
      <c r="B9691" s="44"/>
      <c r="D9691" s="8"/>
      <c r="E9691" s="8"/>
      <c r="F9691" s="8"/>
    </row>
    <row r="9692" spans="2:6">
      <c r="B9692" s="44"/>
      <c r="D9692" s="8"/>
      <c r="E9692" s="8"/>
      <c r="F9692" s="8"/>
    </row>
    <row r="9693" spans="2:6">
      <c r="B9693" s="44"/>
      <c r="D9693" s="8"/>
      <c r="E9693" s="8"/>
      <c r="F9693" s="8"/>
    </row>
    <row r="9694" spans="2:6">
      <c r="B9694" s="44"/>
      <c r="D9694" s="8"/>
      <c r="E9694" s="8"/>
      <c r="F9694" s="8"/>
    </row>
    <row r="9695" spans="2:6">
      <c r="B9695" s="44"/>
      <c r="D9695" s="8"/>
      <c r="E9695" s="8"/>
      <c r="F9695" s="8"/>
    </row>
    <row r="9696" spans="2:6">
      <c r="B9696" s="44"/>
      <c r="D9696" s="8"/>
      <c r="E9696" s="8"/>
      <c r="F9696" s="8"/>
    </row>
    <row r="9697" spans="2:6">
      <c r="B9697" s="44"/>
      <c r="D9697" s="8"/>
      <c r="E9697" s="8"/>
      <c r="F9697" s="8"/>
    </row>
    <row r="9698" spans="2:6">
      <c r="B9698" s="44"/>
      <c r="D9698" s="8"/>
      <c r="E9698" s="8"/>
      <c r="F9698" s="8"/>
    </row>
    <row r="9699" spans="2:6">
      <c r="B9699" s="44"/>
      <c r="D9699" s="8"/>
      <c r="E9699" s="8"/>
      <c r="F9699" s="8"/>
    </row>
    <row r="9700" spans="2:6">
      <c r="B9700" s="44"/>
      <c r="D9700" s="8"/>
      <c r="E9700" s="8"/>
      <c r="F9700" s="8"/>
    </row>
    <row r="9701" spans="2:6">
      <c r="B9701" s="44"/>
      <c r="D9701" s="8"/>
      <c r="E9701" s="8"/>
      <c r="F9701" s="8"/>
    </row>
    <row r="9702" spans="2:6">
      <c r="B9702" s="44"/>
      <c r="D9702" s="8"/>
      <c r="E9702" s="8"/>
      <c r="F9702" s="8"/>
    </row>
    <row r="9703" spans="2:6">
      <c r="B9703" s="44"/>
      <c r="D9703" s="8"/>
      <c r="E9703" s="8"/>
      <c r="F9703" s="8"/>
    </row>
    <row r="9704" spans="2:6">
      <c r="B9704" s="44"/>
      <c r="D9704" s="8"/>
      <c r="E9704" s="8"/>
      <c r="F9704" s="8"/>
    </row>
    <row r="9705" spans="2:6">
      <c r="B9705" s="44"/>
      <c r="D9705" s="8"/>
      <c r="E9705" s="8"/>
      <c r="F9705" s="8"/>
    </row>
    <row r="9706" spans="2:6">
      <c r="B9706" s="44"/>
      <c r="D9706" s="8"/>
      <c r="E9706" s="8"/>
      <c r="F9706" s="8"/>
    </row>
    <row r="9707" spans="2:6">
      <c r="B9707" s="44"/>
      <c r="D9707" s="8"/>
      <c r="E9707" s="8"/>
      <c r="F9707" s="8"/>
    </row>
    <row r="9708" spans="2:6">
      <c r="B9708" s="44"/>
      <c r="D9708" s="8"/>
      <c r="E9708" s="8"/>
      <c r="F9708" s="8"/>
    </row>
    <row r="9709" spans="2:6">
      <c r="B9709" s="44"/>
      <c r="D9709" s="8"/>
      <c r="E9709" s="8"/>
      <c r="F9709" s="8"/>
    </row>
    <row r="9710" spans="2:6">
      <c r="B9710" s="44"/>
      <c r="D9710" s="8"/>
      <c r="E9710" s="8"/>
      <c r="F9710" s="8"/>
    </row>
    <row r="9711" spans="2:6">
      <c r="B9711" s="44"/>
      <c r="D9711" s="8"/>
      <c r="E9711" s="8"/>
      <c r="F9711" s="8"/>
    </row>
    <row r="9712" spans="2:6">
      <c r="B9712" s="44"/>
      <c r="D9712" s="8"/>
      <c r="E9712" s="8"/>
      <c r="F9712" s="8"/>
    </row>
    <row r="9713" spans="2:6">
      <c r="B9713" s="44"/>
      <c r="D9713" s="8"/>
      <c r="E9713" s="8"/>
      <c r="F9713" s="8"/>
    </row>
    <row r="9714" spans="2:6">
      <c r="B9714" s="44"/>
      <c r="D9714" s="8"/>
      <c r="E9714" s="8"/>
      <c r="F9714" s="8"/>
    </row>
    <row r="9715" spans="2:6">
      <c r="B9715" s="44"/>
      <c r="D9715" s="8"/>
      <c r="E9715" s="8"/>
      <c r="F9715" s="8"/>
    </row>
    <row r="9716" spans="2:6">
      <c r="B9716" s="44"/>
      <c r="D9716" s="8"/>
      <c r="E9716" s="8"/>
      <c r="F9716" s="8"/>
    </row>
    <row r="9717" spans="2:6">
      <c r="B9717" s="44"/>
      <c r="D9717" s="8"/>
      <c r="E9717" s="8"/>
      <c r="F9717" s="8"/>
    </row>
    <row r="9718" spans="2:6">
      <c r="B9718" s="44"/>
      <c r="D9718" s="8"/>
      <c r="E9718" s="8"/>
      <c r="F9718" s="8"/>
    </row>
    <row r="9719" spans="2:6">
      <c r="B9719" s="44"/>
      <c r="D9719" s="8"/>
      <c r="E9719" s="8"/>
      <c r="F9719" s="8"/>
    </row>
    <row r="9720" spans="2:6">
      <c r="B9720" s="44"/>
      <c r="D9720" s="8"/>
      <c r="E9720" s="8"/>
      <c r="F9720" s="8"/>
    </row>
    <row r="9721" spans="2:6">
      <c r="B9721" s="44"/>
      <c r="D9721" s="8"/>
      <c r="E9721" s="8"/>
      <c r="F9721" s="8"/>
    </row>
    <row r="9722" spans="2:6">
      <c r="B9722" s="44"/>
      <c r="D9722" s="8"/>
      <c r="E9722" s="8"/>
      <c r="F9722" s="8"/>
    </row>
    <row r="9723" spans="2:6">
      <c r="B9723" s="44"/>
      <c r="D9723" s="8"/>
      <c r="E9723" s="8"/>
      <c r="F9723" s="8"/>
    </row>
    <row r="9724" spans="2:6">
      <c r="B9724" s="44"/>
      <c r="D9724" s="8"/>
      <c r="E9724" s="8"/>
      <c r="F9724" s="8"/>
    </row>
    <row r="9725" spans="2:6">
      <c r="B9725" s="44"/>
      <c r="D9725" s="8"/>
      <c r="E9725" s="8"/>
      <c r="F9725" s="8"/>
    </row>
    <row r="9726" spans="2:6">
      <c r="B9726" s="44"/>
      <c r="D9726" s="8"/>
      <c r="E9726" s="8"/>
      <c r="F9726" s="8"/>
    </row>
    <row r="9727" spans="2:6">
      <c r="B9727" s="44"/>
      <c r="D9727" s="8"/>
      <c r="E9727" s="8"/>
      <c r="F9727" s="8"/>
    </row>
    <row r="9728" spans="2:6">
      <c r="B9728" s="44"/>
      <c r="D9728" s="8"/>
      <c r="E9728" s="8"/>
      <c r="F9728" s="8"/>
    </row>
    <row r="9729" spans="2:6">
      <c r="B9729" s="44"/>
      <c r="D9729" s="8"/>
      <c r="E9729" s="8"/>
      <c r="F9729" s="8"/>
    </row>
    <row r="9730" spans="2:6">
      <c r="B9730" s="44"/>
      <c r="D9730" s="8"/>
      <c r="E9730" s="8"/>
      <c r="F9730" s="8"/>
    </row>
    <row r="9731" spans="2:6">
      <c r="B9731" s="44"/>
      <c r="D9731" s="8"/>
      <c r="E9731" s="8"/>
      <c r="F9731" s="8"/>
    </row>
    <row r="9732" spans="2:6">
      <c r="B9732" s="44"/>
      <c r="D9732" s="8"/>
      <c r="E9732" s="8"/>
      <c r="F9732" s="8"/>
    </row>
    <row r="9733" spans="2:6">
      <c r="B9733" s="44"/>
      <c r="D9733" s="8"/>
      <c r="E9733" s="8"/>
      <c r="F9733" s="8"/>
    </row>
    <row r="9734" spans="2:6">
      <c r="B9734" s="44"/>
      <c r="D9734" s="8"/>
      <c r="E9734" s="8"/>
      <c r="F9734" s="8"/>
    </row>
    <row r="9735" spans="2:6">
      <c r="B9735" s="44"/>
      <c r="D9735" s="8"/>
      <c r="E9735" s="8"/>
      <c r="F9735" s="8"/>
    </row>
    <row r="9736" spans="2:6">
      <c r="B9736" s="44"/>
      <c r="D9736" s="8"/>
      <c r="E9736" s="8"/>
      <c r="F9736" s="8"/>
    </row>
    <row r="9737" spans="2:6">
      <c r="B9737" s="44"/>
      <c r="D9737" s="8"/>
      <c r="E9737" s="8"/>
      <c r="F9737" s="8"/>
    </row>
    <row r="9738" spans="2:6">
      <c r="B9738" s="44"/>
      <c r="D9738" s="8"/>
      <c r="E9738" s="8"/>
      <c r="F9738" s="8"/>
    </row>
    <row r="9739" spans="2:6">
      <c r="B9739" s="44"/>
      <c r="D9739" s="8"/>
      <c r="E9739" s="8"/>
      <c r="F9739" s="8"/>
    </row>
    <row r="9740" spans="2:6">
      <c r="B9740" s="44"/>
      <c r="D9740" s="8"/>
      <c r="E9740" s="8"/>
      <c r="F9740" s="8"/>
    </row>
    <row r="9741" spans="2:6">
      <c r="B9741" s="44"/>
      <c r="D9741" s="8"/>
      <c r="E9741" s="8"/>
      <c r="F9741" s="8"/>
    </row>
    <row r="9742" spans="2:6">
      <c r="B9742" s="44"/>
      <c r="D9742" s="8"/>
      <c r="E9742" s="8"/>
      <c r="F9742" s="8"/>
    </row>
    <row r="9743" spans="2:6">
      <c r="B9743" s="44"/>
      <c r="D9743" s="8"/>
      <c r="E9743" s="8"/>
      <c r="F9743" s="8"/>
    </row>
    <row r="9744" spans="2:6">
      <c r="B9744" s="44"/>
      <c r="D9744" s="8"/>
      <c r="E9744" s="8"/>
      <c r="F9744" s="8"/>
    </row>
    <row r="9745" spans="2:6">
      <c r="B9745" s="44"/>
      <c r="D9745" s="8"/>
      <c r="E9745" s="8"/>
      <c r="F9745" s="8"/>
    </row>
    <row r="9746" spans="2:6">
      <c r="B9746" s="44"/>
      <c r="D9746" s="8"/>
      <c r="E9746" s="8"/>
      <c r="F9746" s="8"/>
    </row>
    <row r="9747" spans="2:6">
      <c r="B9747" s="44"/>
      <c r="D9747" s="8"/>
      <c r="E9747" s="8"/>
      <c r="F9747" s="8"/>
    </row>
    <row r="9748" spans="2:6">
      <c r="B9748" s="44"/>
      <c r="D9748" s="8"/>
      <c r="E9748" s="8"/>
      <c r="F9748" s="8"/>
    </row>
    <row r="9749" spans="2:6">
      <c r="B9749" s="44"/>
      <c r="D9749" s="8"/>
      <c r="E9749" s="8"/>
      <c r="F9749" s="8"/>
    </row>
    <row r="9750" spans="2:6">
      <c r="B9750" s="44"/>
      <c r="D9750" s="8"/>
      <c r="E9750" s="8"/>
      <c r="F9750" s="8"/>
    </row>
    <row r="9751" spans="2:6">
      <c r="B9751" s="44"/>
      <c r="D9751" s="8"/>
      <c r="E9751" s="8"/>
      <c r="F9751" s="8"/>
    </row>
    <row r="9752" spans="2:6">
      <c r="B9752" s="44"/>
      <c r="D9752" s="8"/>
      <c r="E9752" s="8"/>
      <c r="F9752" s="8"/>
    </row>
    <row r="9753" spans="2:6">
      <c r="B9753" s="44"/>
      <c r="D9753" s="8"/>
      <c r="E9753" s="8"/>
      <c r="F9753" s="8"/>
    </row>
    <row r="9754" spans="2:6">
      <c r="B9754" s="44"/>
      <c r="D9754" s="8"/>
      <c r="E9754" s="8"/>
      <c r="F9754" s="8"/>
    </row>
    <row r="9755" spans="2:6">
      <c r="B9755" s="44"/>
      <c r="D9755" s="8"/>
      <c r="E9755" s="8"/>
      <c r="F9755" s="8"/>
    </row>
    <row r="9756" spans="2:6">
      <c r="B9756" s="44"/>
      <c r="D9756" s="8"/>
      <c r="E9756" s="8"/>
      <c r="F9756" s="8"/>
    </row>
    <row r="9757" spans="2:6">
      <c r="B9757" s="44"/>
      <c r="D9757" s="8"/>
      <c r="E9757" s="8"/>
      <c r="F9757" s="8"/>
    </row>
    <row r="9758" spans="2:6">
      <c r="B9758" s="44"/>
      <c r="D9758" s="8"/>
      <c r="E9758" s="8"/>
      <c r="F9758" s="8"/>
    </row>
    <row r="9759" spans="2:6">
      <c r="B9759" s="44"/>
      <c r="D9759" s="8"/>
      <c r="E9759" s="8"/>
      <c r="F9759" s="8"/>
    </row>
    <row r="9760" spans="2:6">
      <c r="B9760" s="44"/>
      <c r="D9760" s="8"/>
      <c r="E9760" s="8"/>
      <c r="F9760" s="8"/>
    </row>
    <row r="9761" spans="2:6">
      <c r="B9761" s="44"/>
      <c r="D9761" s="8"/>
      <c r="E9761" s="8"/>
      <c r="F9761" s="8"/>
    </row>
    <row r="9762" spans="2:6">
      <c r="B9762" s="44"/>
      <c r="D9762" s="8"/>
      <c r="E9762" s="8"/>
      <c r="F9762" s="8"/>
    </row>
    <row r="9763" spans="2:6">
      <c r="B9763" s="44"/>
      <c r="D9763" s="8"/>
      <c r="E9763" s="8"/>
      <c r="F9763" s="8"/>
    </row>
    <row r="9764" spans="2:6">
      <c r="B9764" s="44"/>
      <c r="D9764" s="8"/>
      <c r="E9764" s="8"/>
      <c r="F9764" s="8"/>
    </row>
    <row r="9765" spans="2:6">
      <c r="B9765" s="44"/>
      <c r="D9765" s="8"/>
      <c r="E9765" s="8"/>
      <c r="F9765" s="8"/>
    </row>
    <row r="9766" spans="2:6">
      <c r="B9766" s="44"/>
      <c r="D9766" s="8"/>
      <c r="E9766" s="8"/>
      <c r="F9766" s="8"/>
    </row>
    <row r="9767" spans="2:6">
      <c r="B9767" s="44"/>
      <c r="D9767" s="8"/>
      <c r="E9767" s="8"/>
      <c r="F9767" s="8"/>
    </row>
    <row r="9768" spans="2:6">
      <c r="B9768" s="44"/>
      <c r="D9768" s="8"/>
      <c r="E9768" s="8"/>
      <c r="F9768" s="8"/>
    </row>
    <row r="9769" spans="2:6">
      <c r="B9769" s="44"/>
      <c r="D9769" s="8"/>
      <c r="E9769" s="8"/>
      <c r="F9769" s="8"/>
    </row>
    <row r="9770" spans="2:6">
      <c r="B9770" s="44"/>
      <c r="D9770" s="8"/>
      <c r="E9770" s="8"/>
      <c r="F9770" s="8"/>
    </row>
    <row r="9771" spans="2:6">
      <c r="B9771" s="44"/>
      <c r="D9771" s="8"/>
      <c r="E9771" s="8"/>
      <c r="F9771" s="8"/>
    </row>
    <row r="9772" spans="2:6">
      <c r="B9772" s="44"/>
      <c r="D9772" s="8"/>
      <c r="E9772" s="8"/>
      <c r="F9772" s="8"/>
    </row>
    <row r="9773" spans="2:6">
      <c r="B9773" s="44"/>
      <c r="D9773" s="8"/>
      <c r="E9773" s="8"/>
      <c r="F9773" s="8"/>
    </row>
    <row r="9774" spans="2:6">
      <c r="B9774" s="44"/>
      <c r="D9774" s="8"/>
      <c r="E9774" s="8"/>
      <c r="F9774" s="8"/>
    </row>
    <row r="9775" spans="2:6">
      <c r="B9775" s="44"/>
      <c r="D9775" s="8"/>
      <c r="E9775" s="8"/>
      <c r="F9775" s="8"/>
    </row>
    <row r="9776" spans="2:6">
      <c r="B9776" s="44"/>
      <c r="D9776" s="8"/>
      <c r="E9776" s="8"/>
      <c r="F9776" s="8"/>
    </row>
    <row r="9777" spans="2:6">
      <c r="B9777" s="44"/>
      <c r="D9777" s="8"/>
      <c r="E9777" s="8"/>
      <c r="F9777" s="8"/>
    </row>
    <row r="9778" spans="2:6">
      <c r="B9778" s="44"/>
      <c r="D9778" s="8"/>
      <c r="E9778" s="8"/>
      <c r="F9778" s="8"/>
    </row>
    <row r="9779" spans="2:6">
      <c r="B9779" s="44"/>
      <c r="D9779" s="8"/>
      <c r="E9779" s="8"/>
      <c r="F9779" s="8"/>
    </row>
    <row r="9780" spans="2:6">
      <c r="B9780" s="44"/>
      <c r="D9780" s="8"/>
      <c r="E9780" s="8"/>
      <c r="F9780" s="8"/>
    </row>
    <row r="9781" spans="2:6">
      <c r="B9781" s="44"/>
      <c r="D9781" s="8"/>
      <c r="E9781" s="8"/>
      <c r="F9781" s="8"/>
    </row>
    <row r="9782" spans="2:6">
      <c r="B9782" s="44"/>
      <c r="D9782" s="8"/>
      <c r="E9782" s="8"/>
      <c r="F9782" s="8"/>
    </row>
    <row r="9783" spans="2:6">
      <c r="B9783" s="44"/>
      <c r="D9783" s="8"/>
      <c r="E9783" s="8"/>
      <c r="F9783" s="8"/>
    </row>
    <row r="9784" spans="2:6">
      <c r="B9784" s="44"/>
      <c r="D9784" s="8"/>
      <c r="E9784" s="8"/>
      <c r="F9784" s="8"/>
    </row>
    <row r="9785" spans="2:6">
      <c r="B9785" s="44"/>
      <c r="D9785" s="8"/>
      <c r="E9785" s="8"/>
      <c r="F9785" s="8"/>
    </row>
    <row r="9786" spans="2:6">
      <c r="B9786" s="44"/>
      <c r="D9786" s="8"/>
      <c r="E9786" s="8"/>
      <c r="F9786" s="8"/>
    </row>
    <row r="9787" spans="2:6">
      <c r="B9787" s="44"/>
      <c r="D9787" s="8"/>
      <c r="E9787" s="8"/>
      <c r="F9787" s="8"/>
    </row>
    <row r="9788" spans="2:6">
      <c r="B9788" s="44"/>
      <c r="D9788" s="8"/>
      <c r="E9788" s="8"/>
      <c r="F9788" s="8"/>
    </row>
    <row r="9789" spans="2:6">
      <c r="B9789" s="44"/>
      <c r="D9789" s="8"/>
      <c r="E9789" s="8"/>
      <c r="F9789" s="8"/>
    </row>
    <row r="9790" spans="2:6">
      <c r="B9790" s="44"/>
      <c r="D9790" s="8"/>
      <c r="E9790" s="8"/>
      <c r="F9790" s="8"/>
    </row>
    <row r="9791" spans="2:6">
      <c r="B9791" s="44"/>
      <c r="D9791" s="8"/>
      <c r="E9791" s="8"/>
      <c r="F9791" s="8"/>
    </row>
    <row r="9792" spans="2:6">
      <c r="B9792" s="44"/>
      <c r="D9792" s="8"/>
      <c r="E9792" s="8"/>
      <c r="F9792" s="8"/>
    </row>
    <row r="9793" spans="2:6">
      <c r="B9793" s="44"/>
      <c r="D9793" s="8"/>
      <c r="E9793" s="8"/>
      <c r="F9793" s="8"/>
    </row>
    <row r="9794" spans="2:6">
      <c r="B9794" s="44"/>
      <c r="D9794" s="8"/>
      <c r="E9794" s="8"/>
      <c r="F9794" s="8"/>
    </row>
    <row r="9795" spans="2:6">
      <c r="B9795" s="44"/>
      <c r="D9795" s="8"/>
      <c r="E9795" s="8"/>
      <c r="F9795" s="8"/>
    </row>
    <row r="9796" spans="2:6">
      <c r="B9796" s="44"/>
      <c r="D9796" s="8"/>
      <c r="E9796" s="8"/>
      <c r="F9796" s="8"/>
    </row>
    <row r="9797" spans="2:6">
      <c r="B9797" s="44"/>
      <c r="D9797" s="8"/>
      <c r="E9797" s="8"/>
      <c r="F9797" s="8"/>
    </row>
    <row r="9798" spans="2:6">
      <c r="B9798" s="44"/>
      <c r="D9798" s="8"/>
      <c r="E9798" s="8"/>
      <c r="F9798" s="8"/>
    </row>
    <row r="9799" spans="2:6">
      <c r="B9799" s="44"/>
      <c r="D9799" s="8"/>
      <c r="E9799" s="8"/>
      <c r="F9799" s="8"/>
    </row>
    <row r="9800" spans="2:6">
      <c r="B9800" s="44"/>
      <c r="D9800" s="8"/>
      <c r="E9800" s="8"/>
      <c r="F9800" s="8"/>
    </row>
    <row r="9801" spans="2:6">
      <c r="B9801" s="44"/>
      <c r="D9801" s="8"/>
      <c r="E9801" s="8"/>
      <c r="F9801" s="8"/>
    </row>
    <row r="9802" spans="2:6">
      <c r="B9802" s="44"/>
      <c r="D9802" s="8"/>
      <c r="E9802" s="8"/>
      <c r="F9802" s="8"/>
    </row>
    <row r="9803" spans="2:6">
      <c r="B9803" s="44"/>
      <c r="D9803" s="8"/>
      <c r="E9803" s="8"/>
      <c r="F9803" s="8"/>
    </row>
    <row r="9804" spans="2:6">
      <c r="B9804" s="44"/>
      <c r="D9804" s="8"/>
      <c r="E9804" s="8"/>
      <c r="F9804" s="8"/>
    </row>
    <row r="9805" spans="2:6">
      <c r="B9805" s="44"/>
      <c r="D9805" s="8"/>
      <c r="E9805" s="8"/>
      <c r="F9805" s="8"/>
    </row>
    <row r="9806" spans="2:6">
      <c r="B9806" s="44"/>
      <c r="D9806" s="8"/>
      <c r="E9806" s="8"/>
      <c r="F9806" s="8"/>
    </row>
    <row r="9807" spans="2:6">
      <c r="B9807" s="44"/>
      <c r="D9807" s="8"/>
      <c r="E9807" s="8"/>
      <c r="F9807" s="8"/>
    </row>
    <row r="9808" spans="2:6">
      <c r="B9808" s="44"/>
      <c r="D9808" s="8"/>
      <c r="E9808" s="8"/>
      <c r="F9808" s="8"/>
    </row>
    <row r="9809" spans="2:6">
      <c r="B9809" s="44"/>
      <c r="D9809" s="8"/>
      <c r="E9809" s="8"/>
      <c r="F9809" s="8"/>
    </row>
    <row r="9810" spans="2:6">
      <c r="B9810" s="44"/>
      <c r="D9810" s="8"/>
      <c r="E9810" s="8"/>
      <c r="F9810" s="8"/>
    </row>
    <row r="9811" spans="2:6">
      <c r="B9811" s="44"/>
      <c r="D9811" s="8"/>
      <c r="E9811" s="8"/>
      <c r="F9811" s="8"/>
    </row>
    <row r="9812" spans="2:6">
      <c r="B9812" s="44"/>
      <c r="D9812" s="8"/>
      <c r="E9812" s="8"/>
      <c r="F9812" s="8"/>
    </row>
    <row r="9813" spans="2:6">
      <c r="B9813" s="44"/>
      <c r="D9813" s="8"/>
      <c r="E9813" s="8"/>
      <c r="F9813" s="8"/>
    </row>
    <row r="9814" spans="2:6">
      <c r="B9814" s="44"/>
      <c r="D9814" s="8"/>
      <c r="E9814" s="8"/>
      <c r="F9814" s="8"/>
    </row>
    <row r="9815" spans="2:6">
      <c r="B9815" s="44"/>
      <c r="D9815" s="8"/>
      <c r="E9815" s="8"/>
      <c r="F9815" s="8"/>
    </row>
    <row r="9816" spans="2:6">
      <c r="B9816" s="44"/>
      <c r="D9816" s="8"/>
      <c r="E9816" s="8"/>
      <c r="F9816" s="8"/>
    </row>
    <row r="9817" spans="2:6">
      <c r="B9817" s="44"/>
      <c r="D9817" s="8"/>
      <c r="E9817" s="8"/>
      <c r="F9817" s="8"/>
    </row>
    <row r="9818" spans="2:6">
      <c r="B9818" s="44"/>
      <c r="D9818" s="8"/>
      <c r="E9818" s="8"/>
      <c r="F9818" s="8"/>
    </row>
    <row r="9819" spans="2:6">
      <c r="B9819" s="44"/>
      <c r="D9819" s="8"/>
      <c r="E9819" s="8"/>
      <c r="F9819" s="8"/>
    </row>
    <row r="9820" spans="2:6">
      <c r="B9820" s="44"/>
      <c r="D9820" s="8"/>
      <c r="E9820" s="8"/>
      <c r="F9820" s="8"/>
    </row>
    <row r="9821" spans="2:6">
      <c r="B9821" s="44"/>
      <c r="D9821" s="8"/>
      <c r="E9821" s="8"/>
      <c r="F9821" s="8"/>
    </row>
    <row r="9822" spans="2:6">
      <c r="B9822" s="44"/>
      <c r="D9822" s="8"/>
      <c r="E9822" s="8"/>
      <c r="F9822" s="8"/>
    </row>
    <row r="9823" spans="2:6">
      <c r="B9823" s="44"/>
      <c r="D9823" s="8"/>
      <c r="E9823" s="8"/>
      <c r="F9823" s="8"/>
    </row>
    <row r="9824" spans="2:6">
      <c r="B9824" s="44"/>
      <c r="D9824" s="8"/>
      <c r="E9824" s="8"/>
      <c r="F9824" s="8"/>
    </row>
    <row r="9825" spans="2:6">
      <c r="B9825" s="44"/>
      <c r="D9825" s="8"/>
      <c r="E9825" s="8"/>
      <c r="F9825" s="8"/>
    </row>
    <row r="9826" spans="2:6">
      <c r="B9826" s="44"/>
      <c r="D9826" s="8"/>
      <c r="E9826" s="8"/>
      <c r="F9826" s="8"/>
    </row>
    <row r="9827" spans="2:6">
      <c r="B9827" s="44"/>
      <c r="D9827" s="8"/>
      <c r="E9827" s="8"/>
      <c r="F9827" s="8"/>
    </row>
    <row r="9828" spans="2:6">
      <c r="B9828" s="44"/>
      <c r="D9828" s="8"/>
      <c r="E9828" s="8"/>
      <c r="F9828" s="8"/>
    </row>
    <row r="9829" spans="2:6">
      <c r="B9829" s="44"/>
      <c r="D9829" s="8"/>
      <c r="E9829" s="8"/>
      <c r="F9829" s="8"/>
    </row>
    <row r="9830" spans="2:6">
      <c r="B9830" s="44"/>
      <c r="D9830" s="8"/>
      <c r="E9830" s="8"/>
      <c r="F9830" s="8"/>
    </row>
    <row r="9831" spans="2:6">
      <c r="B9831" s="44"/>
      <c r="D9831" s="8"/>
      <c r="E9831" s="8"/>
      <c r="F9831" s="8"/>
    </row>
    <row r="9832" spans="2:6">
      <c r="B9832" s="44"/>
      <c r="D9832" s="8"/>
      <c r="E9832" s="8"/>
      <c r="F9832" s="8"/>
    </row>
    <row r="9833" spans="2:6">
      <c r="B9833" s="44"/>
      <c r="D9833" s="8"/>
      <c r="E9833" s="8"/>
      <c r="F9833" s="8"/>
    </row>
    <row r="9834" spans="2:6">
      <c r="B9834" s="44"/>
      <c r="D9834" s="8"/>
      <c r="E9834" s="8"/>
      <c r="F9834" s="8"/>
    </row>
    <row r="9835" spans="2:6">
      <c r="B9835" s="44"/>
      <c r="D9835" s="8"/>
      <c r="E9835" s="8"/>
      <c r="F9835" s="8"/>
    </row>
    <row r="9836" spans="2:6">
      <c r="B9836" s="44"/>
      <c r="D9836" s="8"/>
      <c r="E9836" s="8"/>
      <c r="F9836" s="8"/>
    </row>
    <row r="9837" spans="2:6">
      <c r="B9837" s="44"/>
      <c r="D9837" s="8"/>
      <c r="E9837" s="8"/>
      <c r="F9837" s="8"/>
    </row>
    <row r="9838" spans="2:6">
      <c r="B9838" s="44"/>
      <c r="D9838" s="8"/>
      <c r="E9838" s="8"/>
      <c r="F9838" s="8"/>
    </row>
    <row r="9839" spans="2:6">
      <c r="B9839" s="44"/>
      <c r="D9839" s="8"/>
      <c r="E9839" s="8"/>
      <c r="F9839" s="8"/>
    </row>
    <row r="9840" spans="2:6">
      <c r="B9840" s="44"/>
      <c r="D9840" s="8"/>
      <c r="E9840" s="8"/>
      <c r="F9840" s="8"/>
    </row>
    <row r="9841" spans="2:6">
      <c r="B9841" s="44"/>
      <c r="D9841" s="8"/>
      <c r="E9841" s="8"/>
      <c r="F9841" s="8"/>
    </row>
    <row r="9842" spans="2:6">
      <c r="B9842" s="44"/>
      <c r="D9842" s="8"/>
      <c r="E9842" s="8"/>
      <c r="F9842" s="8"/>
    </row>
    <row r="9843" spans="2:6">
      <c r="B9843" s="44"/>
      <c r="D9843" s="8"/>
      <c r="E9843" s="8"/>
      <c r="F9843" s="8"/>
    </row>
    <row r="9844" spans="2:6">
      <c r="B9844" s="44"/>
      <c r="D9844" s="8"/>
      <c r="E9844" s="8"/>
      <c r="F9844" s="8"/>
    </row>
    <row r="9845" spans="2:6">
      <c r="B9845" s="44"/>
      <c r="D9845" s="8"/>
      <c r="E9845" s="8"/>
      <c r="F9845" s="8"/>
    </row>
    <row r="9846" spans="2:6">
      <c r="B9846" s="44"/>
      <c r="D9846" s="8"/>
      <c r="E9846" s="8"/>
      <c r="F9846" s="8"/>
    </row>
    <row r="9847" spans="2:6">
      <c r="B9847" s="44"/>
      <c r="D9847" s="8"/>
      <c r="E9847" s="8"/>
      <c r="F9847" s="8"/>
    </row>
    <row r="9848" spans="2:6">
      <c r="B9848" s="44"/>
      <c r="D9848" s="8"/>
      <c r="E9848" s="8"/>
      <c r="F9848" s="8"/>
    </row>
    <row r="9849" spans="2:6">
      <c r="B9849" s="44"/>
      <c r="D9849" s="8"/>
      <c r="E9849" s="8"/>
      <c r="F9849" s="8"/>
    </row>
    <row r="9850" spans="2:6">
      <c r="B9850" s="44"/>
      <c r="D9850" s="8"/>
      <c r="E9850" s="8"/>
      <c r="F9850" s="8"/>
    </row>
    <row r="9851" spans="2:6">
      <c r="B9851" s="44"/>
      <c r="D9851" s="8"/>
      <c r="E9851" s="8"/>
      <c r="F9851" s="8"/>
    </row>
    <row r="9852" spans="2:6">
      <c r="B9852" s="44"/>
      <c r="D9852" s="8"/>
      <c r="E9852" s="8"/>
      <c r="F9852" s="8"/>
    </row>
    <row r="9853" spans="2:6">
      <c r="B9853" s="44"/>
      <c r="D9853" s="8"/>
      <c r="E9853" s="8"/>
      <c r="F9853" s="8"/>
    </row>
    <row r="9854" spans="2:6">
      <c r="B9854" s="44"/>
      <c r="D9854" s="8"/>
      <c r="E9854" s="8"/>
      <c r="F9854" s="8"/>
    </row>
    <row r="9855" spans="2:6">
      <c r="B9855" s="44"/>
      <c r="D9855" s="8"/>
      <c r="E9855" s="8"/>
      <c r="F9855" s="8"/>
    </row>
    <row r="9856" spans="2:6">
      <c r="B9856" s="44"/>
      <c r="D9856" s="8"/>
      <c r="E9856" s="8"/>
      <c r="F9856" s="8"/>
    </row>
    <row r="9857" spans="2:6">
      <c r="B9857" s="44"/>
      <c r="D9857" s="8"/>
      <c r="E9857" s="8"/>
      <c r="F9857" s="8"/>
    </row>
    <row r="9858" spans="2:6">
      <c r="B9858" s="44"/>
      <c r="D9858" s="8"/>
      <c r="E9858" s="8"/>
      <c r="F9858" s="8"/>
    </row>
    <row r="9859" spans="2:6">
      <c r="B9859" s="44"/>
      <c r="D9859" s="8"/>
      <c r="E9859" s="8"/>
      <c r="F9859" s="8"/>
    </row>
    <row r="9860" spans="2:6">
      <c r="B9860" s="44"/>
      <c r="D9860" s="8"/>
      <c r="E9860" s="8"/>
      <c r="F9860" s="8"/>
    </row>
    <row r="9861" spans="2:6">
      <c r="B9861" s="44"/>
      <c r="D9861" s="8"/>
      <c r="E9861" s="8"/>
      <c r="F9861" s="8"/>
    </row>
    <row r="9862" spans="2:6">
      <c r="B9862" s="44"/>
      <c r="D9862" s="8"/>
      <c r="E9862" s="8"/>
      <c r="F9862" s="8"/>
    </row>
    <row r="9863" spans="2:6">
      <c r="B9863" s="44"/>
      <c r="D9863" s="8"/>
      <c r="E9863" s="8"/>
      <c r="F9863" s="8"/>
    </row>
    <row r="9864" spans="2:6">
      <c r="B9864" s="44"/>
      <c r="D9864" s="8"/>
      <c r="E9864" s="8"/>
      <c r="F9864" s="8"/>
    </row>
    <row r="9865" spans="2:6">
      <c r="B9865" s="44"/>
      <c r="D9865" s="8"/>
      <c r="E9865" s="8"/>
      <c r="F9865" s="8"/>
    </row>
    <row r="9866" spans="2:6">
      <c r="B9866" s="44"/>
      <c r="D9866" s="8"/>
      <c r="E9866" s="8"/>
      <c r="F9866" s="8"/>
    </row>
    <row r="9867" spans="2:6">
      <c r="B9867" s="44"/>
      <c r="D9867" s="8"/>
      <c r="E9867" s="8"/>
      <c r="F9867" s="8"/>
    </row>
    <row r="9868" spans="2:6">
      <c r="B9868" s="44"/>
      <c r="D9868" s="8"/>
      <c r="E9868" s="8"/>
      <c r="F9868" s="8"/>
    </row>
    <row r="9869" spans="2:6">
      <c r="B9869" s="44"/>
      <c r="D9869" s="8"/>
      <c r="E9869" s="8"/>
      <c r="F9869" s="8"/>
    </row>
    <row r="9870" spans="2:6">
      <c r="B9870" s="44"/>
      <c r="D9870" s="8"/>
      <c r="E9870" s="8"/>
      <c r="F9870" s="8"/>
    </row>
    <row r="9871" spans="2:6">
      <c r="B9871" s="44"/>
      <c r="D9871" s="8"/>
      <c r="E9871" s="8"/>
      <c r="F9871" s="8"/>
    </row>
    <row r="9872" spans="2:6">
      <c r="B9872" s="44"/>
      <c r="D9872" s="8"/>
      <c r="E9872" s="8"/>
      <c r="F9872" s="8"/>
    </row>
    <row r="9873" spans="2:6">
      <c r="B9873" s="44"/>
      <c r="D9873" s="8"/>
      <c r="E9873" s="8"/>
      <c r="F9873" s="8"/>
    </row>
    <row r="9874" spans="2:6">
      <c r="B9874" s="44"/>
      <c r="D9874" s="8"/>
      <c r="E9874" s="8"/>
      <c r="F9874" s="8"/>
    </row>
    <row r="9875" spans="2:6">
      <c r="B9875" s="44"/>
      <c r="D9875" s="8"/>
      <c r="E9875" s="8"/>
      <c r="F9875" s="8"/>
    </row>
    <row r="9876" spans="2:6">
      <c r="B9876" s="44"/>
      <c r="D9876" s="8"/>
      <c r="E9876" s="8"/>
      <c r="F9876" s="8"/>
    </row>
    <row r="9877" spans="2:6">
      <c r="B9877" s="44"/>
      <c r="D9877" s="8"/>
      <c r="E9877" s="8"/>
      <c r="F9877" s="8"/>
    </row>
    <row r="9878" spans="2:6">
      <c r="B9878" s="44"/>
      <c r="D9878" s="8"/>
      <c r="E9878" s="8"/>
      <c r="F9878" s="8"/>
    </row>
    <row r="9879" spans="2:6">
      <c r="B9879" s="44"/>
      <c r="D9879" s="8"/>
      <c r="E9879" s="8"/>
      <c r="F9879" s="8"/>
    </row>
    <row r="9880" spans="2:6">
      <c r="B9880" s="44"/>
      <c r="D9880" s="8"/>
      <c r="E9880" s="8"/>
      <c r="F9880" s="8"/>
    </row>
    <row r="9881" spans="2:6">
      <c r="B9881" s="44"/>
      <c r="D9881" s="8"/>
      <c r="E9881" s="8"/>
      <c r="F9881" s="8"/>
    </row>
    <row r="9882" spans="2:6">
      <c r="B9882" s="44"/>
      <c r="D9882" s="8"/>
      <c r="E9882" s="8"/>
      <c r="F9882" s="8"/>
    </row>
    <row r="9883" spans="2:6">
      <c r="B9883" s="44"/>
      <c r="D9883" s="8"/>
      <c r="E9883" s="8"/>
      <c r="F9883" s="8"/>
    </row>
    <row r="9884" spans="2:6">
      <c r="B9884" s="44"/>
      <c r="D9884" s="8"/>
      <c r="E9884" s="8"/>
      <c r="F9884" s="8"/>
    </row>
    <row r="9885" spans="2:6">
      <c r="B9885" s="44"/>
      <c r="D9885" s="8"/>
      <c r="E9885" s="8"/>
      <c r="F9885" s="8"/>
    </row>
    <row r="9886" spans="2:6">
      <c r="B9886" s="44"/>
      <c r="D9886" s="8"/>
      <c r="E9886" s="8"/>
      <c r="F9886" s="8"/>
    </row>
    <row r="9887" spans="2:6">
      <c r="B9887" s="44"/>
      <c r="D9887" s="8"/>
      <c r="E9887" s="8"/>
      <c r="F9887" s="8"/>
    </row>
    <row r="9888" spans="2:6">
      <c r="B9888" s="44"/>
      <c r="D9888" s="8"/>
      <c r="E9888" s="8"/>
      <c r="F9888" s="8"/>
    </row>
    <row r="9889" spans="2:6">
      <c r="B9889" s="44"/>
      <c r="D9889" s="8"/>
      <c r="E9889" s="8"/>
      <c r="F9889" s="8"/>
    </row>
    <row r="9890" spans="2:6">
      <c r="B9890" s="44"/>
      <c r="D9890" s="8"/>
      <c r="E9890" s="8"/>
      <c r="F9890" s="8"/>
    </row>
    <row r="9891" spans="2:6">
      <c r="B9891" s="44"/>
      <c r="D9891" s="8"/>
      <c r="E9891" s="8"/>
      <c r="F9891" s="8"/>
    </row>
    <row r="9892" spans="2:6">
      <c r="B9892" s="44"/>
      <c r="D9892" s="8"/>
      <c r="E9892" s="8"/>
      <c r="F9892" s="8"/>
    </row>
    <row r="9893" spans="2:6">
      <c r="B9893" s="44"/>
      <c r="D9893" s="8"/>
      <c r="E9893" s="8"/>
      <c r="F9893" s="8"/>
    </row>
    <row r="9894" spans="2:6">
      <c r="B9894" s="44"/>
      <c r="D9894" s="8"/>
      <c r="E9894" s="8"/>
      <c r="F9894" s="8"/>
    </row>
    <row r="9895" spans="2:6">
      <c r="B9895" s="44"/>
      <c r="D9895" s="8"/>
      <c r="E9895" s="8"/>
      <c r="F9895" s="8"/>
    </row>
    <row r="9896" spans="2:6">
      <c r="B9896" s="44"/>
      <c r="D9896" s="8"/>
      <c r="E9896" s="8"/>
      <c r="F9896" s="8"/>
    </row>
    <row r="9897" spans="2:6">
      <c r="B9897" s="44"/>
      <c r="D9897" s="8"/>
      <c r="E9897" s="8"/>
      <c r="F9897" s="8"/>
    </row>
    <row r="9898" spans="2:6">
      <c r="B9898" s="44"/>
      <c r="D9898" s="8"/>
      <c r="E9898" s="8"/>
      <c r="F9898" s="8"/>
    </row>
    <row r="9899" spans="2:6">
      <c r="B9899" s="44"/>
      <c r="D9899" s="8"/>
      <c r="E9899" s="8"/>
      <c r="F9899" s="8"/>
    </row>
    <row r="9900" spans="2:6">
      <c r="B9900" s="44"/>
      <c r="D9900" s="8"/>
      <c r="E9900" s="8"/>
      <c r="F9900" s="8"/>
    </row>
    <row r="9901" spans="2:6">
      <c r="B9901" s="44"/>
      <c r="D9901" s="8"/>
      <c r="E9901" s="8"/>
      <c r="F9901" s="8"/>
    </row>
    <row r="9902" spans="2:6">
      <c r="B9902" s="44"/>
      <c r="D9902" s="8"/>
      <c r="E9902" s="8"/>
      <c r="F9902" s="8"/>
    </row>
    <row r="9903" spans="2:6">
      <c r="B9903" s="44"/>
      <c r="D9903" s="8"/>
      <c r="E9903" s="8"/>
      <c r="F9903" s="8"/>
    </row>
    <row r="9904" spans="2:6">
      <c r="B9904" s="44"/>
      <c r="D9904" s="8"/>
      <c r="E9904" s="8"/>
      <c r="F9904" s="8"/>
    </row>
    <row r="9905" spans="2:6">
      <c r="B9905" s="44"/>
      <c r="D9905" s="8"/>
      <c r="E9905" s="8"/>
      <c r="F9905" s="8"/>
    </row>
    <row r="9906" spans="2:6">
      <c r="B9906" s="44"/>
      <c r="D9906" s="8"/>
      <c r="E9906" s="8"/>
      <c r="F9906" s="8"/>
    </row>
    <row r="9907" spans="2:6">
      <c r="B9907" s="44"/>
      <c r="D9907" s="8"/>
      <c r="E9907" s="8"/>
      <c r="F9907" s="8"/>
    </row>
    <row r="9908" spans="2:6">
      <c r="B9908" s="44"/>
      <c r="D9908" s="8"/>
      <c r="E9908" s="8"/>
      <c r="F9908" s="8"/>
    </row>
    <row r="9909" spans="2:6">
      <c r="B9909" s="44"/>
      <c r="D9909" s="8"/>
      <c r="E9909" s="8"/>
      <c r="F9909" s="8"/>
    </row>
    <row r="9910" spans="2:6">
      <c r="B9910" s="44"/>
      <c r="D9910" s="8"/>
      <c r="E9910" s="8"/>
      <c r="F9910" s="8"/>
    </row>
    <row r="9911" spans="2:6">
      <c r="B9911" s="44"/>
      <c r="D9911" s="8"/>
      <c r="E9911" s="8"/>
      <c r="F9911" s="8"/>
    </row>
    <row r="9912" spans="2:6">
      <c r="B9912" s="44"/>
      <c r="D9912" s="8"/>
      <c r="E9912" s="8"/>
      <c r="F9912" s="8"/>
    </row>
    <row r="9913" spans="2:6">
      <c r="B9913" s="44"/>
      <c r="D9913" s="8"/>
      <c r="E9913" s="8"/>
      <c r="F9913" s="8"/>
    </row>
    <row r="9914" spans="2:6">
      <c r="B9914" s="44"/>
      <c r="D9914" s="8"/>
      <c r="E9914" s="8"/>
      <c r="F9914" s="8"/>
    </row>
    <row r="9915" spans="2:6">
      <c r="B9915" s="44"/>
      <c r="D9915" s="8"/>
      <c r="E9915" s="8"/>
      <c r="F9915" s="8"/>
    </row>
    <row r="9916" spans="2:6">
      <c r="B9916" s="44"/>
      <c r="D9916" s="8"/>
      <c r="E9916" s="8"/>
      <c r="F9916" s="8"/>
    </row>
    <row r="9917" spans="2:6">
      <c r="B9917" s="44"/>
      <c r="D9917" s="8"/>
      <c r="E9917" s="8"/>
      <c r="F9917" s="8"/>
    </row>
    <row r="9918" spans="2:6">
      <c r="B9918" s="44"/>
      <c r="D9918" s="8"/>
      <c r="E9918" s="8"/>
      <c r="F9918" s="8"/>
    </row>
    <row r="9919" spans="2:6">
      <c r="B9919" s="44"/>
      <c r="D9919" s="8"/>
      <c r="E9919" s="8"/>
      <c r="F9919" s="8"/>
    </row>
    <row r="9920" spans="2:6">
      <c r="B9920" s="44"/>
      <c r="D9920" s="8"/>
      <c r="E9920" s="8"/>
      <c r="F9920" s="8"/>
    </row>
    <row r="9921" spans="2:6">
      <c r="B9921" s="44"/>
      <c r="D9921" s="8"/>
      <c r="E9921" s="8"/>
      <c r="F9921" s="8"/>
    </row>
    <row r="9922" spans="2:6">
      <c r="B9922" s="44"/>
      <c r="D9922" s="8"/>
      <c r="E9922" s="8"/>
      <c r="F9922" s="8"/>
    </row>
    <row r="9923" spans="2:6">
      <c r="B9923" s="44"/>
      <c r="D9923" s="8"/>
      <c r="E9923" s="8"/>
      <c r="F9923" s="8"/>
    </row>
    <row r="9924" spans="2:6">
      <c r="B9924" s="44"/>
      <c r="D9924" s="8"/>
      <c r="E9924" s="8"/>
      <c r="F9924" s="8"/>
    </row>
    <row r="9925" spans="2:6">
      <c r="B9925" s="44"/>
      <c r="D9925" s="8"/>
      <c r="E9925" s="8"/>
      <c r="F9925" s="8"/>
    </row>
    <row r="9926" spans="2:6">
      <c r="B9926" s="44"/>
      <c r="D9926" s="8"/>
      <c r="E9926" s="8"/>
      <c r="F9926" s="8"/>
    </row>
    <row r="9927" spans="2:6">
      <c r="B9927" s="44"/>
      <c r="D9927" s="8"/>
      <c r="E9927" s="8"/>
      <c r="F9927" s="8"/>
    </row>
    <row r="9928" spans="2:6">
      <c r="B9928" s="44"/>
      <c r="D9928" s="8"/>
      <c r="E9928" s="8"/>
      <c r="F9928" s="8"/>
    </row>
    <row r="9929" spans="2:6">
      <c r="B9929" s="44"/>
      <c r="D9929" s="8"/>
      <c r="E9929" s="8"/>
      <c r="F9929" s="8"/>
    </row>
    <row r="9930" spans="2:6">
      <c r="B9930" s="44"/>
      <c r="D9930" s="8"/>
      <c r="E9930" s="8"/>
      <c r="F9930" s="8"/>
    </row>
    <row r="9931" spans="2:6">
      <c r="B9931" s="44"/>
      <c r="D9931" s="8"/>
      <c r="E9931" s="8"/>
      <c r="F9931" s="8"/>
    </row>
    <row r="9932" spans="2:6">
      <c r="B9932" s="44"/>
      <c r="D9932" s="8"/>
      <c r="E9932" s="8"/>
      <c r="F9932" s="8"/>
    </row>
    <row r="9933" spans="2:6">
      <c r="B9933" s="44"/>
      <c r="D9933" s="8"/>
      <c r="E9933" s="8"/>
      <c r="F9933" s="8"/>
    </row>
    <row r="9934" spans="2:6">
      <c r="B9934" s="44"/>
      <c r="D9934" s="8"/>
      <c r="E9934" s="8"/>
      <c r="F9934" s="8"/>
    </row>
    <row r="9935" spans="2:6">
      <c r="B9935" s="44"/>
      <c r="D9935" s="8"/>
      <c r="E9935" s="8"/>
      <c r="F9935" s="8"/>
    </row>
    <row r="9936" spans="2:6">
      <c r="B9936" s="44"/>
      <c r="D9936" s="8"/>
      <c r="E9936" s="8"/>
      <c r="F9936" s="8"/>
    </row>
    <row r="9937" spans="2:6">
      <c r="B9937" s="44"/>
      <c r="D9937" s="8"/>
      <c r="E9937" s="8"/>
      <c r="F9937" s="8"/>
    </row>
    <row r="9938" spans="2:6">
      <c r="B9938" s="44"/>
      <c r="D9938" s="8"/>
      <c r="E9938" s="8"/>
      <c r="F9938" s="8"/>
    </row>
    <row r="9939" spans="2:6">
      <c r="B9939" s="44"/>
      <c r="D9939" s="8"/>
      <c r="E9939" s="8"/>
      <c r="F9939" s="8"/>
    </row>
    <row r="9940" spans="2:6">
      <c r="B9940" s="44"/>
      <c r="D9940" s="8"/>
      <c r="E9940" s="8"/>
      <c r="F9940" s="8"/>
    </row>
    <row r="9941" spans="2:6">
      <c r="B9941" s="44"/>
      <c r="D9941" s="8"/>
      <c r="E9941" s="8"/>
      <c r="F9941" s="8"/>
    </row>
    <row r="9942" spans="2:6">
      <c r="B9942" s="44"/>
      <c r="D9942" s="8"/>
      <c r="E9942" s="8"/>
      <c r="F9942" s="8"/>
    </row>
    <row r="9943" spans="2:6">
      <c r="B9943" s="44"/>
      <c r="D9943" s="8"/>
      <c r="E9943" s="8"/>
      <c r="F9943" s="8"/>
    </row>
    <row r="9944" spans="2:6">
      <c r="B9944" s="44"/>
      <c r="D9944" s="8"/>
      <c r="E9944" s="8"/>
      <c r="F9944" s="8"/>
    </row>
    <row r="9945" spans="2:6">
      <c r="B9945" s="44"/>
      <c r="D9945" s="8"/>
      <c r="E9945" s="8"/>
      <c r="F9945" s="8"/>
    </row>
    <row r="9946" spans="2:6">
      <c r="B9946" s="44"/>
      <c r="D9946" s="8"/>
      <c r="E9946" s="8"/>
      <c r="F9946" s="8"/>
    </row>
    <row r="9947" spans="2:6">
      <c r="B9947" s="44"/>
      <c r="D9947" s="8"/>
      <c r="E9947" s="8"/>
      <c r="F9947" s="8"/>
    </row>
    <row r="9948" spans="2:6">
      <c r="B9948" s="44"/>
      <c r="D9948" s="8"/>
      <c r="E9948" s="8"/>
      <c r="F9948" s="8"/>
    </row>
    <row r="9949" spans="2:6">
      <c r="B9949" s="44"/>
      <c r="D9949" s="8"/>
      <c r="E9949" s="8"/>
      <c r="F9949" s="8"/>
    </row>
    <row r="9950" spans="2:6">
      <c r="B9950" s="44"/>
      <c r="D9950" s="8"/>
      <c r="E9950" s="8"/>
      <c r="F9950" s="8"/>
    </row>
    <row r="9951" spans="2:6">
      <c r="B9951" s="44"/>
      <c r="D9951" s="8"/>
      <c r="E9951" s="8"/>
      <c r="F9951" s="8"/>
    </row>
    <row r="9952" spans="2:6">
      <c r="B9952" s="44"/>
      <c r="D9952" s="8"/>
      <c r="E9952" s="8"/>
      <c r="F9952" s="8"/>
    </row>
    <row r="9953" spans="2:6">
      <c r="B9953" s="44"/>
      <c r="D9953" s="8"/>
      <c r="E9953" s="8"/>
      <c r="F9953" s="8"/>
    </row>
    <row r="9954" spans="2:6">
      <c r="B9954" s="44"/>
      <c r="D9954" s="8"/>
      <c r="E9954" s="8"/>
      <c r="F9954" s="8"/>
    </row>
    <row r="9955" spans="2:6">
      <c r="B9955" s="44"/>
      <c r="D9955" s="8"/>
      <c r="E9955" s="8"/>
      <c r="F9955" s="8"/>
    </row>
    <row r="9956" spans="2:6">
      <c r="B9956" s="44"/>
      <c r="D9956" s="8"/>
      <c r="E9956" s="8"/>
      <c r="F9956" s="8"/>
    </row>
    <row r="9957" spans="2:6">
      <c r="B9957" s="44"/>
      <c r="D9957" s="8"/>
      <c r="E9957" s="8"/>
      <c r="F9957" s="8"/>
    </row>
    <row r="9958" spans="2:6">
      <c r="B9958" s="44"/>
      <c r="D9958" s="8"/>
      <c r="E9958" s="8"/>
      <c r="F9958" s="8"/>
    </row>
    <row r="9959" spans="2:6">
      <c r="B9959" s="44"/>
      <c r="D9959" s="8"/>
      <c r="E9959" s="8"/>
      <c r="F9959" s="8"/>
    </row>
    <row r="9960" spans="2:6">
      <c r="B9960" s="44"/>
      <c r="D9960" s="8"/>
      <c r="E9960" s="8"/>
      <c r="F9960" s="8"/>
    </row>
    <row r="9961" spans="2:6">
      <c r="B9961" s="44"/>
      <c r="D9961" s="8"/>
      <c r="E9961" s="8"/>
      <c r="F9961" s="8"/>
    </row>
    <row r="9962" spans="2:6">
      <c r="B9962" s="44"/>
      <c r="D9962" s="8"/>
      <c r="E9962" s="8"/>
      <c r="F9962" s="8"/>
    </row>
    <row r="9963" spans="2:6">
      <c r="B9963" s="44"/>
      <c r="D9963" s="8"/>
      <c r="E9963" s="8"/>
      <c r="F9963" s="8"/>
    </row>
    <row r="9964" spans="2:6">
      <c r="B9964" s="44"/>
      <c r="D9964" s="8"/>
      <c r="E9964" s="8"/>
      <c r="F9964" s="8"/>
    </row>
    <row r="9965" spans="2:6">
      <c r="B9965" s="44"/>
      <c r="D9965" s="8"/>
      <c r="E9965" s="8"/>
      <c r="F9965" s="8"/>
    </row>
    <row r="9966" spans="2:6">
      <c r="B9966" s="44"/>
      <c r="D9966" s="8"/>
      <c r="E9966" s="8"/>
      <c r="F9966" s="8"/>
    </row>
    <row r="9967" spans="2:6">
      <c r="B9967" s="44"/>
      <c r="D9967" s="8"/>
      <c r="E9967" s="8"/>
      <c r="F9967" s="8"/>
    </row>
    <row r="9968" spans="2:6">
      <c r="B9968" s="44"/>
      <c r="D9968" s="8"/>
      <c r="E9968" s="8"/>
      <c r="F9968" s="8"/>
    </row>
    <row r="9969" spans="2:6">
      <c r="B9969" s="44"/>
      <c r="D9969" s="8"/>
      <c r="E9969" s="8"/>
      <c r="F9969" s="8"/>
    </row>
    <row r="9970" spans="2:6">
      <c r="B9970" s="44"/>
      <c r="D9970" s="8"/>
      <c r="E9970" s="8"/>
      <c r="F9970" s="8"/>
    </row>
    <row r="9971" spans="2:6">
      <c r="B9971" s="44"/>
      <c r="D9971" s="8"/>
      <c r="E9971" s="8"/>
      <c r="F9971" s="8"/>
    </row>
    <row r="9972" spans="2:6">
      <c r="B9972" s="44"/>
      <c r="D9972" s="8"/>
      <c r="E9972" s="8"/>
      <c r="F9972" s="8"/>
    </row>
    <row r="9973" spans="2:6">
      <c r="B9973" s="44"/>
      <c r="D9973" s="8"/>
      <c r="E9973" s="8"/>
      <c r="F9973" s="8"/>
    </row>
    <row r="9974" spans="2:6">
      <c r="B9974" s="44"/>
      <c r="D9974" s="8"/>
      <c r="E9974" s="8"/>
      <c r="F9974" s="8"/>
    </row>
    <row r="9975" spans="2:6">
      <c r="B9975" s="44"/>
      <c r="D9975" s="8"/>
      <c r="E9975" s="8"/>
      <c r="F9975" s="8"/>
    </row>
    <row r="9976" spans="2:6">
      <c r="B9976" s="44"/>
      <c r="D9976" s="8"/>
      <c r="E9976" s="8"/>
      <c r="F9976" s="8"/>
    </row>
    <row r="9977" spans="2:6">
      <c r="B9977" s="44"/>
      <c r="D9977" s="8"/>
      <c r="E9977" s="8"/>
      <c r="F9977" s="8"/>
    </row>
    <row r="9978" spans="2:6">
      <c r="B9978" s="44"/>
      <c r="D9978" s="8"/>
      <c r="E9978" s="8"/>
      <c r="F9978" s="8"/>
    </row>
    <row r="9979" spans="2:6">
      <c r="B9979" s="44"/>
      <c r="D9979" s="8"/>
      <c r="E9979" s="8"/>
      <c r="F9979" s="8"/>
    </row>
    <row r="9980" spans="2:6">
      <c r="B9980" s="44"/>
      <c r="D9980" s="8"/>
      <c r="E9980" s="8"/>
      <c r="F9980" s="8"/>
    </row>
    <row r="9981" spans="2:6">
      <c r="B9981" s="44"/>
      <c r="D9981" s="8"/>
      <c r="E9981" s="8"/>
      <c r="F9981" s="8"/>
    </row>
    <row r="9982" spans="2:6">
      <c r="B9982" s="44"/>
      <c r="D9982" s="8"/>
      <c r="E9982" s="8"/>
      <c r="F9982" s="8"/>
    </row>
    <row r="9983" spans="2:6">
      <c r="B9983" s="44"/>
      <c r="D9983" s="8"/>
      <c r="E9983" s="8"/>
      <c r="F9983" s="8"/>
    </row>
    <row r="9984" spans="2:6">
      <c r="B9984" s="44"/>
      <c r="D9984" s="8"/>
      <c r="E9984" s="8"/>
      <c r="F9984" s="8"/>
    </row>
    <row r="9985" spans="2:6">
      <c r="B9985" s="44"/>
      <c r="D9985" s="8"/>
      <c r="E9985" s="8"/>
      <c r="F9985" s="8"/>
    </row>
    <row r="9986" spans="2:6">
      <c r="B9986" s="44"/>
      <c r="D9986" s="8"/>
      <c r="E9986" s="8"/>
      <c r="F9986" s="8"/>
    </row>
    <row r="9987" spans="2:6">
      <c r="B9987" s="44"/>
      <c r="D9987" s="8"/>
      <c r="E9987" s="8"/>
      <c r="F9987" s="8"/>
    </row>
    <row r="9988" spans="2:6">
      <c r="B9988" s="44"/>
      <c r="D9988" s="8"/>
      <c r="E9988" s="8"/>
      <c r="F9988" s="8"/>
    </row>
    <row r="9989" spans="2:6">
      <c r="B9989" s="44"/>
      <c r="D9989" s="8"/>
      <c r="E9989" s="8"/>
      <c r="F9989" s="8"/>
    </row>
    <row r="9990" spans="2:6">
      <c r="B9990" s="44"/>
      <c r="D9990" s="8"/>
      <c r="E9990" s="8"/>
      <c r="F9990" s="8"/>
    </row>
    <row r="9991" spans="2:6">
      <c r="B9991" s="44"/>
      <c r="D9991" s="8"/>
      <c r="E9991" s="8"/>
      <c r="F9991" s="8"/>
    </row>
    <row r="9992" spans="2:6">
      <c r="B9992" s="44"/>
      <c r="D9992" s="8"/>
      <c r="E9992" s="8"/>
      <c r="F9992" s="8"/>
    </row>
    <row r="9993" spans="2:6">
      <c r="B9993" s="44"/>
      <c r="D9993" s="8"/>
      <c r="E9993" s="8"/>
      <c r="F9993" s="8"/>
    </row>
    <row r="9994" spans="2:6">
      <c r="B9994" s="44"/>
      <c r="D9994" s="8"/>
      <c r="E9994" s="8"/>
      <c r="F9994" s="8"/>
    </row>
    <row r="9995" spans="2:6">
      <c r="B9995" s="44"/>
      <c r="D9995" s="8"/>
      <c r="E9995" s="8"/>
      <c r="F9995" s="8"/>
    </row>
    <row r="9996" spans="2:6">
      <c r="B9996" s="44"/>
      <c r="D9996" s="8"/>
      <c r="E9996" s="8"/>
      <c r="F9996" s="8"/>
    </row>
    <row r="9997" spans="2:6">
      <c r="B9997" s="44"/>
      <c r="D9997" s="8"/>
      <c r="E9997" s="8"/>
      <c r="F9997" s="8"/>
    </row>
    <row r="9998" spans="2:6">
      <c r="B9998" s="44"/>
      <c r="D9998" s="8"/>
      <c r="E9998" s="8"/>
      <c r="F9998" s="8"/>
    </row>
    <row r="9999" spans="2:6">
      <c r="B9999" s="44"/>
      <c r="D9999" s="8"/>
      <c r="E9999" s="8"/>
      <c r="F9999" s="8"/>
    </row>
    <row r="10000" spans="2:6">
      <c r="B10000" s="44"/>
      <c r="D10000" s="8"/>
      <c r="E10000" s="8"/>
      <c r="F10000" s="8"/>
    </row>
    <row r="10001" spans="2:6">
      <c r="B10001" s="44"/>
      <c r="D10001" s="8"/>
      <c r="E10001" s="8"/>
      <c r="F10001" s="8"/>
    </row>
    <row r="10002" spans="2:6">
      <c r="B10002" s="44"/>
      <c r="D10002" s="8"/>
      <c r="E10002" s="8"/>
      <c r="F10002" s="8"/>
    </row>
    <row r="10003" spans="2:6">
      <c r="B10003" s="44"/>
      <c r="D10003" s="8"/>
      <c r="E10003" s="8"/>
      <c r="F10003" s="8"/>
    </row>
    <row r="10004" spans="2:6">
      <c r="B10004" s="44"/>
      <c r="D10004" s="8"/>
      <c r="E10004" s="8"/>
      <c r="F10004" s="8"/>
    </row>
    <row r="10005" spans="2:6">
      <c r="B10005" s="44"/>
      <c r="D10005" s="8"/>
      <c r="E10005" s="8"/>
      <c r="F10005" s="8"/>
    </row>
    <row r="10006" spans="2:6">
      <c r="B10006" s="44"/>
      <c r="D10006" s="8"/>
      <c r="E10006" s="8"/>
      <c r="F10006" s="8"/>
    </row>
    <row r="10007" spans="2:6">
      <c r="B10007" s="44"/>
      <c r="D10007" s="8"/>
      <c r="E10007" s="8"/>
      <c r="F10007" s="8"/>
    </row>
    <row r="10008" spans="2:6">
      <c r="B10008" s="44"/>
      <c r="D10008" s="8"/>
      <c r="E10008" s="8"/>
      <c r="F10008" s="8"/>
    </row>
    <row r="10009" spans="2:6">
      <c r="B10009" s="44"/>
      <c r="D10009" s="8"/>
      <c r="E10009" s="8"/>
      <c r="F10009" s="8"/>
    </row>
    <row r="10010" spans="2:6">
      <c r="B10010" s="44"/>
      <c r="D10010" s="8"/>
      <c r="E10010" s="8"/>
      <c r="F10010" s="8"/>
    </row>
    <row r="10011" spans="2:6">
      <c r="B10011" s="44"/>
      <c r="D10011" s="8"/>
      <c r="E10011" s="8"/>
      <c r="F10011" s="8"/>
    </row>
    <row r="10012" spans="2:6">
      <c r="B10012" s="44"/>
      <c r="D10012" s="8"/>
      <c r="E10012" s="8"/>
      <c r="F10012" s="8"/>
    </row>
    <row r="10013" spans="2:6">
      <c r="B10013" s="44"/>
      <c r="D10013" s="8"/>
      <c r="E10013" s="8"/>
      <c r="F10013" s="8"/>
    </row>
    <row r="10014" spans="2:6">
      <c r="B10014" s="44"/>
      <c r="D10014" s="8"/>
      <c r="E10014" s="8"/>
      <c r="F10014" s="8"/>
    </row>
    <row r="10015" spans="2:6">
      <c r="B10015" s="44"/>
      <c r="D10015" s="8"/>
      <c r="E10015" s="8"/>
      <c r="F10015" s="8"/>
    </row>
    <row r="10016" spans="2:6">
      <c r="B10016" s="44"/>
      <c r="D10016" s="8"/>
      <c r="E10016" s="8"/>
      <c r="F10016" s="8"/>
    </row>
    <row r="10017" spans="2:6">
      <c r="B10017" s="44"/>
      <c r="D10017" s="8"/>
      <c r="E10017" s="8"/>
      <c r="F10017" s="8"/>
    </row>
    <row r="10018" spans="2:6">
      <c r="B10018" s="44"/>
      <c r="D10018" s="8"/>
      <c r="E10018" s="8"/>
      <c r="F10018" s="8"/>
    </row>
    <row r="10019" spans="2:6">
      <c r="B10019" s="44"/>
      <c r="D10019" s="8"/>
      <c r="E10019" s="8"/>
      <c r="F10019" s="8"/>
    </row>
    <row r="10020" spans="2:6">
      <c r="B10020" s="44"/>
      <c r="D10020" s="8"/>
      <c r="E10020" s="8"/>
      <c r="F10020" s="8"/>
    </row>
    <row r="10021" spans="2:6">
      <c r="B10021" s="44"/>
      <c r="D10021" s="8"/>
      <c r="E10021" s="8"/>
      <c r="F10021" s="8"/>
    </row>
    <row r="10022" spans="2:6">
      <c r="B10022" s="44"/>
      <c r="D10022" s="8"/>
      <c r="E10022" s="8"/>
      <c r="F10022" s="8"/>
    </row>
    <row r="10023" spans="2:6">
      <c r="B10023" s="44"/>
      <c r="D10023" s="8"/>
      <c r="E10023" s="8"/>
      <c r="F10023" s="8"/>
    </row>
    <row r="10024" spans="2:6">
      <c r="B10024" s="44"/>
      <c r="D10024" s="8"/>
      <c r="E10024" s="8"/>
      <c r="F10024" s="8"/>
    </row>
    <row r="10025" spans="2:6">
      <c r="B10025" s="44"/>
      <c r="D10025" s="8"/>
      <c r="E10025" s="8"/>
      <c r="F10025" s="8"/>
    </row>
    <row r="10026" spans="2:6">
      <c r="B10026" s="44"/>
      <c r="D10026" s="8"/>
      <c r="E10026" s="8"/>
      <c r="F10026" s="8"/>
    </row>
    <row r="10027" spans="2:6">
      <c r="B10027" s="44"/>
      <c r="D10027" s="8"/>
      <c r="E10027" s="8"/>
      <c r="F10027" s="8"/>
    </row>
    <row r="10028" spans="2:6">
      <c r="B10028" s="44"/>
      <c r="D10028" s="8"/>
      <c r="E10028" s="8"/>
      <c r="F10028" s="8"/>
    </row>
    <row r="10029" spans="2:6">
      <c r="B10029" s="44"/>
      <c r="D10029" s="8"/>
      <c r="E10029" s="8"/>
      <c r="F10029" s="8"/>
    </row>
    <row r="10030" spans="2:6">
      <c r="B10030" s="44"/>
      <c r="D10030" s="8"/>
      <c r="E10030" s="8"/>
      <c r="F10030" s="8"/>
    </row>
    <row r="10031" spans="2:6">
      <c r="B10031" s="44"/>
      <c r="D10031" s="8"/>
      <c r="E10031" s="8"/>
      <c r="F10031" s="8"/>
    </row>
    <row r="10032" spans="2:6">
      <c r="B10032" s="44"/>
      <c r="D10032" s="8"/>
      <c r="E10032" s="8"/>
      <c r="F10032" s="8"/>
    </row>
    <row r="10033" spans="2:6">
      <c r="B10033" s="44"/>
      <c r="D10033" s="8"/>
      <c r="E10033" s="8"/>
      <c r="F10033" s="8"/>
    </row>
    <row r="10034" spans="2:6">
      <c r="B10034" s="44"/>
      <c r="D10034" s="8"/>
      <c r="E10034" s="8"/>
      <c r="F10034" s="8"/>
    </row>
    <row r="10035" spans="2:6">
      <c r="B10035" s="44"/>
      <c r="D10035" s="8"/>
      <c r="E10035" s="8"/>
      <c r="F10035" s="8"/>
    </row>
    <row r="10036" spans="2:6">
      <c r="B10036" s="44"/>
      <c r="D10036" s="8"/>
      <c r="E10036" s="8"/>
      <c r="F10036" s="8"/>
    </row>
    <row r="10037" spans="2:6">
      <c r="B10037" s="44"/>
      <c r="D10037" s="8"/>
      <c r="E10037" s="8"/>
      <c r="F10037" s="8"/>
    </row>
    <row r="10038" spans="2:6">
      <c r="B10038" s="44"/>
      <c r="D10038" s="8"/>
      <c r="E10038" s="8"/>
      <c r="F10038" s="8"/>
    </row>
    <row r="10039" spans="2:6">
      <c r="B10039" s="44"/>
      <c r="D10039" s="8"/>
      <c r="E10039" s="8"/>
      <c r="F10039" s="8"/>
    </row>
    <row r="10040" spans="2:6">
      <c r="B10040" s="44"/>
      <c r="D10040" s="8"/>
      <c r="E10040" s="8"/>
      <c r="F10040" s="8"/>
    </row>
    <row r="10041" spans="2:6">
      <c r="B10041" s="44"/>
      <c r="D10041" s="8"/>
      <c r="E10041" s="8"/>
      <c r="F10041" s="8"/>
    </row>
    <row r="10042" spans="2:6">
      <c r="B10042" s="44"/>
      <c r="D10042" s="8"/>
      <c r="E10042" s="8"/>
      <c r="F10042" s="8"/>
    </row>
    <row r="10043" spans="2:6">
      <c r="B10043" s="44"/>
      <c r="D10043" s="8"/>
      <c r="E10043" s="8"/>
      <c r="F10043" s="8"/>
    </row>
    <row r="10044" spans="2:6">
      <c r="B10044" s="44"/>
      <c r="D10044" s="8"/>
      <c r="E10044" s="8"/>
      <c r="F10044" s="8"/>
    </row>
    <row r="10045" spans="2:6">
      <c r="B10045" s="44"/>
      <c r="D10045" s="8"/>
      <c r="E10045" s="8"/>
      <c r="F10045" s="8"/>
    </row>
    <row r="10046" spans="2:6">
      <c r="B10046" s="44"/>
      <c r="D10046" s="8"/>
      <c r="E10046" s="8"/>
      <c r="F10046" s="8"/>
    </row>
    <row r="10047" spans="2:6">
      <c r="B10047" s="44"/>
      <c r="D10047" s="8"/>
      <c r="E10047" s="8"/>
      <c r="F10047" s="8"/>
    </row>
    <row r="10048" spans="2:6">
      <c r="B10048" s="44"/>
      <c r="D10048" s="8"/>
      <c r="E10048" s="8"/>
      <c r="F10048" s="8"/>
    </row>
    <row r="10049" spans="2:6">
      <c r="B10049" s="44"/>
      <c r="D10049" s="8"/>
      <c r="E10049" s="8"/>
      <c r="F10049" s="8"/>
    </row>
    <row r="10050" spans="2:6">
      <c r="B10050" s="44"/>
      <c r="D10050" s="8"/>
      <c r="E10050" s="8"/>
      <c r="F10050" s="8"/>
    </row>
    <row r="10051" spans="2:6">
      <c r="B10051" s="44"/>
      <c r="D10051" s="8"/>
      <c r="E10051" s="8"/>
      <c r="F10051" s="8"/>
    </row>
    <row r="10052" spans="2:6">
      <c r="B10052" s="44"/>
      <c r="D10052" s="8"/>
      <c r="E10052" s="8"/>
      <c r="F10052" s="8"/>
    </row>
    <row r="10053" spans="2:6">
      <c r="B10053" s="44"/>
      <c r="D10053" s="8"/>
      <c r="E10053" s="8"/>
      <c r="F10053" s="8"/>
    </row>
    <row r="10054" spans="2:6">
      <c r="B10054" s="44"/>
      <c r="D10054" s="8"/>
      <c r="E10054" s="8"/>
      <c r="F10054" s="8"/>
    </row>
    <row r="10055" spans="2:6">
      <c r="B10055" s="44"/>
      <c r="D10055" s="8"/>
      <c r="E10055" s="8"/>
      <c r="F10055" s="8"/>
    </row>
    <row r="10056" spans="2:6">
      <c r="B10056" s="44"/>
      <c r="D10056" s="8"/>
      <c r="E10056" s="8"/>
      <c r="F10056" s="8"/>
    </row>
    <row r="10057" spans="2:6">
      <c r="B10057" s="44"/>
      <c r="D10057" s="8"/>
      <c r="E10057" s="8"/>
      <c r="F10057" s="8"/>
    </row>
    <row r="10058" spans="2:6">
      <c r="B10058" s="44"/>
      <c r="D10058" s="8"/>
      <c r="E10058" s="8"/>
      <c r="F10058" s="8"/>
    </row>
    <row r="10059" spans="2:6">
      <c r="B10059" s="44"/>
      <c r="D10059" s="8"/>
      <c r="E10059" s="8"/>
      <c r="F10059" s="8"/>
    </row>
    <row r="10060" spans="2:6">
      <c r="B10060" s="44"/>
      <c r="D10060" s="8"/>
      <c r="E10060" s="8"/>
      <c r="F10060" s="8"/>
    </row>
    <row r="10061" spans="2:6">
      <c r="B10061" s="44"/>
      <c r="D10061" s="8"/>
      <c r="E10061" s="8"/>
      <c r="F10061" s="8"/>
    </row>
    <row r="10062" spans="2:6">
      <c r="B10062" s="44"/>
      <c r="D10062" s="8"/>
      <c r="E10062" s="8"/>
      <c r="F10062" s="8"/>
    </row>
    <row r="10063" spans="2:6">
      <c r="B10063" s="44"/>
      <c r="D10063" s="8"/>
      <c r="E10063" s="8"/>
      <c r="F10063" s="8"/>
    </row>
    <row r="10064" spans="2:6">
      <c r="B10064" s="44"/>
      <c r="D10064" s="8"/>
      <c r="E10064" s="8"/>
      <c r="F10064" s="8"/>
    </row>
    <row r="10065" spans="2:6">
      <c r="B10065" s="44"/>
      <c r="D10065" s="8"/>
      <c r="E10065" s="8"/>
      <c r="F10065" s="8"/>
    </row>
    <row r="10066" spans="2:6">
      <c r="B10066" s="44"/>
      <c r="D10066" s="8"/>
      <c r="E10066" s="8"/>
      <c r="F10066" s="8"/>
    </row>
    <row r="10067" spans="2:6">
      <c r="B10067" s="44"/>
      <c r="D10067" s="8"/>
      <c r="E10067" s="8"/>
      <c r="F10067" s="8"/>
    </row>
    <row r="10068" spans="2:6">
      <c r="B10068" s="44"/>
      <c r="D10068" s="8"/>
      <c r="E10068" s="8"/>
      <c r="F10068" s="8"/>
    </row>
    <row r="10069" spans="2:6">
      <c r="B10069" s="44"/>
      <c r="D10069" s="8"/>
      <c r="E10069" s="8"/>
      <c r="F10069" s="8"/>
    </row>
    <row r="10070" spans="2:6">
      <c r="B10070" s="44"/>
      <c r="D10070" s="8"/>
      <c r="E10070" s="8"/>
      <c r="F10070" s="8"/>
    </row>
    <row r="10071" spans="2:6">
      <c r="B10071" s="44"/>
      <c r="D10071" s="8"/>
      <c r="E10071" s="8"/>
      <c r="F10071" s="8"/>
    </row>
    <row r="10072" spans="2:6">
      <c r="B10072" s="44"/>
      <c r="D10072" s="8"/>
      <c r="E10072" s="8"/>
      <c r="F10072" s="8"/>
    </row>
    <row r="10073" spans="2:6">
      <c r="B10073" s="44"/>
      <c r="D10073" s="8"/>
      <c r="E10073" s="8"/>
      <c r="F10073" s="8"/>
    </row>
    <row r="10074" spans="2:6">
      <c r="B10074" s="44"/>
      <c r="D10074" s="8"/>
      <c r="E10074" s="8"/>
      <c r="F10074" s="8"/>
    </row>
    <row r="10075" spans="2:6">
      <c r="B10075" s="44"/>
      <c r="D10075" s="8"/>
      <c r="E10075" s="8"/>
      <c r="F10075" s="8"/>
    </row>
    <row r="10076" spans="2:6">
      <c r="B10076" s="44"/>
      <c r="D10076" s="8"/>
      <c r="E10076" s="8"/>
      <c r="F10076" s="8"/>
    </row>
    <row r="10077" spans="2:6">
      <c r="B10077" s="44"/>
      <c r="D10077" s="8"/>
      <c r="E10077" s="8"/>
      <c r="F10077" s="8"/>
    </row>
    <row r="10078" spans="2:6">
      <c r="B10078" s="44"/>
      <c r="D10078" s="8"/>
      <c r="E10078" s="8"/>
      <c r="F10078" s="8"/>
    </row>
    <row r="10079" spans="2:6">
      <c r="B10079" s="44"/>
      <c r="D10079" s="8"/>
      <c r="E10079" s="8"/>
      <c r="F10079" s="8"/>
    </row>
    <row r="10080" spans="2:6">
      <c r="B10080" s="44"/>
      <c r="D10080" s="8"/>
      <c r="E10080" s="8"/>
      <c r="F10080" s="8"/>
    </row>
    <row r="10081" spans="2:6">
      <c r="B10081" s="44"/>
      <c r="D10081" s="8"/>
      <c r="E10081" s="8"/>
      <c r="F10081" s="8"/>
    </row>
    <row r="10082" spans="2:6">
      <c r="B10082" s="44"/>
      <c r="D10082" s="8"/>
      <c r="E10082" s="8"/>
      <c r="F10082" s="8"/>
    </row>
    <row r="10083" spans="2:6">
      <c r="B10083" s="44"/>
      <c r="D10083" s="8"/>
      <c r="E10083" s="8"/>
      <c r="F10083" s="8"/>
    </row>
    <row r="10084" spans="2:6">
      <c r="B10084" s="44"/>
      <c r="D10084" s="8"/>
      <c r="E10084" s="8"/>
      <c r="F10084" s="8"/>
    </row>
    <row r="10085" spans="2:6">
      <c r="B10085" s="44"/>
      <c r="D10085" s="8"/>
      <c r="E10085" s="8"/>
      <c r="F10085" s="8"/>
    </row>
    <row r="10086" spans="2:6">
      <c r="B10086" s="44"/>
      <c r="D10086" s="8"/>
      <c r="E10086" s="8"/>
      <c r="F10086" s="8"/>
    </row>
    <row r="10087" spans="2:6">
      <c r="B10087" s="44"/>
      <c r="D10087" s="8"/>
      <c r="E10087" s="8"/>
      <c r="F10087" s="8"/>
    </row>
    <row r="10088" spans="2:6">
      <c r="B10088" s="44"/>
      <c r="D10088" s="8"/>
      <c r="E10088" s="8"/>
      <c r="F10088" s="8"/>
    </row>
    <row r="10089" spans="2:6">
      <c r="B10089" s="44"/>
      <c r="D10089" s="8"/>
      <c r="E10089" s="8"/>
      <c r="F10089" s="8"/>
    </row>
    <row r="10090" spans="2:6">
      <c r="B10090" s="44"/>
      <c r="D10090" s="8"/>
      <c r="E10090" s="8"/>
      <c r="F10090" s="8"/>
    </row>
    <row r="10091" spans="2:6">
      <c r="B10091" s="44"/>
      <c r="D10091" s="8"/>
      <c r="E10091" s="8"/>
      <c r="F10091" s="8"/>
    </row>
    <row r="10092" spans="2:6">
      <c r="B10092" s="44"/>
      <c r="D10092" s="8"/>
      <c r="E10092" s="8"/>
      <c r="F10092" s="8"/>
    </row>
    <row r="10093" spans="2:6">
      <c r="B10093" s="44"/>
      <c r="D10093" s="8"/>
      <c r="E10093" s="8"/>
      <c r="F10093" s="8"/>
    </row>
    <row r="10094" spans="2:6">
      <c r="B10094" s="44"/>
      <c r="D10094" s="8"/>
      <c r="E10094" s="8"/>
      <c r="F10094" s="8"/>
    </row>
    <row r="10095" spans="2:6">
      <c r="B10095" s="44"/>
      <c r="D10095" s="8"/>
      <c r="E10095" s="8"/>
      <c r="F10095" s="8"/>
    </row>
    <row r="10096" spans="2:6">
      <c r="B10096" s="44"/>
      <c r="D10096" s="8"/>
      <c r="E10096" s="8"/>
      <c r="F10096" s="8"/>
    </row>
    <row r="10097" spans="2:6">
      <c r="B10097" s="44"/>
      <c r="D10097" s="8"/>
      <c r="E10097" s="8"/>
      <c r="F10097" s="8"/>
    </row>
    <row r="10098" spans="2:6">
      <c r="B10098" s="44"/>
      <c r="D10098" s="8"/>
      <c r="E10098" s="8"/>
      <c r="F10098" s="8"/>
    </row>
    <row r="10099" spans="2:6">
      <c r="B10099" s="44"/>
      <c r="D10099" s="8"/>
      <c r="E10099" s="8"/>
      <c r="F10099" s="8"/>
    </row>
    <row r="10100" spans="2:6">
      <c r="B10100" s="44"/>
      <c r="D10100" s="8"/>
      <c r="E10100" s="8"/>
      <c r="F10100" s="8"/>
    </row>
    <row r="10101" spans="2:6">
      <c r="B10101" s="44"/>
      <c r="D10101" s="8"/>
      <c r="E10101" s="8"/>
      <c r="F10101" s="8"/>
    </row>
    <row r="10102" spans="2:6">
      <c r="B10102" s="44"/>
      <c r="D10102" s="8"/>
      <c r="E10102" s="8"/>
      <c r="F10102" s="8"/>
    </row>
    <row r="10103" spans="2:6">
      <c r="B10103" s="44"/>
      <c r="D10103" s="8"/>
      <c r="E10103" s="8"/>
      <c r="F10103" s="8"/>
    </row>
    <row r="10104" spans="2:6">
      <c r="B10104" s="44"/>
      <c r="D10104" s="8"/>
      <c r="E10104" s="8"/>
      <c r="F10104" s="8"/>
    </row>
    <row r="10105" spans="2:6">
      <c r="B10105" s="44"/>
      <c r="D10105" s="8"/>
      <c r="E10105" s="8"/>
      <c r="F10105" s="8"/>
    </row>
    <row r="10106" spans="2:6">
      <c r="B10106" s="44"/>
      <c r="D10106" s="8"/>
      <c r="E10106" s="8"/>
      <c r="F10106" s="8"/>
    </row>
    <row r="10107" spans="2:6">
      <c r="B10107" s="44"/>
      <c r="D10107" s="8"/>
      <c r="E10107" s="8"/>
      <c r="F10107" s="8"/>
    </row>
    <row r="10108" spans="2:6">
      <c r="B10108" s="44"/>
      <c r="D10108" s="8"/>
      <c r="E10108" s="8"/>
      <c r="F10108" s="8"/>
    </row>
    <row r="10109" spans="2:6">
      <c r="B10109" s="44"/>
      <c r="D10109" s="8"/>
      <c r="E10109" s="8"/>
      <c r="F10109" s="8"/>
    </row>
    <row r="10110" spans="2:6">
      <c r="B10110" s="44"/>
      <c r="D10110" s="8"/>
      <c r="E10110" s="8"/>
      <c r="F10110" s="8"/>
    </row>
    <row r="10111" spans="2:6">
      <c r="B10111" s="44"/>
      <c r="D10111" s="8"/>
      <c r="E10111" s="8"/>
      <c r="F10111" s="8"/>
    </row>
    <row r="10112" spans="2:6">
      <c r="B10112" s="44"/>
      <c r="D10112" s="8"/>
      <c r="E10112" s="8"/>
      <c r="F10112" s="8"/>
    </row>
    <row r="10113" spans="2:6">
      <c r="B10113" s="44"/>
      <c r="D10113" s="8"/>
      <c r="E10113" s="8"/>
      <c r="F10113" s="8"/>
    </row>
    <row r="10114" spans="2:6">
      <c r="B10114" s="44"/>
      <c r="D10114" s="8"/>
      <c r="E10114" s="8"/>
      <c r="F10114" s="8"/>
    </row>
    <row r="10115" spans="2:6">
      <c r="B10115" s="44"/>
      <c r="D10115" s="8"/>
      <c r="E10115" s="8"/>
      <c r="F10115" s="8"/>
    </row>
    <row r="10116" spans="2:6">
      <c r="B10116" s="44"/>
      <c r="D10116" s="8"/>
      <c r="E10116" s="8"/>
      <c r="F10116" s="8"/>
    </row>
    <row r="10117" spans="2:6">
      <c r="B10117" s="44"/>
      <c r="D10117" s="8"/>
      <c r="E10117" s="8"/>
      <c r="F10117" s="8"/>
    </row>
    <row r="10118" spans="2:6">
      <c r="B10118" s="44"/>
      <c r="D10118" s="8"/>
      <c r="E10118" s="8"/>
      <c r="F10118" s="8"/>
    </row>
    <row r="10119" spans="2:6">
      <c r="B10119" s="44"/>
      <c r="D10119" s="8"/>
      <c r="E10119" s="8"/>
      <c r="F10119" s="8"/>
    </row>
    <row r="10120" spans="2:6">
      <c r="B10120" s="44"/>
      <c r="D10120" s="8"/>
      <c r="E10120" s="8"/>
      <c r="F10120" s="8"/>
    </row>
    <row r="10121" spans="2:6">
      <c r="B10121" s="44"/>
      <c r="D10121" s="8"/>
      <c r="E10121" s="8"/>
      <c r="F10121" s="8"/>
    </row>
    <row r="10122" spans="2:6">
      <c r="B10122" s="44"/>
      <c r="D10122" s="8"/>
      <c r="E10122" s="8"/>
      <c r="F10122" s="8"/>
    </row>
    <row r="10123" spans="2:6">
      <c r="B10123" s="44"/>
      <c r="D10123" s="8"/>
      <c r="E10123" s="8"/>
      <c r="F10123" s="8"/>
    </row>
    <row r="10124" spans="2:6">
      <c r="B10124" s="44"/>
      <c r="D10124" s="8"/>
      <c r="E10124" s="8"/>
      <c r="F10124" s="8"/>
    </row>
    <row r="10125" spans="2:6">
      <c r="B10125" s="44"/>
      <c r="D10125" s="8"/>
      <c r="E10125" s="8"/>
      <c r="F10125" s="8"/>
    </row>
    <row r="10126" spans="2:6">
      <c r="B10126" s="44"/>
      <c r="D10126" s="8"/>
      <c r="E10126" s="8"/>
      <c r="F10126" s="8"/>
    </row>
    <row r="10127" spans="2:6">
      <c r="B10127" s="44"/>
      <c r="D10127" s="8"/>
      <c r="E10127" s="8"/>
      <c r="F10127" s="8"/>
    </row>
    <row r="10128" spans="2:6">
      <c r="B10128" s="44"/>
      <c r="D10128" s="8"/>
      <c r="E10128" s="8"/>
      <c r="F10128" s="8"/>
    </row>
    <row r="10129" spans="2:6">
      <c r="B10129" s="44"/>
      <c r="D10129" s="8"/>
      <c r="E10129" s="8"/>
      <c r="F10129" s="8"/>
    </row>
    <row r="10130" spans="2:6">
      <c r="B10130" s="44"/>
      <c r="D10130" s="8"/>
      <c r="E10130" s="8"/>
      <c r="F10130" s="8"/>
    </row>
    <row r="10131" spans="2:6">
      <c r="B10131" s="44"/>
      <c r="D10131" s="8"/>
      <c r="E10131" s="8"/>
      <c r="F10131" s="8"/>
    </row>
    <row r="10132" spans="2:6">
      <c r="B10132" s="44"/>
      <c r="D10132" s="8"/>
      <c r="E10132" s="8"/>
      <c r="F10132" s="8"/>
    </row>
    <row r="10133" spans="2:6">
      <c r="B10133" s="44"/>
      <c r="D10133" s="8"/>
      <c r="E10133" s="8"/>
      <c r="F10133" s="8"/>
    </row>
    <row r="10134" spans="2:6">
      <c r="B10134" s="44"/>
      <c r="D10134" s="8"/>
      <c r="E10134" s="8"/>
      <c r="F10134" s="8"/>
    </row>
    <row r="10135" spans="2:6">
      <c r="B10135" s="44"/>
      <c r="D10135" s="8"/>
      <c r="E10135" s="8"/>
      <c r="F10135" s="8"/>
    </row>
    <row r="10136" spans="2:6">
      <c r="B10136" s="44"/>
      <c r="D10136" s="8"/>
      <c r="E10136" s="8"/>
      <c r="F10136" s="8"/>
    </row>
    <row r="10137" spans="2:6">
      <c r="B10137" s="44"/>
      <c r="D10137" s="8"/>
      <c r="E10137" s="8"/>
      <c r="F10137" s="8"/>
    </row>
    <row r="10138" spans="2:6">
      <c r="B10138" s="44"/>
      <c r="D10138" s="8"/>
      <c r="E10138" s="8"/>
      <c r="F10138" s="8"/>
    </row>
    <row r="10139" spans="2:6">
      <c r="B10139" s="44"/>
      <c r="D10139" s="8"/>
      <c r="E10139" s="8"/>
      <c r="F10139" s="8"/>
    </row>
    <row r="10140" spans="2:6">
      <c r="B10140" s="44"/>
      <c r="D10140" s="8"/>
      <c r="E10140" s="8"/>
      <c r="F10140" s="8"/>
    </row>
    <row r="10141" spans="2:6">
      <c r="B10141" s="44"/>
      <c r="D10141" s="8"/>
      <c r="E10141" s="8"/>
      <c r="F10141" s="8"/>
    </row>
    <row r="10142" spans="2:6">
      <c r="B10142" s="44"/>
      <c r="D10142" s="8"/>
      <c r="E10142" s="8"/>
      <c r="F10142" s="8"/>
    </row>
    <row r="10143" spans="2:6">
      <c r="B10143" s="44"/>
      <c r="D10143" s="8"/>
      <c r="E10143" s="8"/>
      <c r="F10143" s="8"/>
    </row>
    <row r="10144" spans="2:6">
      <c r="B10144" s="44"/>
      <c r="D10144" s="8"/>
      <c r="E10144" s="8"/>
      <c r="F10144" s="8"/>
    </row>
    <row r="10145" spans="2:6">
      <c r="B10145" s="44"/>
      <c r="D10145" s="8"/>
      <c r="E10145" s="8"/>
      <c r="F10145" s="8"/>
    </row>
    <row r="10146" spans="2:6">
      <c r="B10146" s="44"/>
      <c r="D10146" s="8"/>
      <c r="E10146" s="8"/>
      <c r="F10146" s="8"/>
    </row>
    <row r="10147" spans="2:6">
      <c r="B10147" s="44"/>
      <c r="D10147" s="8"/>
      <c r="E10147" s="8"/>
      <c r="F10147" s="8"/>
    </row>
    <row r="10148" spans="2:6">
      <c r="B10148" s="44"/>
      <c r="D10148" s="8"/>
      <c r="E10148" s="8"/>
      <c r="F10148" s="8"/>
    </row>
    <row r="10149" spans="2:6">
      <c r="B10149" s="44"/>
      <c r="D10149" s="8"/>
      <c r="E10149" s="8"/>
      <c r="F10149" s="8"/>
    </row>
    <row r="10150" spans="2:6">
      <c r="B10150" s="44"/>
      <c r="D10150" s="8"/>
      <c r="E10150" s="8"/>
      <c r="F10150" s="8"/>
    </row>
    <row r="10151" spans="2:6">
      <c r="B10151" s="44"/>
      <c r="D10151" s="8"/>
      <c r="E10151" s="8"/>
      <c r="F10151" s="8"/>
    </row>
    <row r="10152" spans="2:6">
      <c r="B10152" s="44"/>
      <c r="D10152" s="8"/>
      <c r="E10152" s="8"/>
      <c r="F10152" s="8"/>
    </row>
    <row r="10153" spans="2:6">
      <c r="B10153" s="44"/>
      <c r="D10153" s="8"/>
      <c r="E10153" s="8"/>
      <c r="F10153" s="8"/>
    </row>
    <row r="10154" spans="2:6">
      <c r="B10154" s="44"/>
      <c r="D10154" s="8"/>
      <c r="E10154" s="8"/>
      <c r="F10154" s="8"/>
    </row>
    <row r="10155" spans="2:6">
      <c r="B10155" s="44"/>
      <c r="D10155" s="8"/>
      <c r="E10155" s="8"/>
      <c r="F10155" s="8"/>
    </row>
    <row r="10156" spans="2:6">
      <c r="B10156" s="44"/>
      <c r="D10156" s="8"/>
      <c r="E10156" s="8"/>
      <c r="F10156" s="8"/>
    </row>
    <row r="10157" spans="2:6">
      <c r="B10157" s="44"/>
      <c r="D10157" s="8"/>
      <c r="E10157" s="8"/>
      <c r="F10157" s="8"/>
    </row>
    <row r="10158" spans="2:6">
      <c r="B10158" s="44"/>
      <c r="D10158" s="8"/>
      <c r="E10158" s="8"/>
      <c r="F10158" s="8"/>
    </row>
    <row r="10159" spans="2:6">
      <c r="B10159" s="44"/>
      <c r="D10159" s="8"/>
      <c r="E10159" s="8"/>
      <c r="F10159" s="8"/>
    </row>
    <row r="10160" spans="2:6">
      <c r="B10160" s="44"/>
      <c r="D10160" s="8"/>
      <c r="E10160" s="8"/>
      <c r="F10160" s="8"/>
    </row>
    <row r="10161" spans="2:6">
      <c r="B10161" s="44"/>
      <c r="D10161" s="8"/>
      <c r="E10161" s="8"/>
      <c r="F10161" s="8"/>
    </row>
    <row r="10162" spans="2:6">
      <c r="B10162" s="44"/>
      <c r="D10162" s="8"/>
      <c r="E10162" s="8"/>
      <c r="F10162" s="8"/>
    </row>
    <row r="10163" spans="2:6">
      <c r="B10163" s="44"/>
      <c r="D10163" s="8"/>
      <c r="E10163" s="8"/>
      <c r="F10163" s="8"/>
    </row>
    <row r="10164" spans="2:6">
      <c r="B10164" s="44"/>
      <c r="D10164" s="8"/>
      <c r="E10164" s="8"/>
      <c r="F10164" s="8"/>
    </row>
    <row r="10165" spans="2:6">
      <c r="B10165" s="44"/>
      <c r="D10165" s="8"/>
      <c r="E10165" s="8"/>
      <c r="F10165" s="8"/>
    </row>
    <row r="10166" spans="2:6">
      <c r="B10166" s="44"/>
      <c r="D10166" s="8"/>
      <c r="E10166" s="8"/>
      <c r="F10166" s="8"/>
    </row>
    <row r="10167" spans="2:6">
      <c r="B10167" s="44"/>
      <c r="D10167" s="8"/>
      <c r="E10167" s="8"/>
      <c r="F10167" s="8"/>
    </row>
    <row r="10168" spans="2:6">
      <c r="B10168" s="44"/>
      <c r="D10168" s="8"/>
      <c r="E10168" s="8"/>
      <c r="F10168" s="8"/>
    </row>
    <row r="10169" spans="2:6">
      <c r="B10169" s="44"/>
      <c r="D10169" s="8"/>
      <c r="E10169" s="8"/>
      <c r="F10169" s="8"/>
    </row>
    <row r="10170" spans="2:6">
      <c r="B10170" s="44"/>
      <c r="D10170" s="8"/>
      <c r="E10170" s="8"/>
      <c r="F10170" s="8"/>
    </row>
    <row r="10171" spans="2:6">
      <c r="B10171" s="44"/>
      <c r="D10171" s="8"/>
      <c r="E10171" s="8"/>
      <c r="F10171" s="8"/>
    </row>
    <row r="10172" spans="2:6">
      <c r="B10172" s="44"/>
      <c r="D10172" s="8"/>
      <c r="E10172" s="8"/>
      <c r="F10172" s="8"/>
    </row>
    <row r="10173" spans="2:6">
      <c r="B10173" s="44"/>
      <c r="D10173" s="8"/>
      <c r="E10173" s="8"/>
      <c r="F10173" s="8"/>
    </row>
    <row r="10174" spans="2:6">
      <c r="B10174" s="44"/>
      <c r="D10174" s="8"/>
      <c r="E10174" s="8"/>
      <c r="F10174" s="8"/>
    </row>
    <row r="10175" spans="2:6">
      <c r="B10175" s="44"/>
      <c r="D10175" s="8"/>
      <c r="E10175" s="8"/>
      <c r="F10175" s="8"/>
    </row>
    <row r="10176" spans="2:6">
      <c r="B10176" s="44"/>
      <c r="D10176" s="8"/>
      <c r="E10176" s="8"/>
      <c r="F10176" s="8"/>
    </row>
    <row r="10177" spans="2:6">
      <c r="B10177" s="44"/>
      <c r="D10177" s="8"/>
      <c r="E10177" s="8"/>
      <c r="F10177" s="8"/>
    </row>
    <row r="10178" spans="2:6">
      <c r="B10178" s="44"/>
      <c r="D10178" s="8"/>
      <c r="E10178" s="8"/>
      <c r="F10178" s="8"/>
    </row>
    <row r="10179" spans="2:6">
      <c r="B10179" s="44"/>
      <c r="D10179" s="8"/>
      <c r="E10179" s="8"/>
      <c r="F10179" s="8"/>
    </row>
    <row r="10180" spans="2:6">
      <c r="B10180" s="44"/>
      <c r="D10180" s="8"/>
      <c r="E10180" s="8"/>
      <c r="F10180" s="8"/>
    </row>
    <row r="10181" spans="2:6">
      <c r="B10181" s="44"/>
      <c r="D10181" s="8"/>
      <c r="E10181" s="8"/>
      <c r="F10181" s="8"/>
    </row>
    <row r="10182" spans="2:6">
      <c r="B10182" s="44"/>
      <c r="D10182" s="8"/>
      <c r="E10182" s="8"/>
      <c r="F10182" s="8"/>
    </row>
    <row r="10183" spans="2:6">
      <c r="B10183" s="44"/>
      <c r="D10183" s="8"/>
      <c r="E10183" s="8"/>
      <c r="F10183" s="8"/>
    </row>
    <row r="10184" spans="2:6">
      <c r="B10184" s="44"/>
      <c r="D10184" s="8"/>
      <c r="E10184" s="8"/>
      <c r="F10184" s="8"/>
    </row>
    <row r="10185" spans="2:6">
      <c r="B10185" s="44"/>
      <c r="D10185" s="8"/>
      <c r="E10185" s="8"/>
      <c r="F10185" s="8"/>
    </row>
    <row r="10186" spans="2:6">
      <c r="B10186" s="44"/>
      <c r="D10186" s="8"/>
      <c r="E10186" s="8"/>
      <c r="F10186" s="8"/>
    </row>
    <row r="10187" spans="2:6">
      <c r="B10187" s="44"/>
      <c r="D10187" s="8"/>
      <c r="E10187" s="8"/>
      <c r="F10187" s="8"/>
    </row>
    <row r="10188" spans="2:6">
      <c r="B10188" s="44"/>
      <c r="D10188" s="8"/>
      <c r="E10188" s="8"/>
      <c r="F10188" s="8"/>
    </row>
    <row r="10189" spans="2:6">
      <c r="B10189" s="44"/>
      <c r="D10189" s="8"/>
      <c r="E10189" s="8"/>
      <c r="F10189" s="8"/>
    </row>
    <row r="10190" spans="2:6">
      <c r="B10190" s="44"/>
      <c r="D10190" s="8"/>
      <c r="E10190" s="8"/>
      <c r="F10190" s="8"/>
    </row>
    <row r="10191" spans="2:6">
      <c r="B10191" s="44"/>
      <c r="D10191" s="8"/>
      <c r="E10191" s="8"/>
      <c r="F10191" s="8"/>
    </row>
    <row r="10192" spans="2:6">
      <c r="B10192" s="44"/>
      <c r="D10192" s="8"/>
      <c r="E10192" s="8"/>
      <c r="F10192" s="8"/>
    </row>
    <row r="10193" spans="2:6">
      <c r="B10193" s="44"/>
      <c r="D10193" s="8"/>
      <c r="E10193" s="8"/>
      <c r="F10193" s="8"/>
    </row>
    <row r="10194" spans="2:6">
      <c r="B10194" s="44"/>
      <c r="D10194" s="8"/>
      <c r="E10194" s="8"/>
      <c r="F10194" s="8"/>
    </row>
    <row r="10195" spans="2:6">
      <c r="B10195" s="44"/>
      <c r="D10195" s="8"/>
      <c r="E10195" s="8"/>
      <c r="F10195" s="8"/>
    </row>
    <row r="10196" spans="2:6">
      <c r="B10196" s="44"/>
      <c r="D10196" s="8"/>
      <c r="E10196" s="8"/>
      <c r="F10196" s="8"/>
    </row>
    <row r="10197" spans="2:6">
      <c r="B10197" s="44"/>
      <c r="D10197" s="8"/>
      <c r="E10197" s="8"/>
      <c r="F10197" s="8"/>
    </row>
    <row r="10198" spans="2:6">
      <c r="B10198" s="44"/>
      <c r="D10198" s="8"/>
      <c r="E10198" s="8"/>
      <c r="F10198" s="8"/>
    </row>
    <row r="10199" spans="2:6">
      <c r="B10199" s="44"/>
      <c r="D10199" s="8"/>
      <c r="E10199" s="8"/>
      <c r="F10199" s="8"/>
    </row>
    <row r="10200" spans="2:6">
      <c r="B10200" s="44"/>
      <c r="D10200" s="8"/>
      <c r="E10200" s="8"/>
      <c r="F10200" s="8"/>
    </row>
    <row r="10201" spans="2:6">
      <c r="B10201" s="44"/>
      <c r="D10201" s="8"/>
      <c r="E10201" s="8"/>
      <c r="F10201" s="8"/>
    </row>
    <row r="10202" spans="2:6">
      <c r="B10202" s="44"/>
      <c r="D10202" s="8"/>
      <c r="E10202" s="8"/>
      <c r="F10202" s="8"/>
    </row>
    <row r="10203" spans="2:6">
      <c r="B10203" s="44"/>
      <c r="D10203" s="8"/>
      <c r="E10203" s="8"/>
      <c r="F10203" s="8"/>
    </row>
    <row r="10204" spans="2:6">
      <c r="B10204" s="44"/>
      <c r="D10204" s="8"/>
      <c r="E10204" s="8"/>
      <c r="F10204" s="8"/>
    </row>
    <row r="10205" spans="2:6">
      <c r="B10205" s="44"/>
      <c r="D10205" s="8"/>
      <c r="E10205" s="8"/>
      <c r="F10205" s="8"/>
    </row>
    <row r="10206" spans="2:6">
      <c r="B10206" s="44"/>
      <c r="D10206" s="8"/>
      <c r="E10206" s="8"/>
      <c r="F10206" s="8"/>
    </row>
    <row r="10207" spans="2:6">
      <c r="B10207" s="44"/>
      <c r="D10207" s="8"/>
      <c r="E10207" s="8"/>
      <c r="F10207" s="8"/>
    </row>
    <row r="10208" spans="2:6">
      <c r="B10208" s="44"/>
      <c r="D10208" s="8"/>
      <c r="E10208" s="8"/>
      <c r="F10208" s="8"/>
    </row>
    <row r="10209" spans="2:6">
      <c r="B10209" s="44"/>
      <c r="D10209" s="8"/>
      <c r="E10209" s="8"/>
      <c r="F10209" s="8"/>
    </row>
    <row r="10210" spans="2:6">
      <c r="B10210" s="44"/>
      <c r="D10210" s="8"/>
      <c r="E10210" s="8"/>
      <c r="F10210" s="8"/>
    </row>
    <row r="10211" spans="2:6">
      <c r="B10211" s="44"/>
      <c r="D10211" s="8"/>
      <c r="E10211" s="8"/>
      <c r="F10211" s="8"/>
    </row>
    <row r="10212" spans="2:6">
      <c r="B10212" s="44"/>
      <c r="D10212" s="8"/>
      <c r="E10212" s="8"/>
      <c r="F10212" s="8"/>
    </row>
    <row r="10213" spans="2:6">
      <c r="B10213" s="44"/>
      <c r="D10213" s="8"/>
      <c r="E10213" s="8"/>
      <c r="F10213" s="8"/>
    </row>
    <row r="10214" spans="2:6">
      <c r="B10214" s="44"/>
      <c r="D10214" s="8"/>
      <c r="E10214" s="8"/>
      <c r="F10214" s="8"/>
    </row>
    <row r="10215" spans="2:6">
      <c r="B10215" s="44"/>
      <c r="D10215" s="8"/>
      <c r="E10215" s="8"/>
      <c r="F10215" s="8"/>
    </row>
    <row r="10216" spans="2:6">
      <c r="B10216" s="44"/>
      <c r="D10216" s="8"/>
      <c r="E10216" s="8"/>
      <c r="F10216" s="8"/>
    </row>
    <row r="10217" spans="2:6">
      <c r="B10217" s="44"/>
      <c r="D10217" s="8"/>
      <c r="E10217" s="8"/>
      <c r="F10217" s="8"/>
    </row>
    <row r="10218" spans="2:6">
      <c r="B10218" s="44"/>
      <c r="D10218" s="8"/>
      <c r="E10218" s="8"/>
      <c r="F10218" s="8"/>
    </row>
    <row r="10219" spans="2:6">
      <c r="B10219" s="44"/>
      <c r="D10219" s="8"/>
      <c r="E10219" s="8"/>
      <c r="F10219" s="8"/>
    </row>
    <row r="10220" spans="2:6">
      <c r="B10220" s="44"/>
      <c r="D10220" s="8"/>
      <c r="E10220" s="8"/>
      <c r="F10220" s="8"/>
    </row>
    <row r="10221" spans="2:6">
      <c r="B10221" s="44"/>
      <c r="D10221" s="8"/>
      <c r="E10221" s="8"/>
      <c r="F10221" s="8"/>
    </row>
    <row r="10222" spans="2:6">
      <c r="B10222" s="44"/>
      <c r="D10222" s="8"/>
      <c r="E10222" s="8"/>
      <c r="F10222" s="8"/>
    </row>
    <row r="10223" spans="2:6">
      <c r="B10223" s="44"/>
      <c r="D10223" s="8"/>
      <c r="E10223" s="8"/>
      <c r="F10223" s="8"/>
    </row>
    <row r="10224" spans="2:6">
      <c r="B10224" s="44"/>
      <c r="D10224" s="8"/>
      <c r="E10224" s="8"/>
      <c r="F10224" s="8"/>
    </row>
    <row r="10225" spans="2:6">
      <c r="B10225" s="44"/>
      <c r="D10225" s="8"/>
      <c r="E10225" s="8"/>
      <c r="F10225" s="8"/>
    </row>
    <row r="10226" spans="2:6">
      <c r="B10226" s="44"/>
      <c r="D10226" s="8"/>
      <c r="E10226" s="8"/>
      <c r="F10226" s="8"/>
    </row>
    <row r="10227" spans="2:6">
      <c r="B10227" s="44"/>
      <c r="D10227" s="8"/>
      <c r="E10227" s="8"/>
      <c r="F10227" s="8"/>
    </row>
    <row r="10228" spans="2:6">
      <c r="B10228" s="44"/>
      <c r="D10228" s="8"/>
      <c r="E10228" s="8"/>
      <c r="F10228" s="8"/>
    </row>
    <row r="10229" spans="2:6">
      <c r="B10229" s="44"/>
      <c r="D10229" s="8"/>
      <c r="E10229" s="8"/>
      <c r="F10229" s="8"/>
    </row>
    <row r="10230" spans="2:6">
      <c r="B10230" s="44"/>
      <c r="D10230" s="8"/>
      <c r="E10230" s="8"/>
      <c r="F10230" s="8"/>
    </row>
    <row r="10231" spans="2:6">
      <c r="B10231" s="44"/>
      <c r="D10231" s="8"/>
      <c r="E10231" s="8"/>
      <c r="F10231" s="8"/>
    </row>
    <row r="10232" spans="2:6">
      <c r="B10232" s="44"/>
      <c r="D10232" s="8"/>
      <c r="E10232" s="8"/>
      <c r="F10232" s="8"/>
    </row>
    <row r="10233" spans="2:6">
      <c r="B10233" s="44"/>
      <c r="D10233" s="8"/>
      <c r="E10233" s="8"/>
      <c r="F10233" s="8"/>
    </row>
    <row r="10234" spans="2:6">
      <c r="B10234" s="44"/>
      <c r="D10234" s="8"/>
      <c r="E10234" s="8"/>
      <c r="F10234" s="8"/>
    </row>
    <row r="10235" spans="2:6">
      <c r="B10235" s="44"/>
      <c r="D10235" s="8"/>
      <c r="E10235" s="8"/>
      <c r="F10235" s="8"/>
    </row>
    <row r="10236" spans="2:6">
      <c r="B10236" s="44"/>
      <c r="D10236" s="8"/>
      <c r="E10236" s="8"/>
      <c r="F10236" s="8"/>
    </row>
    <row r="10237" spans="2:6">
      <c r="B10237" s="44"/>
      <c r="D10237" s="8"/>
      <c r="E10237" s="8"/>
      <c r="F10237" s="8"/>
    </row>
    <row r="10238" spans="2:6">
      <c r="B10238" s="44"/>
      <c r="D10238" s="8"/>
      <c r="E10238" s="8"/>
      <c r="F10238" s="8"/>
    </row>
    <row r="10239" spans="2:6">
      <c r="B10239" s="44"/>
      <c r="D10239" s="8"/>
      <c r="E10239" s="8"/>
      <c r="F10239" s="8"/>
    </row>
    <row r="10240" spans="2:6">
      <c r="B10240" s="44"/>
      <c r="D10240" s="8"/>
      <c r="E10240" s="8"/>
      <c r="F10240" s="8"/>
    </row>
    <row r="10241" spans="2:6">
      <c r="B10241" s="44"/>
      <c r="D10241" s="8"/>
      <c r="E10241" s="8"/>
      <c r="F10241" s="8"/>
    </row>
    <row r="10242" spans="2:6">
      <c r="B10242" s="44"/>
      <c r="D10242" s="8"/>
      <c r="E10242" s="8"/>
      <c r="F10242" s="8"/>
    </row>
    <row r="10243" spans="2:6">
      <c r="B10243" s="44"/>
      <c r="D10243" s="8"/>
      <c r="E10243" s="8"/>
      <c r="F10243" s="8"/>
    </row>
    <row r="10244" spans="2:6">
      <c r="B10244" s="44"/>
      <c r="D10244" s="8"/>
      <c r="E10244" s="8"/>
      <c r="F10244" s="8"/>
    </row>
    <row r="10245" spans="2:6">
      <c r="B10245" s="44"/>
      <c r="D10245" s="8"/>
      <c r="E10245" s="8"/>
      <c r="F10245" s="8"/>
    </row>
    <row r="10246" spans="2:6">
      <c r="B10246" s="44"/>
      <c r="D10246" s="8"/>
      <c r="E10246" s="8"/>
      <c r="F10246" s="8"/>
    </row>
    <row r="10247" spans="2:6">
      <c r="B10247" s="44"/>
      <c r="D10247" s="8"/>
      <c r="E10247" s="8"/>
      <c r="F10247" s="8"/>
    </row>
    <row r="10248" spans="2:6">
      <c r="B10248" s="44"/>
      <c r="D10248" s="8"/>
      <c r="E10248" s="8"/>
      <c r="F10248" s="8"/>
    </row>
    <row r="10249" spans="2:6">
      <c r="B10249" s="44"/>
      <c r="D10249" s="8"/>
      <c r="E10249" s="8"/>
      <c r="F10249" s="8"/>
    </row>
    <row r="10250" spans="2:6">
      <c r="B10250" s="44"/>
      <c r="D10250" s="8"/>
      <c r="E10250" s="8"/>
      <c r="F10250" s="8"/>
    </row>
    <row r="10251" spans="2:6">
      <c r="B10251" s="44"/>
      <c r="D10251" s="8"/>
      <c r="E10251" s="8"/>
      <c r="F10251" s="8"/>
    </row>
    <row r="10252" spans="2:6">
      <c r="B10252" s="44"/>
      <c r="D10252" s="8"/>
      <c r="E10252" s="8"/>
      <c r="F10252" s="8"/>
    </row>
    <row r="10253" spans="2:6">
      <c r="B10253" s="44"/>
      <c r="D10253" s="8"/>
      <c r="E10253" s="8"/>
      <c r="F10253" s="8"/>
    </row>
    <row r="10254" spans="2:6">
      <c r="B10254" s="44"/>
      <c r="D10254" s="8"/>
      <c r="E10254" s="8"/>
      <c r="F10254" s="8"/>
    </row>
    <row r="10255" spans="2:6">
      <c r="B10255" s="44"/>
      <c r="D10255" s="8"/>
      <c r="E10255" s="8"/>
      <c r="F10255" s="8"/>
    </row>
    <row r="10256" spans="2:6">
      <c r="B10256" s="44"/>
      <c r="D10256" s="8"/>
      <c r="E10256" s="8"/>
      <c r="F10256" s="8"/>
    </row>
    <row r="10257" spans="2:6">
      <c r="B10257" s="44"/>
      <c r="D10257" s="8"/>
      <c r="E10257" s="8"/>
      <c r="F10257" s="8"/>
    </row>
    <row r="10258" spans="2:6">
      <c r="B10258" s="44"/>
      <c r="D10258" s="8"/>
      <c r="E10258" s="8"/>
      <c r="F10258" s="8"/>
    </row>
    <row r="10259" spans="2:6">
      <c r="B10259" s="44"/>
      <c r="D10259" s="8"/>
      <c r="E10259" s="8"/>
      <c r="F10259" s="8"/>
    </row>
    <row r="10260" spans="2:6">
      <c r="B10260" s="44"/>
      <c r="D10260" s="8"/>
      <c r="E10260" s="8"/>
      <c r="F10260" s="8"/>
    </row>
    <row r="10261" spans="2:6">
      <c r="B10261" s="44"/>
      <c r="D10261" s="8"/>
      <c r="E10261" s="8"/>
      <c r="F10261" s="8"/>
    </row>
    <row r="10262" spans="2:6">
      <c r="B10262" s="44"/>
      <c r="D10262" s="8"/>
      <c r="E10262" s="8"/>
      <c r="F10262" s="8"/>
    </row>
    <row r="10263" spans="2:6">
      <c r="B10263" s="44"/>
      <c r="D10263" s="8"/>
      <c r="E10263" s="8"/>
      <c r="F10263" s="8"/>
    </row>
    <row r="10264" spans="2:6">
      <c r="B10264" s="44"/>
      <c r="D10264" s="8"/>
      <c r="E10264" s="8"/>
      <c r="F10264" s="8"/>
    </row>
    <row r="10265" spans="2:6">
      <c r="B10265" s="44"/>
      <c r="D10265" s="8"/>
      <c r="E10265" s="8"/>
      <c r="F10265" s="8"/>
    </row>
    <row r="10266" spans="2:6">
      <c r="B10266" s="44"/>
      <c r="D10266" s="8"/>
      <c r="E10266" s="8"/>
      <c r="F10266" s="8"/>
    </row>
    <row r="10267" spans="2:6">
      <c r="B10267" s="44"/>
      <c r="D10267" s="8"/>
      <c r="E10267" s="8"/>
      <c r="F10267" s="8"/>
    </row>
    <row r="10268" spans="2:6">
      <c r="B10268" s="44"/>
      <c r="D10268" s="8"/>
      <c r="E10268" s="8"/>
      <c r="F10268" s="8"/>
    </row>
    <row r="10269" spans="2:6">
      <c r="B10269" s="44"/>
      <c r="D10269" s="8"/>
      <c r="E10269" s="8"/>
      <c r="F10269" s="8"/>
    </row>
    <row r="10270" spans="2:6">
      <c r="B10270" s="44"/>
      <c r="D10270" s="8"/>
      <c r="E10270" s="8"/>
      <c r="F10270" s="8"/>
    </row>
    <row r="10271" spans="2:6">
      <c r="B10271" s="44"/>
      <c r="D10271" s="8"/>
      <c r="E10271" s="8"/>
      <c r="F10271" s="8"/>
    </row>
    <row r="10272" spans="2:6">
      <c r="B10272" s="44"/>
      <c r="D10272" s="8"/>
      <c r="E10272" s="8"/>
      <c r="F10272" s="8"/>
    </row>
    <row r="10273" spans="2:6">
      <c r="B10273" s="44"/>
      <c r="D10273" s="8"/>
      <c r="E10273" s="8"/>
      <c r="F10273" s="8"/>
    </row>
    <row r="10274" spans="2:6">
      <c r="B10274" s="44"/>
      <c r="D10274" s="8"/>
      <c r="E10274" s="8"/>
      <c r="F10274" s="8"/>
    </row>
    <row r="10275" spans="2:6">
      <c r="B10275" s="44"/>
      <c r="D10275" s="8"/>
      <c r="E10275" s="8"/>
      <c r="F10275" s="8"/>
    </row>
    <row r="10276" spans="2:6">
      <c r="B10276" s="44"/>
      <c r="D10276" s="8"/>
      <c r="E10276" s="8"/>
      <c r="F10276" s="8"/>
    </row>
    <row r="10277" spans="2:6">
      <c r="B10277" s="44"/>
      <c r="D10277" s="8"/>
      <c r="E10277" s="8"/>
      <c r="F10277" s="8"/>
    </row>
    <row r="10278" spans="2:6">
      <c r="B10278" s="44"/>
      <c r="D10278" s="8"/>
      <c r="E10278" s="8"/>
      <c r="F10278" s="8"/>
    </row>
    <row r="10279" spans="2:6">
      <c r="B10279" s="44"/>
      <c r="D10279" s="8"/>
      <c r="E10279" s="8"/>
      <c r="F10279" s="8"/>
    </row>
    <row r="10280" spans="2:6">
      <c r="B10280" s="44"/>
      <c r="D10280" s="8"/>
      <c r="E10280" s="8"/>
      <c r="F10280" s="8"/>
    </row>
    <row r="10281" spans="2:6">
      <c r="B10281" s="44"/>
      <c r="D10281" s="8"/>
      <c r="E10281" s="8"/>
      <c r="F10281" s="8"/>
    </row>
    <row r="10282" spans="2:6">
      <c r="B10282" s="44"/>
      <c r="D10282" s="8"/>
      <c r="E10282" s="8"/>
      <c r="F10282" s="8"/>
    </row>
    <row r="10283" spans="2:6">
      <c r="B10283" s="44"/>
      <c r="D10283" s="8"/>
      <c r="E10283" s="8"/>
      <c r="F10283" s="8"/>
    </row>
    <row r="10284" spans="2:6">
      <c r="B10284" s="44"/>
      <c r="D10284" s="8"/>
      <c r="E10284" s="8"/>
      <c r="F10284" s="8"/>
    </row>
    <row r="10285" spans="2:6">
      <c r="B10285" s="44"/>
      <c r="D10285" s="8"/>
      <c r="E10285" s="8"/>
      <c r="F10285" s="8"/>
    </row>
    <row r="10286" spans="2:6">
      <c r="B10286" s="44"/>
      <c r="D10286" s="8"/>
      <c r="E10286" s="8"/>
      <c r="F10286" s="8"/>
    </row>
    <row r="10287" spans="2:6">
      <c r="B10287" s="44"/>
      <c r="D10287" s="8"/>
      <c r="E10287" s="8"/>
      <c r="F10287" s="8"/>
    </row>
    <row r="10288" spans="2:6">
      <c r="B10288" s="44"/>
      <c r="D10288" s="8"/>
      <c r="E10288" s="8"/>
      <c r="F10288" s="8"/>
    </row>
    <row r="10289" spans="2:6">
      <c r="B10289" s="44"/>
      <c r="D10289" s="8"/>
      <c r="E10289" s="8"/>
      <c r="F10289" s="8"/>
    </row>
    <row r="10290" spans="2:6">
      <c r="B10290" s="44"/>
      <c r="D10290" s="8"/>
      <c r="E10290" s="8"/>
      <c r="F10290" s="8"/>
    </row>
    <row r="10291" spans="2:6">
      <c r="B10291" s="44"/>
      <c r="D10291" s="8"/>
      <c r="E10291" s="8"/>
      <c r="F10291" s="8"/>
    </row>
    <row r="10292" spans="2:6">
      <c r="B10292" s="44"/>
      <c r="D10292" s="8"/>
      <c r="E10292" s="8"/>
      <c r="F10292" s="8"/>
    </row>
    <row r="10293" spans="2:6">
      <c r="B10293" s="44"/>
      <c r="D10293" s="8"/>
      <c r="E10293" s="8"/>
      <c r="F10293" s="8"/>
    </row>
    <row r="10294" spans="2:6">
      <c r="B10294" s="44"/>
      <c r="D10294" s="8"/>
      <c r="E10294" s="8"/>
      <c r="F10294" s="8"/>
    </row>
    <row r="10295" spans="2:6">
      <c r="B10295" s="44"/>
      <c r="D10295" s="8"/>
      <c r="E10295" s="8"/>
      <c r="F10295" s="8"/>
    </row>
    <row r="10296" spans="2:6">
      <c r="B10296" s="44"/>
      <c r="D10296" s="8"/>
      <c r="E10296" s="8"/>
      <c r="F10296" s="8"/>
    </row>
    <row r="10297" spans="2:6">
      <c r="B10297" s="44"/>
      <c r="D10297" s="8"/>
      <c r="E10297" s="8"/>
      <c r="F10297" s="8"/>
    </row>
    <row r="10298" spans="2:6">
      <c r="B10298" s="44"/>
      <c r="D10298" s="8"/>
      <c r="E10298" s="8"/>
      <c r="F10298" s="8"/>
    </row>
    <row r="10299" spans="2:6">
      <c r="B10299" s="44"/>
      <c r="D10299" s="8"/>
      <c r="E10299" s="8"/>
      <c r="F10299" s="8"/>
    </row>
    <row r="10300" spans="2:6">
      <c r="B10300" s="44"/>
      <c r="D10300" s="8"/>
      <c r="E10300" s="8"/>
      <c r="F10300" s="8"/>
    </row>
    <row r="10301" spans="2:6">
      <c r="B10301" s="44"/>
      <c r="D10301" s="8"/>
      <c r="E10301" s="8"/>
      <c r="F10301" s="8"/>
    </row>
    <row r="10302" spans="2:6">
      <c r="B10302" s="44"/>
      <c r="D10302" s="8"/>
      <c r="E10302" s="8"/>
      <c r="F10302" s="8"/>
    </row>
    <row r="10303" spans="2:6">
      <c r="B10303" s="44"/>
      <c r="D10303" s="8"/>
      <c r="E10303" s="8"/>
      <c r="F10303" s="8"/>
    </row>
    <row r="10304" spans="2:6">
      <c r="B10304" s="44"/>
      <c r="D10304" s="8"/>
      <c r="E10304" s="8"/>
      <c r="F10304" s="8"/>
    </row>
    <row r="10305" spans="2:6">
      <c r="B10305" s="44"/>
      <c r="D10305" s="8"/>
      <c r="E10305" s="8"/>
      <c r="F10305" s="8"/>
    </row>
    <row r="10306" spans="2:6">
      <c r="B10306" s="44"/>
      <c r="D10306" s="8"/>
      <c r="E10306" s="8"/>
      <c r="F10306" s="8"/>
    </row>
    <row r="10307" spans="2:6">
      <c r="B10307" s="44"/>
      <c r="D10307" s="8"/>
      <c r="E10307" s="8"/>
      <c r="F10307" s="8"/>
    </row>
    <row r="10308" spans="2:6">
      <c r="B10308" s="44"/>
      <c r="D10308" s="8"/>
      <c r="E10308" s="8"/>
      <c r="F10308" s="8"/>
    </row>
    <row r="10309" spans="2:6">
      <c r="B10309" s="44"/>
      <c r="D10309" s="8"/>
      <c r="E10309" s="8"/>
      <c r="F10309" s="8"/>
    </row>
    <row r="10310" spans="2:6">
      <c r="B10310" s="44"/>
      <c r="D10310" s="8"/>
      <c r="E10310" s="8"/>
      <c r="F10310" s="8"/>
    </row>
    <row r="10311" spans="2:6">
      <c r="B10311" s="44"/>
      <c r="D10311" s="8"/>
      <c r="E10311" s="8"/>
      <c r="F10311" s="8"/>
    </row>
    <row r="10312" spans="2:6">
      <c r="B10312" s="44"/>
      <c r="D10312" s="8"/>
      <c r="E10312" s="8"/>
      <c r="F10312" s="8"/>
    </row>
    <row r="10313" spans="2:6">
      <c r="B10313" s="44"/>
      <c r="D10313" s="8"/>
      <c r="E10313" s="8"/>
      <c r="F10313" s="8"/>
    </row>
    <row r="10314" spans="2:6">
      <c r="B10314" s="44"/>
      <c r="D10314" s="8"/>
      <c r="E10314" s="8"/>
      <c r="F10314" s="8"/>
    </row>
    <row r="10315" spans="2:6">
      <c r="B10315" s="44"/>
      <c r="D10315" s="8"/>
      <c r="E10315" s="8"/>
      <c r="F10315" s="8"/>
    </row>
    <row r="10316" spans="2:6">
      <c r="B10316" s="44"/>
      <c r="D10316" s="8"/>
      <c r="E10316" s="8"/>
      <c r="F10316" s="8"/>
    </row>
    <row r="10317" spans="2:6">
      <c r="B10317" s="44"/>
      <c r="D10317" s="8"/>
      <c r="E10317" s="8"/>
      <c r="F10317" s="8"/>
    </row>
    <row r="10318" spans="2:6">
      <c r="B10318" s="44"/>
      <c r="D10318" s="8"/>
      <c r="E10318" s="8"/>
      <c r="F10318" s="8"/>
    </row>
    <row r="10319" spans="2:6">
      <c r="B10319" s="44"/>
      <c r="D10319" s="8"/>
      <c r="E10319" s="8"/>
      <c r="F10319" s="8"/>
    </row>
    <row r="10320" spans="2:6">
      <c r="B10320" s="44"/>
      <c r="D10320" s="8"/>
      <c r="E10320" s="8"/>
      <c r="F10320" s="8"/>
    </row>
    <row r="10321" spans="2:6">
      <c r="B10321" s="44"/>
      <c r="D10321" s="8"/>
      <c r="E10321" s="8"/>
      <c r="F10321" s="8"/>
    </row>
    <row r="10322" spans="2:6">
      <c r="B10322" s="44"/>
      <c r="D10322" s="8"/>
      <c r="E10322" s="8"/>
      <c r="F10322" s="8"/>
    </row>
    <row r="10323" spans="2:6">
      <c r="B10323" s="44"/>
      <c r="D10323" s="8"/>
      <c r="E10323" s="8"/>
      <c r="F10323" s="8"/>
    </row>
    <row r="10324" spans="2:6">
      <c r="B10324" s="44"/>
      <c r="D10324" s="8"/>
      <c r="E10324" s="8"/>
      <c r="F10324" s="8"/>
    </row>
    <row r="10325" spans="2:6">
      <c r="B10325" s="44"/>
      <c r="D10325" s="8"/>
      <c r="E10325" s="8"/>
      <c r="F10325" s="8"/>
    </row>
    <row r="10326" spans="2:6">
      <c r="B10326" s="44"/>
      <c r="D10326" s="8"/>
      <c r="E10326" s="8"/>
      <c r="F10326" s="8"/>
    </row>
    <row r="10327" spans="2:6">
      <c r="B10327" s="44"/>
      <c r="D10327" s="8"/>
      <c r="E10327" s="8"/>
      <c r="F10327" s="8"/>
    </row>
    <row r="10328" spans="2:6">
      <c r="B10328" s="44"/>
      <c r="D10328" s="8"/>
      <c r="E10328" s="8"/>
      <c r="F10328" s="8"/>
    </row>
    <row r="10329" spans="2:6">
      <c r="B10329" s="44"/>
      <c r="D10329" s="8"/>
      <c r="E10329" s="8"/>
      <c r="F10329" s="8"/>
    </row>
    <row r="10330" spans="2:6">
      <c r="B10330" s="44"/>
      <c r="D10330" s="8"/>
      <c r="E10330" s="8"/>
      <c r="F10330" s="8"/>
    </row>
    <row r="10331" spans="2:6">
      <c r="B10331" s="44"/>
      <c r="D10331" s="8"/>
      <c r="E10331" s="8"/>
      <c r="F10331" s="8"/>
    </row>
    <row r="10332" spans="2:6">
      <c r="B10332" s="44"/>
      <c r="D10332" s="8"/>
      <c r="E10332" s="8"/>
      <c r="F10332" s="8"/>
    </row>
    <row r="10333" spans="2:6">
      <c r="B10333" s="44"/>
      <c r="D10333" s="8"/>
      <c r="E10333" s="8"/>
      <c r="F10333" s="8"/>
    </row>
    <row r="10334" spans="2:6">
      <c r="B10334" s="44"/>
      <c r="D10334" s="8"/>
      <c r="E10334" s="8"/>
      <c r="F10334" s="8"/>
    </row>
    <row r="10335" spans="2:6">
      <c r="B10335" s="44"/>
      <c r="D10335" s="8"/>
      <c r="E10335" s="8"/>
      <c r="F10335" s="8"/>
    </row>
    <row r="10336" spans="2:6">
      <c r="B10336" s="44"/>
      <c r="D10336" s="8"/>
      <c r="E10336" s="8"/>
      <c r="F10336" s="8"/>
    </row>
    <row r="10337" spans="2:6">
      <c r="B10337" s="44"/>
      <c r="D10337" s="8"/>
      <c r="E10337" s="8"/>
      <c r="F10337" s="8"/>
    </row>
    <row r="10338" spans="2:6">
      <c r="B10338" s="44"/>
      <c r="D10338" s="8"/>
      <c r="E10338" s="8"/>
      <c r="F10338" s="8"/>
    </row>
    <row r="10339" spans="2:6">
      <c r="B10339" s="44"/>
      <c r="D10339" s="8"/>
      <c r="E10339" s="8"/>
      <c r="F10339" s="8"/>
    </row>
    <row r="10340" spans="2:6">
      <c r="B10340" s="44"/>
      <c r="D10340" s="8"/>
      <c r="E10340" s="8"/>
      <c r="F10340" s="8"/>
    </row>
    <row r="10341" spans="2:6">
      <c r="B10341" s="44"/>
      <c r="D10341" s="8"/>
      <c r="E10341" s="8"/>
      <c r="F10341" s="8"/>
    </row>
    <row r="10342" spans="2:6">
      <c r="B10342" s="44"/>
      <c r="D10342" s="8"/>
      <c r="E10342" s="8"/>
      <c r="F10342" s="8"/>
    </row>
    <row r="10343" spans="2:6">
      <c r="B10343" s="44"/>
      <c r="D10343" s="8"/>
      <c r="E10343" s="8"/>
      <c r="F10343" s="8"/>
    </row>
    <row r="10344" spans="2:6">
      <c r="B10344" s="44"/>
      <c r="D10344" s="8"/>
      <c r="E10344" s="8"/>
      <c r="F10344" s="8"/>
    </row>
    <row r="10345" spans="2:6">
      <c r="B10345" s="44"/>
      <c r="D10345" s="8"/>
      <c r="E10345" s="8"/>
      <c r="F10345" s="8"/>
    </row>
    <row r="10346" spans="2:6">
      <c r="B10346" s="44"/>
      <c r="D10346" s="8"/>
      <c r="E10346" s="8"/>
      <c r="F10346" s="8"/>
    </row>
    <row r="10347" spans="2:6">
      <c r="B10347" s="44"/>
      <c r="D10347" s="8"/>
      <c r="E10347" s="8"/>
      <c r="F10347" s="8"/>
    </row>
    <row r="10348" spans="2:6">
      <c r="B10348" s="44"/>
      <c r="D10348" s="8"/>
      <c r="E10348" s="8"/>
      <c r="F10348" s="8"/>
    </row>
    <row r="10349" spans="2:6">
      <c r="B10349" s="44"/>
      <c r="D10349" s="8"/>
      <c r="E10349" s="8"/>
      <c r="F10349" s="8"/>
    </row>
    <row r="10350" spans="2:6">
      <c r="B10350" s="44"/>
      <c r="D10350" s="8"/>
      <c r="E10350" s="8"/>
      <c r="F10350" s="8"/>
    </row>
    <row r="10351" spans="2:6">
      <c r="B10351" s="44"/>
      <c r="D10351" s="8"/>
      <c r="E10351" s="8"/>
      <c r="F10351" s="8"/>
    </row>
    <row r="10352" spans="2:6">
      <c r="B10352" s="44"/>
      <c r="D10352" s="8"/>
      <c r="E10352" s="8"/>
      <c r="F10352" s="8"/>
    </row>
    <row r="10353" spans="2:6">
      <c r="B10353" s="44"/>
      <c r="D10353" s="8"/>
      <c r="E10353" s="8"/>
      <c r="F10353" s="8"/>
    </row>
    <row r="10354" spans="2:6">
      <c r="B10354" s="44"/>
      <c r="D10354" s="8"/>
      <c r="E10354" s="8"/>
      <c r="F10354" s="8"/>
    </row>
    <row r="10355" spans="2:6">
      <c r="B10355" s="44"/>
      <c r="D10355" s="8"/>
      <c r="E10355" s="8"/>
      <c r="F10355" s="8"/>
    </row>
    <row r="10356" spans="2:6">
      <c r="B10356" s="44"/>
      <c r="D10356" s="8"/>
      <c r="E10356" s="8"/>
      <c r="F10356" s="8"/>
    </row>
    <row r="10357" spans="2:6">
      <c r="B10357" s="44"/>
      <c r="D10357" s="8"/>
      <c r="E10357" s="8"/>
      <c r="F10357" s="8"/>
    </row>
    <row r="10358" spans="2:6">
      <c r="B10358" s="44"/>
      <c r="D10358" s="8"/>
      <c r="E10358" s="8"/>
      <c r="F10358" s="8"/>
    </row>
    <row r="10359" spans="2:6">
      <c r="B10359" s="44"/>
      <c r="D10359" s="8"/>
      <c r="E10359" s="8"/>
      <c r="F10359" s="8"/>
    </row>
    <row r="10360" spans="2:6">
      <c r="B10360" s="44"/>
      <c r="D10360" s="8"/>
      <c r="E10360" s="8"/>
      <c r="F10360" s="8"/>
    </row>
    <row r="10361" spans="2:6">
      <c r="B10361" s="44"/>
      <c r="D10361" s="8"/>
      <c r="E10361" s="8"/>
      <c r="F10361" s="8"/>
    </row>
    <row r="10362" spans="2:6">
      <c r="B10362" s="44"/>
      <c r="D10362" s="8"/>
      <c r="E10362" s="8"/>
      <c r="F10362" s="8"/>
    </row>
    <row r="10363" spans="2:6">
      <c r="B10363" s="44"/>
      <c r="D10363" s="8"/>
      <c r="E10363" s="8"/>
      <c r="F10363" s="8"/>
    </row>
    <row r="10364" spans="2:6">
      <c r="B10364" s="44"/>
      <c r="D10364" s="8"/>
      <c r="E10364" s="8"/>
      <c r="F10364" s="8"/>
    </row>
    <row r="10365" spans="2:6">
      <c r="B10365" s="44"/>
      <c r="D10365" s="8"/>
      <c r="E10365" s="8"/>
      <c r="F10365" s="8"/>
    </row>
    <row r="10366" spans="2:6">
      <c r="B10366" s="44"/>
      <c r="D10366" s="8"/>
      <c r="E10366" s="8"/>
      <c r="F10366" s="8"/>
    </row>
    <row r="10367" spans="2:6">
      <c r="B10367" s="44"/>
      <c r="D10367" s="8"/>
      <c r="E10367" s="8"/>
      <c r="F10367" s="8"/>
    </row>
    <row r="10368" spans="2:6">
      <c r="B10368" s="44"/>
      <c r="D10368" s="8"/>
      <c r="E10368" s="8"/>
      <c r="F10368" s="8"/>
    </row>
    <row r="10369" spans="2:6">
      <c r="B10369" s="44"/>
      <c r="D10369" s="8"/>
      <c r="E10369" s="8"/>
      <c r="F10369" s="8"/>
    </row>
    <row r="10370" spans="2:6">
      <c r="B10370" s="44"/>
      <c r="D10370" s="8"/>
      <c r="E10370" s="8"/>
      <c r="F10370" s="8"/>
    </row>
    <row r="10371" spans="2:6">
      <c r="B10371" s="44"/>
      <c r="D10371" s="8"/>
      <c r="E10371" s="8"/>
      <c r="F10371" s="8"/>
    </row>
    <row r="10372" spans="2:6">
      <c r="B10372" s="44"/>
      <c r="D10372" s="8"/>
      <c r="E10372" s="8"/>
      <c r="F10372" s="8"/>
    </row>
    <row r="10373" spans="2:6">
      <c r="B10373" s="44"/>
      <c r="D10373" s="8"/>
      <c r="E10373" s="8"/>
      <c r="F10373" s="8"/>
    </row>
    <row r="10374" spans="2:6">
      <c r="B10374" s="44"/>
      <c r="D10374" s="8"/>
      <c r="E10374" s="8"/>
      <c r="F10374" s="8"/>
    </row>
    <row r="10375" spans="2:6">
      <c r="B10375" s="44"/>
      <c r="D10375" s="8"/>
      <c r="E10375" s="8"/>
      <c r="F10375" s="8"/>
    </row>
    <row r="10376" spans="2:6">
      <c r="B10376" s="44"/>
      <c r="D10376" s="8"/>
      <c r="E10376" s="8"/>
      <c r="F10376" s="8"/>
    </row>
    <row r="10377" spans="2:6">
      <c r="B10377" s="44"/>
      <c r="D10377" s="8"/>
      <c r="E10377" s="8"/>
      <c r="F10377" s="8"/>
    </row>
    <row r="10378" spans="2:6">
      <c r="B10378" s="44"/>
      <c r="D10378" s="8"/>
      <c r="E10378" s="8"/>
      <c r="F10378" s="8"/>
    </row>
    <row r="10379" spans="2:6">
      <c r="B10379" s="44"/>
      <c r="D10379" s="8"/>
      <c r="E10379" s="8"/>
      <c r="F10379" s="8"/>
    </row>
    <row r="10380" spans="2:6">
      <c r="B10380" s="44"/>
      <c r="D10380" s="8"/>
      <c r="E10380" s="8"/>
      <c r="F10380" s="8"/>
    </row>
    <row r="10381" spans="2:6">
      <c r="B10381" s="44"/>
      <c r="D10381" s="8"/>
      <c r="E10381" s="8"/>
      <c r="F10381" s="8"/>
    </row>
    <row r="10382" spans="2:6">
      <c r="B10382" s="44"/>
      <c r="D10382" s="8"/>
      <c r="E10382" s="8"/>
      <c r="F10382" s="8"/>
    </row>
    <row r="10383" spans="2:6">
      <c r="B10383" s="44"/>
      <c r="D10383" s="8"/>
      <c r="E10383" s="8"/>
      <c r="F10383" s="8"/>
    </row>
    <row r="10384" spans="2:6">
      <c r="B10384" s="44"/>
      <c r="D10384" s="8"/>
      <c r="E10384" s="8"/>
      <c r="F10384" s="8"/>
    </row>
    <row r="10385" spans="2:6">
      <c r="B10385" s="44"/>
      <c r="D10385" s="8"/>
      <c r="E10385" s="8"/>
      <c r="F10385" s="8"/>
    </row>
    <row r="10386" spans="2:6">
      <c r="B10386" s="44"/>
      <c r="D10386" s="8"/>
      <c r="E10386" s="8"/>
      <c r="F10386" s="8"/>
    </row>
    <row r="10387" spans="2:6">
      <c r="B10387" s="44"/>
      <c r="D10387" s="8"/>
      <c r="E10387" s="8"/>
      <c r="F10387" s="8"/>
    </row>
    <row r="10388" spans="2:6">
      <c r="B10388" s="44"/>
      <c r="D10388" s="8"/>
      <c r="E10388" s="8"/>
      <c r="F10388" s="8"/>
    </row>
    <row r="10389" spans="2:6">
      <c r="B10389" s="44"/>
      <c r="D10389" s="8"/>
      <c r="E10389" s="8"/>
      <c r="F10389" s="8"/>
    </row>
    <row r="10390" spans="2:6">
      <c r="B10390" s="44"/>
      <c r="D10390" s="8"/>
      <c r="E10390" s="8"/>
      <c r="F10390" s="8"/>
    </row>
    <row r="10391" spans="2:6">
      <c r="B10391" s="44"/>
      <c r="D10391" s="8"/>
      <c r="E10391" s="8"/>
      <c r="F10391" s="8"/>
    </row>
    <row r="10392" spans="2:6">
      <c r="B10392" s="44"/>
      <c r="D10392" s="8"/>
      <c r="E10392" s="8"/>
      <c r="F10392" s="8"/>
    </row>
    <row r="10393" spans="2:6">
      <c r="B10393" s="44"/>
      <c r="D10393" s="8"/>
      <c r="E10393" s="8"/>
      <c r="F10393" s="8"/>
    </row>
    <row r="10394" spans="2:6">
      <c r="B10394" s="44"/>
      <c r="D10394" s="8"/>
      <c r="E10394" s="8"/>
      <c r="F10394" s="8"/>
    </row>
    <row r="10395" spans="2:6">
      <c r="B10395" s="44"/>
      <c r="D10395" s="8"/>
      <c r="E10395" s="8"/>
      <c r="F10395" s="8"/>
    </row>
    <row r="10396" spans="2:6">
      <c r="B10396" s="44"/>
      <c r="D10396" s="8"/>
      <c r="E10396" s="8"/>
      <c r="F10396" s="8"/>
    </row>
    <row r="10397" spans="2:6">
      <c r="B10397" s="44"/>
      <c r="D10397" s="8"/>
      <c r="E10397" s="8"/>
      <c r="F10397" s="8"/>
    </row>
    <row r="10398" spans="2:6">
      <c r="B10398" s="44"/>
      <c r="D10398" s="8"/>
      <c r="E10398" s="8"/>
      <c r="F10398" s="8"/>
    </row>
    <row r="10399" spans="2:6">
      <c r="B10399" s="44"/>
      <c r="D10399" s="8"/>
      <c r="E10399" s="8"/>
      <c r="F10399" s="8"/>
    </row>
    <row r="10400" spans="2:6">
      <c r="B10400" s="44"/>
      <c r="D10400" s="8"/>
      <c r="E10400" s="8"/>
      <c r="F10400" s="8"/>
    </row>
    <row r="10401" spans="2:6">
      <c r="B10401" s="44"/>
      <c r="D10401" s="8"/>
      <c r="E10401" s="8"/>
      <c r="F10401" s="8"/>
    </row>
    <row r="10402" spans="2:6">
      <c r="B10402" s="44"/>
      <c r="D10402" s="8"/>
      <c r="E10402" s="8"/>
      <c r="F10402" s="8"/>
    </row>
    <row r="10403" spans="2:6">
      <c r="B10403" s="44"/>
      <c r="D10403" s="8"/>
      <c r="E10403" s="8"/>
      <c r="F10403" s="8"/>
    </row>
    <row r="10404" spans="2:6">
      <c r="B10404" s="44"/>
      <c r="D10404" s="8"/>
      <c r="E10404" s="8"/>
      <c r="F10404" s="8"/>
    </row>
    <row r="10405" spans="2:6">
      <c r="B10405" s="44"/>
      <c r="D10405" s="8"/>
      <c r="E10405" s="8"/>
      <c r="F10405" s="8"/>
    </row>
    <row r="10406" spans="2:6">
      <c r="B10406" s="44"/>
      <c r="D10406" s="8"/>
      <c r="E10406" s="8"/>
      <c r="F10406" s="8"/>
    </row>
    <row r="10407" spans="2:6">
      <c r="B10407" s="44"/>
      <c r="D10407" s="8"/>
      <c r="E10407" s="8"/>
      <c r="F10407" s="8"/>
    </row>
    <row r="10408" spans="2:6">
      <c r="B10408" s="44"/>
      <c r="D10408" s="8"/>
      <c r="E10408" s="8"/>
      <c r="F10408" s="8"/>
    </row>
    <row r="10409" spans="2:6">
      <c r="B10409" s="44"/>
      <c r="D10409" s="8"/>
      <c r="E10409" s="8"/>
      <c r="F10409" s="8"/>
    </row>
    <row r="10410" spans="2:6">
      <c r="B10410" s="44"/>
      <c r="D10410" s="8"/>
      <c r="E10410" s="8"/>
      <c r="F10410" s="8"/>
    </row>
    <row r="10411" spans="2:6">
      <c r="B10411" s="44"/>
      <c r="D10411" s="8"/>
      <c r="E10411" s="8"/>
      <c r="F10411" s="8"/>
    </row>
    <row r="10412" spans="2:6">
      <c r="B10412" s="44"/>
      <c r="D10412" s="8"/>
      <c r="E10412" s="8"/>
      <c r="F10412" s="8"/>
    </row>
    <row r="10413" spans="2:6">
      <c r="B10413" s="44"/>
      <c r="D10413" s="8"/>
      <c r="E10413" s="8"/>
      <c r="F10413" s="8"/>
    </row>
    <row r="10414" spans="2:6">
      <c r="B10414" s="44"/>
      <c r="D10414" s="8"/>
      <c r="E10414" s="8"/>
      <c r="F10414" s="8"/>
    </row>
    <row r="10415" spans="2:6">
      <c r="B10415" s="44"/>
      <c r="D10415" s="8"/>
      <c r="E10415" s="8"/>
      <c r="F10415" s="8"/>
    </row>
    <row r="10416" spans="2:6">
      <c r="B10416" s="44"/>
      <c r="D10416" s="8"/>
      <c r="E10416" s="8"/>
      <c r="F10416" s="8"/>
    </row>
    <row r="10417" spans="2:6">
      <c r="B10417" s="44"/>
      <c r="D10417" s="8"/>
      <c r="E10417" s="8"/>
      <c r="F10417" s="8"/>
    </row>
    <row r="10418" spans="2:6">
      <c r="B10418" s="44"/>
      <c r="D10418" s="8"/>
      <c r="E10418" s="8"/>
      <c r="F10418" s="8"/>
    </row>
    <row r="10419" spans="2:6">
      <c r="B10419" s="44"/>
      <c r="D10419" s="8"/>
      <c r="E10419" s="8"/>
      <c r="F10419" s="8"/>
    </row>
    <row r="10420" spans="2:6">
      <c r="B10420" s="44"/>
      <c r="D10420" s="8"/>
      <c r="E10420" s="8"/>
      <c r="F10420" s="8"/>
    </row>
    <row r="10421" spans="2:6">
      <c r="B10421" s="44"/>
      <c r="D10421" s="8"/>
      <c r="E10421" s="8"/>
      <c r="F10421" s="8"/>
    </row>
    <row r="10422" spans="2:6">
      <c r="B10422" s="44"/>
      <c r="D10422" s="8"/>
      <c r="E10422" s="8"/>
      <c r="F10422" s="8"/>
    </row>
    <row r="10423" spans="2:6">
      <c r="B10423" s="44"/>
      <c r="D10423" s="8"/>
      <c r="E10423" s="8"/>
      <c r="F10423" s="8"/>
    </row>
    <row r="10424" spans="2:6">
      <c r="B10424" s="44"/>
      <c r="D10424" s="8"/>
      <c r="E10424" s="8"/>
      <c r="F10424" s="8"/>
    </row>
    <row r="10425" spans="2:6">
      <c r="B10425" s="44"/>
      <c r="D10425" s="8"/>
      <c r="E10425" s="8"/>
      <c r="F10425" s="8"/>
    </row>
    <row r="10426" spans="2:6">
      <c r="B10426" s="44"/>
      <c r="D10426" s="8"/>
      <c r="E10426" s="8"/>
      <c r="F10426" s="8"/>
    </row>
    <row r="10427" spans="2:6">
      <c r="B10427" s="44"/>
      <c r="D10427" s="8"/>
      <c r="E10427" s="8"/>
      <c r="F10427" s="8"/>
    </row>
    <row r="10428" spans="2:6">
      <c r="B10428" s="44"/>
      <c r="D10428" s="8"/>
      <c r="E10428" s="8"/>
      <c r="F10428" s="8"/>
    </row>
    <row r="10429" spans="2:6">
      <c r="B10429" s="44"/>
      <c r="D10429" s="8"/>
      <c r="E10429" s="8"/>
      <c r="F10429" s="8"/>
    </row>
    <row r="10430" spans="2:6">
      <c r="B10430" s="44"/>
      <c r="D10430" s="8"/>
      <c r="E10430" s="8"/>
      <c r="F10430" s="8"/>
    </row>
    <row r="10431" spans="2:6">
      <c r="B10431" s="44"/>
      <c r="D10431" s="8"/>
      <c r="E10431" s="8"/>
      <c r="F10431" s="8"/>
    </row>
    <row r="10432" spans="2:6">
      <c r="B10432" s="44"/>
      <c r="D10432" s="8"/>
      <c r="E10432" s="8"/>
      <c r="F10432" s="8"/>
    </row>
    <row r="10433" spans="2:6">
      <c r="B10433" s="44"/>
      <c r="D10433" s="8"/>
      <c r="E10433" s="8"/>
      <c r="F10433" s="8"/>
    </row>
    <row r="10434" spans="2:6">
      <c r="B10434" s="44"/>
      <c r="D10434" s="8"/>
      <c r="E10434" s="8"/>
      <c r="F10434" s="8"/>
    </row>
    <row r="10435" spans="2:6">
      <c r="B10435" s="44"/>
      <c r="D10435" s="8"/>
      <c r="E10435" s="8"/>
      <c r="F10435" s="8"/>
    </row>
    <row r="10436" spans="2:6">
      <c r="B10436" s="44"/>
      <c r="D10436" s="8"/>
      <c r="E10436" s="8"/>
      <c r="F10436" s="8"/>
    </row>
    <row r="10437" spans="2:6">
      <c r="B10437" s="44"/>
      <c r="D10437" s="8"/>
      <c r="E10437" s="8"/>
      <c r="F10437" s="8"/>
    </row>
    <row r="10438" spans="2:6">
      <c r="B10438" s="44"/>
      <c r="D10438" s="8"/>
      <c r="E10438" s="8"/>
      <c r="F10438" s="8"/>
    </row>
    <row r="10439" spans="2:6">
      <c r="B10439" s="44"/>
      <c r="D10439" s="8"/>
      <c r="E10439" s="8"/>
      <c r="F10439" s="8"/>
    </row>
    <row r="10440" spans="2:6">
      <c r="B10440" s="44"/>
      <c r="D10440" s="8"/>
      <c r="E10440" s="8"/>
      <c r="F10440" s="8"/>
    </row>
    <row r="10441" spans="2:6">
      <c r="B10441" s="44"/>
      <c r="D10441" s="8"/>
      <c r="E10441" s="8"/>
      <c r="F10441" s="8"/>
    </row>
    <row r="10442" spans="2:6">
      <c r="B10442" s="44"/>
      <c r="D10442" s="8"/>
      <c r="E10442" s="8"/>
      <c r="F10442" s="8"/>
    </row>
    <row r="10443" spans="2:6">
      <c r="B10443" s="44"/>
      <c r="D10443" s="8"/>
      <c r="E10443" s="8"/>
      <c r="F10443" s="8"/>
    </row>
    <row r="10444" spans="2:6">
      <c r="B10444" s="44"/>
      <c r="D10444" s="8"/>
      <c r="E10444" s="8"/>
      <c r="F10444" s="8"/>
    </row>
    <row r="10445" spans="2:6">
      <c r="B10445" s="44"/>
      <c r="D10445" s="8"/>
      <c r="E10445" s="8"/>
      <c r="F10445" s="8"/>
    </row>
    <row r="10446" spans="2:6">
      <c r="B10446" s="44"/>
      <c r="D10446" s="8"/>
      <c r="E10446" s="8"/>
      <c r="F10446" s="8"/>
    </row>
    <row r="10447" spans="2:6">
      <c r="B10447" s="44"/>
      <c r="D10447" s="8"/>
      <c r="E10447" s="8"/>
      <c r="F10447" s="8"/>
    </row>
    <row r="10448" spans="2:6">
      <c r="B10448" s="44"/>
      <c r="D10448" s="8"/>
      <c r="E10448" s="8"/>
      <c r="F10448" s="8"/>
    </row>
    <row r="10449" spans="2:6">
      <c r="B10449" s="44"/>
      <c r="D10449" s="8"/>
      <c r="E10449" s="8"/>
      <c r="F10449" s="8"/>
    </row>
    <row r="10450" spans="2:6">
      <c r="B10450" s="44"/>
      <c r="D10450" s="8"/>
      <c r="E10450" s="8"/>
      <c r="F10450" s="8"/>
    </row>
    <row r="10451" spans="2:6">
      <c r="B10451" s="44"/>
      <c r="D10451" s="8"/>
      <c r="E10451" s="8"/>
      <c r="F10451" s="8"/>
    </row>
    <row r="10452" spans="2:6">
      <c r="B10452" s="44"/>
      <c r="D10452" s="8"/>
      <c r="E10452" s="8"/>
      <c r="F10452" s="8"/>
    </row>
    <row r="10453" spans="2:6">
      <c r="B10453" s="44"/>
      <c r="D10453" s="8"/>
      <c r="E10453" s="8"/>
      <c r="F10453" s="8"/>
    </row>
    <row r="10454" spans="2:6">
      <c r="B10454" s="44"/>
      <c r="D10454" s="8"/>
      <c r="E10454" s="8"/>
      <c r="F10454" s="8"/>
    </row>
    <row r="10455" spans="2:6">
      <c r="B10455" s="44"/>
      <c r="D10455" s="8"/>
      <c r="E10455" s="8"/>
      <c r="F10455" s="8"/>
    </row>
    <row r="10456" spans="2:6">
      <c r="B10456" s="44"/>
      <c r="D10456" s="8"/>
      <c r="E10456" s="8"/>
      <c r="F10456" s="8"/>
    </row>
    <row r="10457" spans="2:6">
      <c r="B10457" s="44"/>
      <c r="D10457" s="8"/>
      <c r="E10457" s="8"/>
      <c r="F10457" s="8"/>
    </row>
    <row r="10458" spans="2:6">
      <c r="B10458" s="44"/>
      <c r="D10458" s="8"/>
      <c r="E10458" s="8"/>
      <c r="F10458" s="8"/>
    </row>
    <row r="10459" spans="2:6">
      <c r="B10459" s="44"/>
      <c r="D10459" s="8"/>
      <c r="E10459" s="8"/>
      <c r="F10459" s="8"/>
    </row>
    <row r="10460" spans="2:6">
      <c r="B10460" s="44"/>
      <c r="D10460" s="8"/>
      <c r="E10460" s="8"/>
      <c r="F10460" s="8"/>
    </row>
    <row r="10461" spans="2:6">
      <c r="B10461" s="44"/>
      <c r="D10461" s="8"/>
      <c r="E10461" s="8"/>
      <c r="F10461" s="8"/>
    </row>
    <row r="10462" spans="2:6">
      <c r="B10462" s="44"/>
      <c r="D10462" s="8"/>
      <c r="E10462" s="8"/>
      <c r="F10462" s="8"/>
    </row>
    <row r="10463" spans="2:6">
      <c r="B10463" s="44"/>
      <c r="D10463" s="8"/>
      <c r="E10463" s="8"/>
      <c r="F10463" s="8"/>
    </row>
    <row r="10464" spans="2:6">
      <c r="B10464" s="44"/>
      <c r="D10464" s="8"/>
      <c r="E10464" s="8"/>
      <c r="F10464" s="8"/>
    </row>
    <row r="10465" spans="2:6">
      <c r="B10465" s="44"/>
      <c r="D10465" s="8"/>
      <c r="E10465" s="8"/>
      <c r="F10465" s="8"/>
    </row>
    <row r="10466" spans="2:6">
      <c r="B10466" s="44"/>
      <c r="D10466" s="8"/>
      <c r="E10466" s="8"/>
      <c r="F10466" s="8"/>
    </row>
    <row r="10467" spans="2:6">
      <c r="B10467" s="44"/>
      <c r="D10467" s="8"/>
      <c r="E10467" s="8"/>
      <c r="F10467" s="8"/>
    </row>
    <row r="10468" spans="2:6">
      <c r="B10468" s="44"/>
      <c r="D10468" s="8"/>
      <c r="E10468" s="8"/>
      <c r="F10468" s="8"/>
    </row>
    <row r="10469" spans="2:6">
      <c r="B10469" s="44"/>
      <c r="D10469" s="8"/>
      <c r="E10469" s="8"/>
      <c r="F10469" s="8"/>
    </row>
    <row r="10470" spans="2:6">
      <c r="B10470" s="44"/>
      <c r="D10470" s="8"/>
      <c r="E10470" s="8"/>
      <c r="F10470" s="8"/>
    </row>
    <row r="10471" spans="2:6">
      <c r="B10471" s="44"/>
      <c r="D10471" s="8"/>
      <c r="E10471" s="8"/>
      <c r="F10471" s="8"/>
    </row>
    <row r="10472" spans="2:6">
      <c r="B10472" s="44"/>
      <c r="D10472" s="8"/>
      <c r="E10472" s="8"/>
      <c r="F10472" s="8"/>
    </row>
    <row r="10473" spans="2:6">
      <c r="B10473" s="44"/>
      <c r="D10473" s="8"/>
      <c r="E10473" s="8"/>
      <c r="F10473" s="8"/>
    </row>
    <row r="10474" spans="2:6">
      <c r="B10474" s="44"/>
      <c r="D10474" s="8"/>
      <c r="E10474" s="8"/>
      <c r="F10474" s="8"/>
    </row>
    <row r="10475" spans="2:6">
      <c r="B10475" s="44"/>
      <c r="D10475" s="8"/>
      <c r="E10475" s="8"/>
      <c r="F10475" s="8"/>
    </row>
    <row r="10476" spans="2:6">
      <c r="B10476" s="44"/>
      <c r="D10476" s="8"/>
      <c r="E10476" s="8"/>
      <c r="F10476" s="8"/>
    </row>
    <row r="10477" spans="2:6">
      <c r="B10477" s="44"/>
      <c r="D10477" s="8"/>
      <c r="E10477" s="8"/>
      <c r="F10477" s="8"/>
    </row>
    <row r="10478" spans="2:6">
      <c r="B10478" s="44"/>
      <c r="D10478" s="8"/>
      <c r="E10478" s="8"/>
      <c r="F10478" s="8"/>
    </row>
    <row r="10479" spans="2:6">
      <c r="B10479" s="44"/>
      <c r="D10479" s="8"/>
      <c r="E10479" s="8"/>
      <c r="F10479" s="8"/>
    </row>
    <row r="10480" spans="2:6">
      <c r="B10480" s="44"/>
      <c r="D10480" s="8"/>
      <c r="E10480" s="8"/>
      <c r="F10480" s="8"/>
    </row>
    <row r="10481" spans="2:6">
      <c r="B10481" s="44"/>
      <c r="D10481" s="8"/>
      <c r="E10481" s="8"/>
      <c r="F10481" s="8"/>
    </row>
    <row r="10482" spans="2:6">
      <c r="B10482" s="44"/>
      <c r="D10482" s="8"/>
      <c r="E10482" s="8"/>
      <c r="F10482" s="8"/>
    </row>
    <row r="10483" spans="2:6">
      <c r="B10483" s="44"/>
      <c r="D10483" s="8"/>
      <c r="E10483" s="8"/>
      <c r="F10483" s="8"/>
    </row>
    <row r="10484" spans="2:6">
      <c r="B10484" s="44"/>
      <c r="D10484" s="8"/>
      <c r="E10484" s="8"/>
      <c r="F10484" s="8"/>
    </row>
    <row r="10485" spans="2:6">
      <c r="B10485" s="44"/>
      <c r="D10485" s="8"/>
      <c r="E10485" s="8"/>
      <c r="F10485" s="8"/>
    </row>
    <row r="10486" spans="2:6">
      <c r="B10486" s="44"/>
      <c r="D10486" s="8"/>
      <c r="E10486" s="8"/>
      <c r="F10486" s="8"/>
    </row>
    <row r="10487" spans="2:6">
      <c r="B10487" s="44"/>
      <c r="D10487" s="8"/>
      <c r="E10487" s="8"/>
      <c r="F10487" s="8"/>
    </row>
    <row r="10488" spans="2:6">
      <c r="B10488" s="44"/>
      <c r="D10488" s="8"/>
      <c r="E10488" s="8"/>
      <c r="F10488" s="8"/>
    </row>
    <row r="10489" spans="2:6">
      <c r="B10489" s="44"/>
      <c r="D10489" s="8"/>
      <c r="E10489" s="8"/>
      <c r="F10489" s="8"/>
    </row>
    <row r="10490" spans="2:6">
      <c r="B10490" s="44"/>
      <c r="D10490" s="8"/>
      <c r="E10490" s="8"/>
      <c r="F10490" s="8"/>
    </row>
    <row r="10491" spans="2:6">
      <c r="B10491" s="44"/>
      <c r="D10491" s="8"/>
      <c r="E10491" s="8"/>
      <c r="F10491" s="8"/>
    </row>
    <row r="10492" spans="2:6">
      <c r="B10492" s="44"/>
      <c r="D10492" s="8"/>
      <c r="E10492" s="8"/>
      <c r="F10492" s="8"/>
    </row>
    <row r="10493" spans="2:6">
      <c r="B10493" s="44"/>
      <c r="D10493" s="8"/>
      <c r="E10493" s="8"/>
      <c r="F10493" s="8"/>
    </row>
    <row r="10494" spans="2:6">
      <c r="B10494" s="44"/>
      <c r="D10494" s="8"/>
      <c r="E10494" s="8"/>
      <c r="F10494" s="8"/>
    </row>
    <row r="10495" spans="2:6">
      <c r="B10495" s="44"/>
      <c r="D10495" s="8"/>
      <c r="E10495" s="8"/>
      <c r="F10495" s="8"/>
    </row>
    <row r="10496" spans="2:6">
      <c r="B10496" s="44"/>
      <c r="D10496" s="8"/>
      <c r="E10496" s="8"/>
      <c r="F10496" s="8"/>
    </row>
    <row r="10497" spans="2:6">
      <c r="B10497" s="44"/>
      <c r="D10497" s="8"/>
      <c r="E10497" s="8"/>
      <c r="F10497" s="8"/>
    </row>
    <row r="10498" spans="2:6">
      <c r="B10498" s="44"/>
      <c r="D10498" s="8"/>
      <c r="E10498" s="8"/>
      <c r="F10498" s="8"/>
    </row>
    <row r="10499" spans="2:6">
      <c r="B10499" s="44"/>
      <c r="D10499" s="8"/>
      <c r="E10499" s="8"/>
      <c r="F10499" s="8"/>
    </row>
    <row r="10500" spans="2:6">
      <c r="B10500" s="44"/>
      <c r="D10500" s="8"/>
      <c r="E10500" s="8"/>
      <c r="F10500" s="8"/>
    </row>
    <row r="10501" spans="2:6">
      <c r="B10501" s="44"/>
      <c r="D10501" s="8"/>
      <c r="E10501" s="8"/>
      <c r="F10501" s="8"/>
    </row>
    <row r="10502" spans="2:6">
      <c r="B10502" s="44"/>
      <c r="D10502" s="8"/>
      <c r="E10502" s="8"/>
      <c r="F10502" s="8"/>
    </row>
    <row r="10503" spans="2:6">
      <c r="B10503" s="44"/>
      <c r="D10503" s="8"/>
      <c r="E10503" s="8"/>
      <c r="F10503" s="8"/>
    </row>
    <row r="10504" spans="2:6">
      <c r="B10504" s="44"/>
      <c r="D10504" s="8"/>
      <c r="E10504" s="8"/>
      <c r="F10504" s="8"/>
    </row>
    <row r="10505" spans="2:6">
      <c r="B10505" s="44"/>
      <c r="D10505" s="8"/>
      <c r="E10505" s="8"/>
      <c r="F10505" s="8"/>
    </row>
    <row r="10506" spans="2:6">
      <c r="B10506" s="44"/>
      <c r="D10506" s="8"/>
      <c r="E10506" s="8"/>
      <c r="F10506" s="8"/>
    </row>
    <row r="10507" spans="2:6">
      <c r="B10507" s="44"/>
      <c r="D10507" s="8"/>
      <c r="E10507" s="8"/>
      <c r="F10507" s="8"/>
    </row>
    <row r="10508" spans="2:6">
      <c r="B10508" s="44"/>
      <c r="D10508" s="8"/>
      <c r="E10508" s="8"/>
      <c r="F10508" s="8"/>
    </row>
    <row r="10509" spans="2:6">
      <c r="B10509" s="44"/>
      <c r="D10509" s="8"/>
      <c r="E10509" s="8"/>
      <c r="F10509" s="8"/>
    </row>
    <row r="10510" spans="2:6">
      <c r="B10510" s="44"/>
      <c r="D10510" s="8"/>
      <c r="E10510" s="8"/>
      <c r="F10510" s="8"/>
    </row>
    <row r="10511" spans="2:6">
      <c r="B10511" s="44"/>
      <c r="D10511" s="8"/>
      <c r="E10511" s="8"/>
      <c r="F10511" s="8"/>
    </row>
    <row r="10512" spans="2:6">
      <c r="B10512" s="44"/>
      <c r="D10512" s="8"/>
      <c r="E10512" s="8"/>
      <c r="F10512" s="8"/>
    </row>
    <row r="10513" spans="2:6">
      <c r="B10513" s="44"/>
      <c r="D10513" s="8"/>
      <c r="E10513" s="8"/>
      <c r="F10513" s="8"/>
    </row>
    <row r="10514" spans="2:6">
      <c r="B10514" s="44"/>
      <c r="D10514" s="8"/>
      <c r="E10514" s="8"/>
      <c r="F10514" s="8"/>
    </row>
    <row r="10515" spans="2:6">
      <c r="B10515" s="44"/>
      <c r="D10515" s="8"/>
      <c r="E10515" s="8"/>
      <c r="F10515" s="8"/>
    </row>
    <row r="10516" spans="2:6">
      <c r="B10516" s="44"/>
      <c r="D10516" s="8"/>
      <c r="E10516" s="8"/>
      <c r="F10516" s="8"/>
    </row>
    <row r="10517" spans="2:6">
      <c r="B10517" s="44"/>
      <c r="D10517" s="8"/>
      <c r="E10517" s="8"/>
      <c r="F10517" s="8"/>
    </row>
    <row r="10518" spans="2:6">
      <c r="B10518" s="44"/>
      <c r="D10518" s="8"/>
      <c r="E10518" s="8"/>
      <c r="F10518" s="8"/>
    </row>
    <row r="10519" spans="2:6">
      <c r="B10519" s="44"/>
      <c r="D10519" s="8"/>
      <c r="E10519" s="8"/>
      <c r="F10519" s="8"/>
    </row>
    <row r="10520" spans="2:6">
      <c r="B10520" s="44"/>
      <c r="D10520" s="8"/>
      <c r="E10520" s="8"/>
      <c r="F10520" s="8"/>
    </row>
    <row r="10521" spans="2:6">
      <c r="B10521" s="44"/>
      <c r="D10521" s="8"/>
      <c r="E10521" s="8"/>
      <c r="F10521" s="8"/>
    </row>
    <row r="10522" spans="2:6">
      <c r="B10522" s="44"/>
      <c r="D10522" s="8"/>
      <c r="E10522" s="8"/>
      <c r="F10522" s="8"/>
    </row>
    <row r="10523" spans="2:6">
      <c r="B10523" s="44"/>
      <c r="D10523" s="8"/>
      <c r="E10523" s="8"/>
      <c r="F10523" s="8"/>
    </row>
    <row r="10524" spans="2:6">
      <c r="B10524" s="44"/>
      <c r="D10524" s="8"/>
      <c r="E10524" s="8"/>
      <c r="F10524" s="8"/>
    </row>
    <row r="10525" spans="2:6">
      <c r="B10525" s="44"/>
      <c r="D10525" s="8"/>
      <c r="E10525" s="8"/>
      <c r="F10525" s="8"/>
    </row>
    <row r="10526" spans="2:6">
      <c r="B10526" s="44"/>
      <c r="D10526" s="8"/>
      <c r="E10526" s="8"/>
      <c r="F10526" s="8"/>
    </row>
    <row r="10527" spans="2:6">
      <c r="B10527" s="44"/>
      <c r="D10527" s="8"/>
      <c r="E10527" s="8"/>
      <c r="F10527" s="8"/>
    </row>
    <row r="10528" spans="2:6">
      <c r="B10528" s="44"/>
      <c r="D10528" s="8"/>
      <c r="E10528" s="8"/>
      <c r="F10528" s="8"/>
    </row>
    <row r="10529" spans="2:6">
      <c r="B10529" s="44"/>
      <c r="D10529" s="8"/>
      <c r="E10529" s="8"/>
      <c r="F10529" s="8"/>
    </row>
    <row r="10530" spans="2:6">
      <c r="B10530" s="44"/>
      <c r="D10530" s="8"/>
      <c r="E10530" s="8"/>
      <c r="F10530" s="8"/>
    </row>
    <row r="10531" spans="2:6">
      <c r="B10531" s="44"/>
      <c r="D10531" s="8"/>
      <c r="E10531" s="8"/>
      <c r="F10531" s="8"/>
    </row>
    <row r="10532" spans="2:6">
      <c r="B10532" s="44"/>
      <c r="D10532" s="8"/>
      <c r="E10532" s="8"/>
      <c r="F10532" s="8"/>
    </row>
    <row r="10533" spans="2:6">
      <c r="B10533" s="44"/>
      <c r="D10533" s="8"/>
      <c r="E10533" s="8"/>
      <c r="F10533" s="8"/>
    </row>
    <row r="10534" spans="2:6">
      <c r="B10534" s="44"/>
      <c r="D10534" s="8"/>
      <c r="E10534" s="8"/>
      <c r="F10534" s="8"/>
    </row>
    <row r="10535" spans="2:6">
      <c r="B10535" s="44"/>
      <c r="D10535" s="8"/>
      <c r="E10535" s="8"/>
      <c r="F10535" s="8"/>
    </row>
    <row r="10536" spans="2:6">
      <c r="B10536" s="44"/>
      <c r="D10536" s="8"/>
      <c r="E10536" s="8"/>
      <c r="F10536" s="8"/>
    </row>
    <row r="10537" spans="2:6">
      <c r="B10537" s="44"/>
      <c r="D10537" s="8"/>
      <c r="E10537" s="8"/>
      <c r="F10537" s="8"/>
    </row>
    <row r="10538" spans="2:6">
      <c r="B10538" s="44"/>
      <c r="D10538" s="8"/>
      <c r="E10538" s="8"/>
      <c r="F10538" s="8"/>
    </row>
    <row r="10539" spans="2:6">
      <c r="B10539" s="44"/>
      <c r="D10539" s="8"/>
      <c r="E10539" s="8"/>
      <c r="F10539" s="8"/>
    </row>
    <row r="10540" spans="2:6">
      <c r="B10540" s="44"/>
      <c r="D10540" s="8"/>
      <c r="E10540" s="8"/>
      <c r="F10540" s="8"/>
    </row>
    <row r="10541" spans="2:6">
      <c r="B10541" s="44"/>
      <c r="D10541" s="8"/>
      <c r="E10541" s="8"/>
      <c r="F10541" s="8"/>
    </row>
    <row r="10542" spans="2:6">
      <c r="B10542" s="44"/>
      <c r="D10542" s="8"/>
      <c r="E10542" s="8"/>
      <c r="F10542" s="8"/>
    </row>
    <row r="10543" spans="2:6">
      <c r="B10543" s="44"/>
      <c r="D10543" s="8"/>
      <c r="E10543" s="8"/>
      <c r="F10543" s="8"/>
    </row>
    <row r="10544" spans="2:6">
      <c r="B10544" s="44"/>
      <c r="D10544" s="8"/>
      <c r="E10544" s="8"/>
      <c r="F10544" s="8"/>
    </row>
    <row r="10545" spans="2:6">
      <c r="B10545" s="44"/>
      <c r="D10545" s="8"/>
      <c r="E10545" s="8"/>
      <c r="F10545" s="8"/>
    </row>
    <row r="10546" spans="2:6">
      <c r="B10546" s="44"/>
      <c r="D10546" s="8"/>
      <c r="E10546" s="8"/>
      <c r="F10546" s="8"/>
    </row>
    <row r="10547" spans="2:6">
      <c r="B10547" s="44"/>
      <c r="D10547" s="8"/>
      <c r="E10547" s="8"/>
      <c r="F10547" s="8"/>
    </row>
    <row r="10548" spans="2:6">
      <c r="B10548" s="44"/>
      <c r="D10548" s="8"/>
      <c r="E10548" s="8"/>
      <c r="F10548" s="8"/>
    </row>
    <row r="10549" spans="2:6">
      <c r="B10549" s="44"/>
      <c r="D10549" s="8"/>
      <c r="E10549" s="8"/>
      <c r="F10549" s="8"/>
    </row>
    <row r="10550" spans="2:6">
      <c r="B10550" s="44"/>
      <c r="D10550" s="8"/>
      <c r="E10550" s="8"/>
      <c r="F10550" s="8"/>
    </row>
    <row r="10551" spans="2:6">
      <c r="B10551" s="44"/>
      <c r="D10551" s="8"/>
      <c r="E10551" s="8"/>
      <c r="F10551" s="8"/>
    </row>
    <row r="10552" spans="2:6">
      <c r="B10552" s="44"/>
      <c r="D10552" s="8"/>
      <c r="E10552" s="8"/>
      <c r="F10552" s="8"/>
    </row>
    <row r="10553" spans="2:6">
      <c r="B10553" s="44"/>
      <c r="D10553" s="8"/>
      <c r="E10553" s="8"/>
      <c r="F10553" s="8"/>
    </row>
    <row r="10554" spans="2:6">
      <c r="B10554" s="44"/>
      <c r="D10554" s="8"/>
      <c r="E10554" s="8"/>
      <c r="F10554" s="8"/>
    </row>
    <row r="10555" spans="2:6">
      <c r="B10555" s="44"/>
      <c r="D10555" s="8"/>
      <c r="E10555" s="8"/>
      <c r="F10555" s="8"/>
    </row>
    <row r="10556" spans="2:6">
      <c r="B10556" s="44"/>
      <c r="D10556" s="8"/>
      <c r="E10556" s="8"/>
      <c r="F10556" s="8"/>
    </row>
    <row r="10557" spans="2:6">
      <c r="B10557" s="44"/>
      <c r="D10557" s="8"/>
      <c r="E10557" s="8"/>
      <c r="F10557" s="8"/>
    </row>
    <row r="10558" spans="2:6">
      <c r="B10558" s="44"/>
      <c r="D10558" s="8"/>
      <c r="E10558" s="8"/>
      <c r="F10558" s="8"/>
    </row>
    <row r="10559" spans="2:6">
      <c r="B10559" s="44"/>
      <c r="D10559" s="8"/>
      <c r="E10559" s="8"/>
      <c r="F10559" s="8"/>
    </row>
    <row r="10560" spans="2:6">
      <c r="B10560" s="44"/>
      <c r="D10560" s="8"/>
      <c r="E10560" s="8"/>
      <c r="F10560" s="8"/>
    </row>
    <row r="10561" spans="2:6">
      <c r="B10561" s="44"/>
      <c r="D10561" s="8"/>
      <c r="E10561" s="8"/>
      <c r="F10561" s="8"/>
    </row>
    <row r="10562" spans="2:6">
      <c r="B10562" s="44"/>
      <c r="D10562" s="8"/>
      <c r="E10562" s="8"/>
      <c r="F10562" s="8"/>
    </row>
    <row r="10563" spans="2:6">
      <c r="B10563" s="44"/>
      <c r="D10563" s="8"/>
      <c r="E10563" s="8"/>
      <c r="F10563" s="8"/>
    </row>
    <row r="10564" spans="2:6">
      <c r="B10564" s="44"/>
      <c r="D10564" s="8"/>
      <c r="E10564" s="8"/>
      <c r="F10564" s="8"/>
    </row>
    <row r="10565" spans="2:6">
      <c r="B10565" s="44"/>
      <c r="D10565" s="8"/>
      <c r="E10565" s="8"/>
      <c r="F10565" s="8"/>
    </row>
    <row r="10566" spans="2:6">
      <c r="B10566" s="44"/>
      <c r="D10566" s="8"/>
      <c r="E10566" s="8"/>
      <c r="F10566" s="8"/>
    </row>
    <row r="10567" spans="2:6">
      <c r="B10567" s="44"/>
      <c r="D10567" s="8"/>
      <c r="E10567" s="8"/>
      <c r="F10567" s="8"/>
    </row>
    <row r="10568" spans="2:6">
      <c r="B10568" s="44"/>
      <c r="D10568" s="8"/>
      <c r="E10568" s="8"/>
      <c r="F10568" s="8"/>
    </row>
    <row r="10569" spans="2:6">
      <c r="B10569" s="44"/>
      <c r="D10569" s="8"/>
      <c r="E10569" s="8"/>
      <c r="F10569" s="8"/>
    </row>
    <row r="10570" spans="2:6">
      <c r="B10570" s="44"/>
      <c r="D10570" s="8"/>
      <c r="E10570" s="8"/>
      <c r="F10570" s="8"/>
    </row>
    <row r="10571" spans="2:6">
      <c r="B10571" s="44"/>
      <c r="D10571" s="8"/>
      <c r="E10571" s="8"/>
      <c r="F10571" s="8"/>
    </row>
    <row r="10572" spans="2:6">
      <c r="B10572" s="44"/>
      <c r="D10572" s="8"/>
      <c r="E10572" s="8"/>
      <c r="F10572" s="8"/>
    </row>
    <row r="10573" spans="2:6">
      <c r="B10573" s="44"/>
      <c r="D10573" s="8"/>
      <c r="E10573" s="8"/>
      <c r="F10573" s="8"/>
    </row>
    <row r="10574" spans="2:6">
      <c r="B10574" s="44"/>
      <c r="D10574" s="8"/>
      <c r="E10574" s="8"/>
      <c r="F10574" s="8"/>
    </row>
    <row r="10575" spans="2:6">
      <c r="B10575" s="44"/>
      <c r="D10575" s="8"/>
      <c r="E10575" s="8"/>
      <c r="F10575" s="8"/>
    </row>
    <row r="10576" spans="2:6">
      <c r="B10576" s="44"/>
      <c r="D10576" s="8"/>
      <c r="E10576" s="8"/>
      <c r="F10576" s="8"/>
    </row>
    <row r="10577" spans="2:6">
      <c r="B10577" s="44"/>
      <c r="D10577" s="8"/>
      <c r="E10577" s="8"/>
      <c r="F10577" s="8"/>
    </row>
    <row r="10578" spans="2:6">
      <c r="B10578" s="44"/>
      <c r="D10578" s="8"/>
      <c r="E10578" s="8"/>
      <c r="F10578" s="8"/>
    </row>
    <row r="10579" spans="2:6">
      <c r="B10579" s="44"/>
      <c r="D10579" s="8"/>
      <c r="E10579" s="8"/>
      <c r="F10579" s="8"/>
    </row>
    <row r="10580" spans="2:6">
      <c r="B10580" s="44"/>
      <c r="D10580" s="8"/>
      <c r="E10580" s="8"/>
      <c r="F10580" s="8"/>
    </row>
    <row r="10581" spans="2:6">
      <c r="B10581" s="44"/>
      <c r="D10581" s="8"/>
      <c r="E10581" s="8"/>
      <c r="F10581" s="8"/>
    </row>
    <row r="10582" spans="2:6">
      <c r="B10582" s="44"/>
      <c r="D10582" s="8"/>
      <c r="E10582" s="8"/>
      <c r="F10582" s="8"/>
    </row>
    <row r="10583" spans="2:6">
      <c r="B10583" s="44"/>
      <c r="D10583" s="8"/>
      <c r="E10583" s="8"/>
      <c r="F10583" s="8"/>
    </row>
    <row r="10584" spans="2:6">
      <c r="B10584" s="44"/>
      <c r="D10584" s="8"/>
      <c r="E10584" s="8"/>
      <c r="F10584" s="8"/>
    </row>
    <row r="10585" spans="2:6">
      <c r="B10585" s="44"/>
      <c r="D10585" s="8"/>
      <c r="E10585" s="8"/>
      <c r="F10585" s="8"/>
    </row>
    <row r="10586" spans="2:6">
      <c r="B10586" s="44"/>
      <c r="D10586" s="8"/>
      <c r="E10586" s="8"/>
      <c r="F10586" s="8"/>
    </row>
    <row r="10587" spans="2:6">
      <c r="B10587" s="44"/>
      <c r="D10587" s="8"/>
      <c r="E10587" s="8"/>
      <c r="F10587" s="8"/>
    </row>
    <row r="10588" spans="2:6">
      <c r="B10588" s="44"/>
      <c r="D10588" s="8"/>
      <c r="E10588" s="8"/>
      <c r="F10588" s="8"/>
    </row>
    <row r="10589" spans="2:6">
      <c r="B10589" s="44"/>
      <c r="D10589" s="8"/>
      <c r="E10589" s="8"/>
      <c r="F10589" s="8"/>
    </row>
    <row r="10590" spans="2:6">
      <c r="B10590" s="44"/>
      <c r="D10590" s="8"/>
      <c r="E10590" s="8"/>
      <c r="F10590" s="8"/>
    </row>
    <row r="10591" spans="2:6">
      <c r="B10591" s="44"/>
      <c r="D10591" s="8"/>
      <c r="E10591" s="8"/>
      <c r="F10591" s="8"/>
    </row>
    <row r="10592" spans="2:6">
      <c r="B10592" s="44"/>
      <c r="D10592" s="8"/>
      <c r="E10592" s="8"/>
      <c r="F10592" s="8"/>
    </row>
    <row r="10593" spans="2:6">
      <c r="B10593" s="44"/>
      <c r="D10593" s="8"/>
      <c r="E10593" s="8"/>
      <c r="F10593" s="8"/>
    </row>
    <row r="10594" spans="2:6">
      <c r="B10594" s="44"/>
      <c r="D10594" s="8"/>
      <c r="E10594" s="8"/>
      <c r="F10594" s="8"/>
    </row>
    <row r="10595" spans="2:6">
      <c r="B10595" s="44"/>
      <c r="D10595" s="8"/>
      <c r="E10595" s="8"/>
      <c r="F10595" s="8"/>
    </row>
    <row r="10596" spans="2:6">
      <c r="B10596" s="44"/>
      <c r="D10596" s="8"/>
      <c r="E10596" s="8"/>
      <c r="F10596" s="8"/>
    </row>
    <row r="10597" spans="2:6">
      <c r="B10597" s="44"/>
      <c r="D10597" s="8"/>
      <c r="E10597" s="8"/>
      <c r="F10597" s="8"/>
    </row>
    <row r="10598" spans="2:6">
      <c r="B10598" s="44"/>
      <c r="D10598" s="8"/>
      <c r="E10598" s="8"/>
      <c r="F10598" s="8"/>
    </row>
    <row r="10599" spans="2:6">
      <c r="B10599" s="44"/>
      <c r="D10599" s="8"/>
      <c r="E10599" s="8"/>
      <c r="F10599" s="8"/>
    </row>
    <row r="10600" spans="2:6">
      <c r="B10600" s="44"/>
      <c r="D10600" s="8"/>
      <c r="E10600" s="8"/>
      <c r="F10600" s="8"/>
    </row>
    <row r="10601" spans="2:6">
      <c r="B10601" s="44"/>
      <c r="D10601" s="8"/>
      <c r="E10601" s="8"/>
      <c r="F10601" s="8"/>
    </row>
    <row r="10602" spans="2:6">
      <c r="B10602" s="44"/>
      <c r="D10602" s="8"/>
      <c r="E10602" s="8"/>
      <c r="F10602" s="8"/>
    </row>
    <row r="10603" spans="2:6">
      <c r="B10603" s="44"/>
      <c r="D10603" s="8"/>
      <c r="E10603" s="8"/>
      <c r="F10603" s="8"/>
    </row>
    <row r="10604" spans="2:6">
      <c r="B10604" s="44"/>
      <c r="D10604" s="8"/>
      <c r="E10604" s="8"/>
      <c r="F10604" s="8"/>
    </row>
    <row r="10605" spans="2:6">
      <c r="B10605" s="44"/>
      <c r="D10605" s="8"/>
      <c r="E10605" s="8"/>
      <c r="F10605" s="8"/>
    </row>
    <row r="10606" spans="2:6">
      <c r="B10606" s="44"/>
      <c r="D10606" s="8"/>
      <c r="E10606" s="8"/>
      <c r="F10606" s="8"/>
    </row>
    <row r="10607" spans="2:6">
      <c r="B10607" s="44"/>
      <c r="D10607" s="8"/>
      <c r="E10607" s="8"/>
      <c r="F10607" s="8"/>
    </row>
    <row r="10608" spans="2:6">
      <c r="B10608" s="44"/>
      <c r="D10608" s="8"/>
      <c r="E10608" s="8"/>
      <c r="F10608" s="8"/>
    </row>
    <row r="10609" spans="2:6">
      <c r="B10609" s="44"/>
      <c r="D10609" s="8"/>
      <c r="E10609" s="8"/>
      <c r="F10609" s="8"/>
    </row>
    <row r="10610" spans="2:6">
      <c r="B10610" s="44"/>
      <c r="D10610" s="8"/>
      <c r="E10610" s="8"/>
      <c r="F10610" s="8"/>
    </row>
    <row r="10611" spans="2:6">
      <c r="B10611" s="44"/>
      <c r="D10611" s="8"/>
      <c r="E10611" s="8"/>
      <c r="F10611" s="8"/>
    </row>
    <row r="10612" spans="2:6">
      <c r="B10612" s="44"/>
      <c r="D10612" s="8"/>
      <c r="E10612" s="8"/>
      <c r="F10612" s="8"/>
    </row>
    <row r="10613" spans="2:6">
      <c r="B10613" s="44"/>
      <c r="D10613" s="8"/>
      <c r="E10613" s="8"/>
      <c r="F10613" s="8"/>
    </row>
    <row r="10614" spans="2:6">
      <c r="B10614" s="44"/>
      <c r="D10614" s="8"/>
      <c r="E10614" s="8"/>
      <c r="F10614" s="8"/>
    </row>
    <row r="10615" spans="2:6">
      <c r="B10615" s="44"/>
      <c r="D10615" s="8"/>
      <c r="E10615" s="8"/>
      <c r="F10615" s="8"/>
    </row>
    <row r="10616" spans="2:6">
      <c r="B10616" s="44"/>
      <c r="D10616" s="8"/>
      <c r="E10616" s="8"/>
      <c r="F10616" s="8"/>
    </row>
    <row r="10617" spans="2:6">
      <c r="B10617" s="44"/>
      <c r="D10617" s="8"/>
      <c r="E10617" s="8"/>
      <c r="F10617" s="8"/>
    </row>
    <row r="10618" spans="2:6">
      <c r="B10618" s="44"/>
      <c r="D10618" s="8"/>
      <c r="E10618" s="8"/>
      <c r="F10618" s="8"/>
    </row>
    <row r="10619" spans="2:6">
      <c r="B10619" s="44"/>
      <c r="D10619" s="8"/>
      <c r="E10619" s="8"/>
      <c r="F10619" s="8"/>
    </row>
    <row r="10620" spans="2:6">
      <c r="B10620" s="44"/>
      <c r="D10620" s="8"/>
      <c r="E10620" s="8"/>
      <c r="F10620" s="8"/>
    </row>
    <row r="10621" spans="2:6">
      <c r="B10621" s="44"/>
      <c r="D10621" s="8"/>
      <c r="E10621" s="8"/>
      <c r="F10621" s="8"/>
    </row>
    <row r="10622" spans="2:6">
      <c r="B10622" s="44"/>
      <c r="D10622" s="8"/>
      <c r="E10622" s="8"/>
      <c r="F10622" s="8"/>
    </row>
    <row r="10623" spans="2:6">
      <c r="B10623" s="44"/>
      <c r="D10623" s="8"/>
      <c r="E10623" s="8"/>
      <c r="F10623" s="8"/>
    </row>
    <row r="10624" spans="2:6">
      <c r="B10624" s="44"/>
      <c r="D10624" s="8"/>
      <c r="E10624" s="8"/>
      <c r="F10624" s="8"/>
    </row>
    <row r="10625" spans="2:6">
      <c r="B10625" s="44"/>
      <c r="D10625" s="8"/>
      <c r="E10625" s="8"/>
      <c r="F10625" s="8"/>
    </row>
    <row r="10626" spans="2:6">
      <c r="B10626" s="44"/>
      <c r="D10626" s="8"/>
      <c r="E10626" s="8"/>
      <c r="F10626" s="8"/>
    </row>
    <row r="10627" spans="2:6">
      <c r="B10627" s="44"/>
      <c r="D10627" s="8"/>
      <c r="E10627" s="8"/>
      <c r="F10627" s="8"/>
    </row>
    <row r="10628" spans="2:6">
      <c r="B10628" s="44"/>
      <c r="D10628" s="8"/>
      <c r="E10628" s="8"/>
      <c r="F10628" s="8"/>
    </row>
    <row r="10629" spans="2:6">
      <c r="B10629" s="44"/>
      <c r="D10629" s="8"/>
      <c r="E10629" s="8"/>
      <c r="F10629" s="8"/>
    </row>
    <row r="10630" spans="2:6">
      <c r="B10630" s="44"/>
      <c r="D10630" s="8"/>
      <c r="E10630" s="8"/>
      <c r="F10630" s="8"/>
    </row>
    <row r="10631" spans="2:6">
      <c r="B10631" s="44"/>
      <c r="D10631" s="8"/>
      <c r="E10631" s="8"/>
      <c r="F10631" s="8"/>
    </row>
    <row r="10632" spans="2:6">
      <c r="B10632" s="44"/>
      <c r="D10632" s="8"/>
      <c r="E10632" s="8"/>
      <c r="F10632" s="8"/>
    </row>
    <row r="10633" spans="2:6">
      <c r="B10633" s="44"/>
      <c r="D10633" s="8"/>
      <c r="E10633" s="8"/>
      <c r="F10633" s="8"/>
    </row>
    <row r="10634" spans="2:6">
      <c r="B10634" s="44"/>
      <c r="D10634" s="8"/>
      <c r="E10634" s="8"/>
      <c r="F10634" s="8"/>
    </row>
    <row r="10635" spans="2:6">
      <c r="B10635" s="44"/>
      <c r="D10635" s="8"/>
      <c r="E10635" s="8"/>
      <c r="F10635" s="8"/>
    </row>
    <row r="10636" spans="2:6">
      <c r="B10636" s="44"/>
      <c r="D10636" s="8"/>
      <c r="E10636" s="8"/>
      <c r="F10636" s="8"/>
    </row>
    <row r="10637" spans="2:6">
      <c r="B10637" s="44"/>
      <c r="D10637" s="8"/>
      <c r="E10637" s="8"/>
      <c r="F10637" s="8"/>
    </row>
    <row r="10638" spans="2:6">
      <c r="B10638" s="44"/>
      <c r="D10638" s="8"/>
      <c r="E10638" s="8"/>
      <c r="F10638" s="8"/>
    </row>
    <row r="10639" spans="2:6">
      <c r="B10639" s="44"/>
      <c r="D10639" s="8"/>
      <c r="E10639" s="8"/>
      <c r="F10639" s="8"/>
    </row>
    <row r="10640" spans="2:6">
      <c r="B10640" s="44"/>
      <c r="D10640" s="8"/>
      <c r="E10640" s="8"/>
      <c r="F10640" s="8"/>
    </row>
    <row r="10641" spans="2:6">
      <c r="B10641" s="44"/>
      <c r="D10641" s="8"/>
      <c r="E10641" s="8"/>
      <c r="F10641" s="8"/>
    </row>
    <row r="10642" spans="2:6">
      <c r="B10642" s="44"/>
      <c r="D10642" s="8"/>
      <c r="E10642" s="8"/>
      <c r="F10642" s="8"/>
    </row>
    <row r="10643" spans="2:6">
      <c r="B10643" s="44"/>
      <c r="D10643" s="8"/>
      <c r="E10643" s="8"/>
      <c r="F10643" s="8"/>
    </row>
    <row r="10644" spans="2:6">
      <c r="B10644" s="44"/>
      <c r="D10644" s="8"/>
      <c r="E10644" s="8"/>
      <c r="F10644" s="8"/>
    </row>
    <row r="10645" spans="2:6">
      <c r="B10645" s="44"/>
      <c r="D10645" s="8"/>
      <c r="E10645" s="8"/>
      <c r="F10645" s="8"/>
    </row>
    <row r="10646" spans="2:6">
      <c r="B10646" s="44"/>
      <c r="D10646" s="8"/>
      <c r="E10646" s="8"/>
      <c r="F10646" s="8"/>
    </row>
    <row r="10647" spans="2:6">
      <c r="B10647" s="44"/>
      <c r="D10647" s="8"/>
      <c r="E10647" s="8"/>
      <c r="F10647" s="8"/>
    </row>
    <row r="10648" spans="2:6">
      <c r="B10648" s="44"/>
      <c r="D10648" s="8"/>
      <c r="E10648" s="8"/>
      <c r="F10648" s="8"/>
    </row>
    <row r="10649" spans="2:6">
      <c r="B10649" s="44"/>
      <c r="D10649" s="8"/>
      <c r="E10649" s="8"/>
      <c r="F10649" s="8"/>
    </row>
    <row r="10650" spans="2:6">
      <c r="B10650" s="44"/>
      <c r="D10650" s="8"/>
      <c r="E10650" s="8"/>
      <c r="F10650" s="8"/>
    </row>
    <row r="10651" spans="2:6">
      <c r="B10651" s="44"/>
      <c r="D10651" s="8"/>
      <c r="E10651" s="8"/>
      <c r="F10651" s="8"/>
    </row>
    <row r="10652" spans="2:6">
      <c r="B10652" s="44"/>
      <c r="D10652" s="8"/>
      <c r="E10652" s="8"/>
      <c r="F10652" s="8"/>
    </row>
    <row r="10653" spans="2:6">
      <c r="B10653" s="44"/>
      <c r="D10653" s="8"/>
      <c r="E10653" s="8"/>
      <c r="F10653" s="8"/>
    </row>
    <row r="10654" spans="2:6">
      <c r="B10654" s="44"/>
      <c r="D10654" s="8"/>
      <c r="E10654" s="8"/>
      <c r="F10654" s="8"/>
    </row>
    <row r="10655" spans="2:6">
      <c r="B10655" s="44"/>
      <c r="D10655" s="8"/>
      <c r="E10655" s="8"/>
      <c r="F10655" s="8"/>
    </row>
    <row r="10656" spans="2:6">
      <c r="B10656" s="44"/>
      <c r="D10656" s="8"/>
      <c r="E10656" s="8"/>
      <c r="F10656" s="8"/>
    </row>
    <row r="10657" spans="2:6">
      <c r="B10657" s="44"/>
      <c r="D10657" s="8"/>
      <c r="E10657" s="8"/>
      <c r="F10657" s="8"/>
    </row>
    <row r="10658" spans="2:6">
      <c r="B10658" s="44"/>
      <c r="D10658" s="8"/>
      <c r="E10658" s="8"/>
      <c r="F10658" s="8"/>
    </row>
    <row r="10659" spans="2:6">
      <c r="B10659" s="44"/>
      <c r="D10659" s="8"/>
      <c r="E10659" s="8"/>
      <c r="F10659" s="8"/>
    </row>
    <row r="10660" spans="2:6">
      <c r="B10660" s="44"/>
      <c r="D10660" s="8"/>
      <c r="E10660" s="8"/>
      <c r="F10660" s="8"/>
    </row>
    <row r="10661" spans="2:6">
      <c r="B10661" s="44"/>
      <c r="D10661" s="8"/>
      <c r="E10661" s="8"/>
      <c r="F10661" s="8"/>
    </row>
    <row r="10662" spans="2:6">
      <c r="B10662" s="44"/>
      <c r="D10662" s="8"/>
      <c r="E10662" s="8"/>
      <c r="F10662" s="8"/>
    </row>
    <row r="10663" spans="2:6">
      <c r="B10663" s="44"/>
      <c r="D10663" s="8"/>
      <c r="E10663" s="8"/>
      <c r="F10663" s="8"/>
    </row>
    <row r="10664" spans="2:6">
      <c r="B10664" s="44"/>
      <c r="D10664" s="8"/>
      <c r="E10664" s="8"/>
      <c r="F10664" s="8"/>
    </row>
    <row r="10665" spans="2:6">
      <c r="B10665" s="44"/>
      <c r="D10665" s="8"/>
      <c r="E10665" s="8"/>
      <c r="F10665" s="8"/>
    </row>
    <row r="10666" spans="2:6">
      <c r="B10666" s="44"/>
      <c r="D10666" s="8"/>
      <c r="E10666" s="8"/>
      <c r="F10666" s="8"/>
    </row>
    <row r="10667" spans="2:6">
      <c r="B10667" s="44"/>
      <c r="D10667" s="8"/>
      <c r="E10667" s="8"/>
      <c r="F10667" s="8"/>
    </row>
    <row r="10668" spans="2:6">
      <c r="B10668" s="44"/>
      <c r="D10668" s="8"/>
      <c r="E10668" s="8"/>
      <c r="F10668" s="8"/>
    </row>
    <row r="10669" spans="2:6">
      <c r="B10669" s="44"/>
      <c r="D10669" s="8"/>
      <c r="E10669" s="8"/>
      <c r="F10669" s="8"/>
    </row>
    <row r="10670" spans="2:6">
      <c r="B10670" s="44"/>
      <c r="D10670" s="8"/>
      <c r="E10670" s="8"/>
      <c r="F10670" s="8"/>
    </row>
    <row r="10671" spans="2:6">
      <c r="B10671" s="44"/>
      <c r="D10671" s="8"/>
      <c r="E10671" s="8"/>
      <c r="F10671" s="8"/>
    </row>
    <row r="10672" spans="2:6">
      <c r="B10672" s="44"/>
      <c r="D10672" s="8"/>
      <c r="E10672" s="8"/>
      <c r="F10672" s="8"/>
    </row>
    <row r="10673" spans="2:6">
      <c r="B10673" s="44"/>
      <c r="D10673" s="8"/>
      <c r="E10673" s="8"/>
      <c r="F10673" s="8"/>
    </row>
    <row r="10674" spans="2:6">
      <c r="B10674" s="44"/>
      <c r="D10674" s="8"/>
      <c r="E10674" s="8"/>
      <c r="F10674" s="8"/>
    </row>
    <row r="10675" spans="2:6">
      <c r="B10675" s="44"/>
      <c r="D10675" s="8"/>
      <c r="E10675" s="8"/>
      <c r="F10675" s="8"/>
    </row>
    <row r="10676" spans="2:6">
      <c r="B10676" s="44"/>
      <c r="D10676" s="8"/>
      <c r="E10676" s="8"/>
      <c r="F10676" s="8"/>
    </row>
    <row r="10677" spans="2:6">
      <c r="B10677" s="44"/>
      <c r="D10677" s="8"/>
      <c r="E10677" s="8"/>
      <c r="F10677" s="8"/>
    </row>
    <row r="10678" spans="2:6">
      <c r="B10678" s="44"/>
      <c r="D10678" s="8"/>
      <c r="E10678" s="8"/>
      <c r="F10678" s="8"/>
    </row>
    <row r="10679" spans="2:6">
      <c r="B10679" s="44"/>
      <c r="D10679" s="8"/>
      <c r="E10679" s="8"/>
      <c r="F10679" s="8"/>
    </row>
    <row r="10680" spans="2:6">
      <c r="B10680" s="44"/>
      <c r="D10680" s="8"/>
      <c r="E10680" s="8"/>
      <c r="F10680" s="8"/>
    </row>
    <row r="10681" spans="2:6">
      <c r="B10681" s="44"/>
      <c r="D10681" s="8"/>
      <c r="E10681" s="8"/>
      <c r="F10681" s="8"/>
    </row>
    <row r="10682" spans="2:6">
      <c r="B10682" s="44"/>
      <c r="D10682" s="8"/>
      <c r="E10682" s="8"/>
      <c r="F10682" s="8"/>
    </row>
    <row r="10683" spans="2:6">
      <c r="B10683" s="44"/>
      <c r="D10683" s="8"/>
      <c r="E10683" s="8"/>
      <c r="F10683" s="8"/>
    </row>
    <row r="10684" spans="2:6">
      <c r="B10684" s="44"/>
      <c r="D10684" s="8"/>
      <c r="E10684" s="8"/>
      <c r="F10684" s="8"/>
    </row>
    <row r="10685" spans="2:6">
      <c r="B10685" s="44"/>
      <c r="D10685" s="8"/>
      <c r="E10685" s="8"/>
      <c r="F10685" s="8"/>
    </row>
    <row r="10686" spans="2:6">
      <c r="B10686" s="44"/>
      <c r="D10686" s="8"/>
      <c r="E10686" s="8"/>
      <c r="F10686" s="8"/>
    </row>
    <row r="10687" spans="2:6">
      <c r="B10687" s="44"/>
      <c r="D10687" s="8"/>
      <c r="E10687" s="8"/>
      <c r="F10687" s="8"/>
    </row>
    <row r="10688" spans="2:6">
      <c r="B10688" s="44"/>
      <c r="D10688" s="8"/>
      <c r="E10688" s="8"/>
      <c r="F10688" s="8"/>
    </row>
    <row r="10689" spans="2:6">
      <c r="B10689" s="44"/>
      <c r="D10689" s="8"/>
      <c r="E10689" s="8"/>
      <c r="F10689" s="8"/>
    </row>
    <row r="10690" spans="2:6">
      <c r="B10690" s="44"/>
      <c r="D10690" s="8"/>
      <c r="E10690" s="8"/>
      <c r="F10690" s="8"/>
    </row>
    <row r="10691" spans="2:6">
      <c r="B10691" s="44"/>
      <c r="D10691" s="8"/>
      <c r="E10691" s="8"/>
      <c r="F10691" s="8"/>
    </row>
    <row r="10692" spans="2:6">
      <c r="B10692" s="44"/>
      <c r="D10692" s="8"/>
      <c r="E10692" s="8"/>
      <c r="F10692" s="8"/>
    </row>
    <row r="10693" spans="2:6">
      <c r="B10693" s="44"/>
      <c r="D10693" s="8"/>
      <c r="E10693" s="8"/>
      <c r="F10693" s="8"/>
    </row>
    <row r="10694" spans="2:6">
      <c r="B10694" s="44"/>
      <c r="D10694" s="8"/>
      <c r="E10694" s="8"/>
      <c r="F10694" s="8"/>
    </row>
    <row r="10695" spans="2:6">
      <c r="B10695" s="44"/>
      <c r="D10695" s="8"/>
      <c r="E10695" s="8"/>
      <c r="F10695" s="8"/>
    </row>
    <row r="10696" spans="2:6">
      <c r="B10696" s="44"/>
      <c r="D10696" s="8"/>
      <c r="E10696" s="8"/>
      <c r="F10696" s="8"/>
    </row>
    <row r="10697" spans="2:6">
      <c r="B10697" s="44"/>
      <c r="D10697" s="8"/>
      <c r="E10697" s="8"/>
      <c r="F10697" s="8"/>
    </row>
    <row r="10698" spans="2:6">
      <c r="B10698" s="44"/>
      <c r="D10698" s="8"/>
      <c r="E10698" s="8"/>
      <c r="F10698" s="8"/>
    </row>
    <row r="10699" spans="2:6">
      <c r="B10699" s="44"/>
      <c r="D10699" s="8"/>
      <c r="E10699" s="8"/>
      <c r="F10699" s="8"/>
    </row>
    <row r="10700" spans="2:6">
      <c r="B10700" s="44"/>
      <c r="D10700" s="8"/>
      <c r="E10700" s="8"/>
      <c r="F10700" s="8"/>
    </row>
    <row r="10701" spans="2:6">
      <c r="B10701" s="44"/>
      <c r="D10701" s="8"/>
      <c r="E10701" s="8"/>
      <c r="F10701" s="8"/>
    </row>
    <row r="10702" spans="2:6">
      <c r="B10702" s="44"/>
      <c r="D10702" s="8"/>
      <c r="E10702" s="8"/>
      <c r="F10702" s="8"/>
    </row>
    <row r="10703" spans="2:6">
      <c r="B10703" s="44"/>
      <c r="D10703" s="8"/>
      <c r="E10703" s="8"/>
      <c r="F10703" s="8"/>
    </row>
    <row r="10704" spans="2:6">
      <c r="B10704" s="44"/>
      <c r="D10704" s="8"/>
      <c r="E10704" s="8"/>
      <c r="F10704" s="8"/>
    </row>
    <row r="10705" spans="2:6">
      <c r="B10705" s="44"/>
      <c r="D10705" s="8"/>
      <c r="E10705" s="8"/>
      <c r="F10705" s="8"/>
    </row>
    <row r="10706" spans="2:6">
      <c r="B10706" s="44"/>
      <c r="D10706" s="8"/>
      <c r="E10706" s="8"/>
      <c r="F10706" s="8"/>
    </row>
    <row r="10707" spans="2:6">
      <c r="B10707" s="44"/>
      <c r="D10707" s="8"/>
      <c r="E10707" s="8"/>
      <c r="F10707" s="8"/>
    </row>
    <row r="10708" spans="2:6">
      <c r="B10708" s="44"/>
      <c r="D10708" s="8"/>
      <c r="E10708" s="8"/>
      <c r="F10708" s="8"/>
    </row>
    <row r="10709" spans="2:6">
      <c r="B10709" s="44"/>
      <c r="D10709" s="8"/>
      <c r="E10709" s="8"/>
      <c r="F10709" s="8"/>
    </row>
    <row r="10710" spans="2:6">
      <c r="B10710" s="44"/>
      <c r="D10710" s="8"/>
      <c r="E10710" s="8"/>
      <c r="F10710" s="8"/>
    </row>
    <row r="10711" spans="2:6">
      <c r="B10711" s="44"/>
      <c r="D10711" s="8"/>
      <c r="E10711" s="8"/>
      <c r="F10711" s="8"/>
    </row>
    <row r="10712" spans="2:6">
      <c r="B10712" s="44"/>
      <c r="D10712" s="8"/>
      <c r="E10712" s="8"/>
      <c r="F10712" s="8"/>
    </row>
    <row r="10713" spans="2:6">
      <c r="B10713" s="44"/>
      <c r="D10713" s="8"/>
      <c r="E10713" s="8"/>
      <c r="F10713" s="8"/>
    </row>
    <row r="10714" spans="2:6">
      <c r="B10714" s="44"/>
      <c r="D10714" s="8"/>
      <c r="E10714" s="8"/>
      <c r="F10714" s="8"/>
    </row>
    <row r="10715" spans="2:6">
      <c r="B10715" s="44"/>
      <c r="D10715" s="8"/>
      <c r="E10715" s="8"/>
      <c r="F10715" s="8"/>
    </row>
    <row r="10716" spans="2:6">
      <c r="B10716" s="44"/>
      <c r="D10716" s="8"/>
      <c r="E10716" s="8"/>
      <c r="F10716" s="8"/>
    </row>
    <row r="10717" spans="2:6">
      <c r="B10717" s="44"/>
      <c r="D10717" s="8"/>
      <c r="E10717" s="8"/>
      <c r="F10717" s="8"/>
    </row>
    <row r="10718" spans="2:6">
      <c r="B10718" s="44"/>
      <c r="D10718" s="8"/>
      <c r="E10718" s="8"/>
      <c r="F10718" s="8"/>
    </row>
    <row r="10719" spans="2:6">
      <c r="B10719" s="44"/>
      <c r="D10719" s="8"/>
      <c r="E10719" s="8"/>
      <c r="F10719" s="8"/>
    </row>
    <row r="10720" spans="2:6">
      <c r="B10720" s="44"/>
      <c r="D10720" s="8"/>
      <c r="E10720" s="8"/>
      <c r="F10720" s="8"/>
    </row>
    <row r="10721" spans="2:6">
      <c r="B10721" s="44"/>
      <c r="D10721" s="8"/>
      <c r="E10721" s="8"/>
      <c r="F10721" s="8"/>
    </row>
    <row r="10722" spans="2:6">
      <c r="B10722" s="44"/>
      <c r="D10722" s="8"/>
      <c r="E10722" s="8"/>
      <c r="F10722" s="8"/>
    </row>
    <row r="10723" spans="2:6">
      <c r="B10723" s="44"/>
      <c r="D10723" s="8"/>
      <c r="E10723" s="8"/>
      <c r="F10723" s="8"/>
    </row>
    <row r="10724" spans="2:6">
      <c r="B10724" s="44"/>
      <c r="D10724" s="8"/>
      <c r="E10724" s="8"/>
      <c r="F10724" s="8"/>
    </row>
    <row r="10725" spans="2:6">
      <c r="B10725" s="44"/>
      <c r="D10725" s="8"/>
      <c r="E10725" s="8"/>
      <c r="F10725" s="8"/>
    </row>
    <row r="10726" spans="2:6">
      <c r="B10726" s="44"/>
      <c r="D10726" s="8"/>
      <c r="E10726" s="8"/>
      <c r="F10726" s="8"/>
    </row>
    <row r="10727" spans="2:6">
      <c r="B10727" s="44"/>
      <c r="D10727" s="8"/>
      <c r="E10727" s="8"/>
      <c r="F10727" s="8"/>
    </row>
    <row r="10728" spans="2:6">
      <c r="B10728" s="44"/>
      <c r="D10728" s="8"/>
      <c r="E10728" s="8"/>
      <c r="F10728" s="8"/>
    </row>
    <row r="10729" spans="2:6">
      <c r="B10729" s="44"/>
      <c r="D10729" s="8"/>
      <c r="E10729" s="8"/>
      <c r="F10729" s="8"/>
    </row>
    <row r="10730" spans="2:6">
      <c r="B10730" s="44"/>
      <c r="D10730" s="8"/>
      <c r="E10730" s="8"/>
      <c r="F10730" s="8"/>
    </row>
    <row r="10731" spans="2:6">
      <c r="B10731" s="44"/>
      <c r="D10731" s="8"/>
      <c r="E10731" s="8"/>
      <c r="F10731" s="8"/>
    </row>
    <row r="10732" spans="2:6">
      <c r="B10732" s="44"/>
      <c r="D10732" s="8"/>
      <c r="E10732" s="8"/>
      <c r="F10732" s="8"/>
    </row>
    <row r="10733" spans="2:6">
      <c r="B10733" s="44"/>
      <c r="D10733" s="8"/>
      <c r="E10733" s="8"/>
      <c r="F10733" s="8"/>
    </row>
    <row r="10734" spans="2:6">
      <c r="B10734" s="44"/>
      <c r="D10734" s="8"/>
      <c r="E10734" s="8"/>
      <c r="F10734" s="8"/>
    </row>
    <row r="10735" spans="2:6">
      <c r="B10735" s="44"/>
      <c r="D10735" s="8"/>
      <c r="E10735" s="8"/>
      <c r="F10735" s="8"/>
    </row>
    <row r="10736" spans="2:6">
      <c r="B10736" s="44"/>
      <c r="D10736" s="8"/>
      <c r="E10736" s="8"/>
      <c r="F10736" s="8"/>
    </row>
    <row r="10737" spans="2:6">
      <c r="B10737" s="44"/>
      <c r="D10737" s="8"/>
      <c r="E10737" s="8"/>
      <c r="F10737" s="8"/>
    </row>
    <row r="10738" spans="2:6">
      <c r="B10738" s="44"/>
      <c r="D10738" s="8"/>
      <c r="E10738" s="8"/>
      <c r="F10738" s="8"/>
    </row>
    <row r="10739" spans="2:6">
      <c r="B10739" s="44"/>
      <c r="D10739" s="8"/>
      <c r="E10739" s="8"/>
      <c r="F10739" s="8"/>
    </row>
    <row r="10740" spans="2:6">
      <c r="B10740" s="44"/>
      <c r="D10740" s="8"/>
      <c r="E10740" s="8"/>
      <c r="F10740" s="8"/>
    </row>
    <row r="10741" spans="2:6">
      <c r="B10741" s="44"/>
      <c r="D10741" s="8"/>
      <c r="E10741" s="8"/>
      <c r="F10741" s="8"/>
    </row>
    <row r="10742" spans="2:6">
      <c r="B10742" s="44"/>
      <c r="D10742" s="8"/>
      <c r="E10742" s="8"/>
      <c r="F10742" s="8"/>
    </row>
    <row r="10743" spans="2:6">
      <c r="B10743" s="44"/>
      <c r="D10743" s="8"/>
      <c r="E10743" s="8"/>
      <c r="F10743" s="8"/>
    </row>
    <row r="10744" spans="2:6">
      <c r="B10744" s="44"/>
      <c r="D10744" s="8"/>
      <c r="E10744" s="8"/>
      <c r="F10744" s="8"/>
    </row>
    <row r="10745" spans="2:6">
      <c r="B10745" s="44"/>
      <c r="D10745" s="8"/>
      <c r="E10745" s="8"/>
      <c r="F10745" s="8"/>
    </row>
    <row r="10746" spans="2:6">
      <c r="B10746" s="44"/>
      <c r="D10746" s="8"/>
      <c r="E10746" s="8"/>
      <c r="F10746" s="8"/>
    </row>
    <row r="10747" spans="2:6">
      <c r="B10747" s="44"/>
      <c r="D10747" s="8"/>
      <c r="E10747" s="8"/>
      <c r="F10747" s="8"/>
    </row>
    <row r="10748" spans="2:6">
      <c r="B10748" s="44"/>
      <c r="D10748" s="8"/>
      <c r="E10748" s="8"/>
      <c r="F10748" s="8"/>
    </row>
    <row r="10749" spans="2:6">
      <c r="B10749" s="44"/>
      <c r="D10749" s="8"/>
      <c r="E10749" s="8"/>
      <c r="F10749" s="8"/>
    </row>
    <row r="10750" spans="2:6">
      <c r="B10750" s="44"/>
      <c r="D10750" s="8"/>
      <c r="E10750" s="8"/>
      <c r="F10750" s="8"/>
    </row>
    <row r="10751" spans="2:6">
      <c r="B10751" s="44"/>
      <c r="D10751" s="8"/>
      <c r="E10751" s="8"/>
      <c r="F10751" s="8"/>
    </row>
    <row r="10752" spans="2:6">
      <c r="B10752" s="44"/>
      <c r="D10752" s="8"/>
      <c r="E10752" s="8"/>
      <c r="F10752" s="8"/>
    </row>
    <row r="10753" spans="2:6">
      <c r="B10753" s="44"/>
      <c r="D10753" s="8"/>
      <c r="E10753" s="8"/>
      <c r="F10753" s="8"/>
    </row>
    <row r="10754" spans="2:6">
      <c r="B10754" s="44"/>
      <c r="D10754" s="8"/>
      <c r="E10754" s="8"/>
      <c r="F10754" s="8"/>
    </row>
    <row r="10755" spans="2:6">
      <c r="B10755" s="44"/>
      <c r="D10755" s="8"/>
      <c r="E10755" s="8"/>
      <c r="F10755" s="8"/>
    </row>
    <row r="10756" spans="2:6">
      <c r="B10756" s="44"/>
      <c r="D10756" s="8"/>
      <c r="E10756" s="8"/>
      <c r="F10756" s="8"/>
    </row>
    <row r="10757" spans="2:6">
      <c r="B10757" s="44"/>
      <c r="D10757" s="8"/>
      <c r="E10757" s="8"/>
      <c r="F10757" s="8"/>
    </row>
    <row r="10758" spans="2:6">
      <c r="B10758" s="44"/>
      <c r="D10758" s="8"/>
      <c r="E10758" s="8"/>
      <c r="F10758" s="8"/>
    </row>
    <row r="10759" spans="2:6">
      <c r="B10759" s="44"/>
      <c r="D10759" s="8"/>
      <c r="E10759" s="8"/>
      <c r="F10759" s="8"/>
    </row>
    <row r="10760" spans="2:6">
      <c r="B10760" s="44"/>
      <c r="D10760" s="8"/>
      <c r="E10760" s="8"/>
      <c r="F10760" s="8"/>
    </row>
    <row r="10761" spans="2:6">
      <c r="B10761" s="44"/>
      <c r="D10761" s="8"/>
      <c r="E10761" s="8"/>
      <c r="F10761" s="8"/>
    </row>
    <row r="10762" spans="2:6">
      <c r="B10762" s="44"/>
      <c r="D10762" s="8"/>
      <c r="E10762" s="8"/>
      <c r="F10762" s="8"/>
    </row>
    <row r="10763" spans="2:6">
      <c r="B10763" s="44"/>
      <c r="D10763" s="8"/>
      <c r="E10763" s="8"/>
      <c r="F10763" s="8"/>
    </row>
    <row r="10764" spans="2:6">
      <c r="B10764" s="44"/>
      <c r="D10764" s="8"/>
      <c r="E10764" s="8"/>
      <c r="F10764" s="8"/>
    </row>
    <row r="10765" spans="2:6">
      <c r="B10765" s="44"/>
      <c r="D10765" s="8"/>
      <c r="E10765" s="8"/>
      <c r="F10765" s="8"/>
    </row>
    <row r="10766" spans="2:6">
      <c r="B10766" s="44"/>
      <c r="D10766" s="8"/>
      <c r="E10766" s="8"/>
      <c r="F10766" s="8"/>
    </row>
    <row r="10767" spans="2:6">
      <c r="B10767" s="44"/>
      <c r="D10767" s="8"/>
      <c r="E10767" s="8"/>
      <c r="F10767" s="8"/>
    </row>
    <row r="10768" spans="2:6">
      <c r="B10768" s="44"/>
      <c r="D10768" s="8"/>
      <c r="E10768" s="8"/>
      <c r="F10768" s="8"/>
    </row>
    <row r="10769" spans="2:6">
      <c r="B10769" s="44"/>
      <c r="D10769" s="8"/>
      <c r="E10769" s="8"/>
      <c r="F10769" s="8"/>
    </row>
    <row r="10770" spans="2:6">
      <c r="B10770" s="44"/>
      <c r="D10770" s="8"/>
      <c r="E10770" s="8"/>
      <c r="F10770" s="8"/>
    </row>
    <row r="10771" spans="2:6">
      <c r="B10771" s="44"/>
      <c r="D10771" s="8"/>
      <c r="E10771" s="8"/>
      <c r="F10771" s="8"/>
    </row>
    <row r="10772" spans="2:6">
      <c r="B10772" s="44"/>
      <c r="D10772" s="8"/>
      <c r="E10772" s="8"/>
      <c r="F10772" s="8"/>
    </row>
    <row r="10773" spans="2:6">
      <c r="B10773" s="44"/>
      <c r="D10773" s="8"/>
      <c r="E10773" s="8"/>
      <c r="F10773" s="8"/>
    </row>
    <row r="10774" spans="2:6">
      <c r="B10774" s="44"/>
      <c r="D10774" s="8"/>
      <c r="E10774" s="8"/>
      <c r="F10774" s="8"/>
    </row>
    <row r="10775" spans="2:6">
      <c r="B10775" s="44"/>
      <c r="D10775" s="8"/>
      <c r="E10775" s="8"/>
      <c r="F10775" s="8"/>
    </row>
    <row r="10776" spans="2:6">
      <c r="B10776" s="44"/>
      <c r="D10776" s="8"/>
      <c r="E10776" s="8"/>
      <c r="F10776" s="8"/>
    </row>
    <row r="10777" spans="2:6">
      <c r="B10777" s="44"/>
      <c r="D10777" s="8"/>
      <c r="E10777" s="8"/>
      <c r="F10777" s="8"/>
    </row>
    <row r="10778" spans="2:6">
      <c r="B10778" s="44"/>
      <c r="D10778" s="8"/>
      <c r="E10778" s="8"/>
      <c r="F10778" s="8"/>
    </row>
    <row r="10779" spans="2:6">
      <c r="B10779" s="44"/>
      <c r="D10779" s="8"/>
      <c r="E10779" s="8"/>
      <c r="F10779" s="8"/>
    </row>
    <row r="10780" spans="2:6">
      <c r="B10780" s="44"/>
      <c r="D10780" s="8"/>
      <c r="E10780" s="8"/>
      <c r="F10780" s="8"/>
    </row>
    <row r="10781" spans="2:6">
      <c r="B10781" s="44"/>
      <c r="D10781" s="8"/>
      <c r="E10781" s="8"/>
      <c r="F10781" s="8"/>
    </row>
    <row r="10782" spans="2:6">
      <c r="B10782" s="44"/>
      <c r="D10782" s="8"/>
      <c r="E10782" s="8"/>
      <c r="F10782" s="8"/>
    </row>
    <row r="10783" spans="2:6">
      <c r="B10783" s="44"/>
      <c r="D10783" s="8"/>
      <c r="E10783" s="8"/>
      <c r="F10783" s="8"/>
    </row>
    <row r="10784" spans="2:6">
      <c r="B10784" s="44"/>
      <c r="D10784" s="8"/>
      <c r="E10784" s="8"/>
      <c r="F10784" s="8"/>
    </row>
    <row r="10785" spans="2:6">
      <c r="B10785" s="44"/>
      <c r="D10785" s="8"/>
      <c r="E10785" s="8"/>
      <c r="F10785" s="8"/>
    </row>
    <row r="10786" spans="2:6">
      <c r="B10786" s="44"/>
      <c r="D10786" s="8"/>
      <c r="E10786" s="8"/>
      <c r="F10786" s="8"/>
    </row>
    <row r="10787" spans="2:6">
      <c r="B10787" s="44"/>
      <c r="D10787" s="8"/>
      <c r="E10787" s="8"/>
      <c r="F10787" s="8"/>
    </row>
    <row r="10788" spans="2:6">
      <c r="B10788" s="44"/>
      <c r="D10788" s="8"/>
      <c r="E10788" s="8"/>
      <c r="F10788" s="8"/>
    </row>
    <row r="10789" spans="2:6">
      <c r="B10789" s="44"/>
      <c r="D10789" s="8"/>
      <c r="E10789" s="8"/>
      <c r="F10789" s="8"/>
    </row>
    <row r="10790" spans="2:6">
      <c r="B10790" s="44"/>
      <c r="D10790" s="8"/>
      <c r="E10790" s="8"/>
      <c r="F10790" s="8"/>
    </row>
    <row r="10791" spans="2:6">
      <c r="B10791" s="44"/>
      <c r="D10791" s="8"/>
      <c r="E10791" s="8"/>
      <c r="F10791" s="8"/>
    </row>
    <row r="10792" spans="2:6">
      <c r="B10792" s="44"/>
      <c r="D10792" s="8"/>
      <c r="E10792" s="8"/>
      <c r="F10792" s="8"/>
    </row>
    <row r="10793" spans="2:6">
      <c r="B10793" s="44"/>
      <c r="D10793" s="8"/>
      <c r="E10793" s="8"/>
      <c r="F10793" s="8"/>
    </row>
    <row r="10794" spans="2:6">
      <c r="B10794" s="44"/>
      <c r="D10794" s="8"/>
      <c r="E10794" s="8"/>
      <c r="F10794" s="8"/>
    </row>
    <row r="10795" spans="2:6">
      <c r="B10795" s="44"/>
      <c r="D10795" s="8"/>
      <c r="E10795" s="8"/>
      <c r="F10795" s="8"/>
    </row>
    <row r="10796" spans="2:6">
      <c r="B10796" s="44"/>
      <c r="D10796" s="8"/>
      <c r="E10796" s="8"/>
      <c r="F10796" s="8"/>
    </row>
    <row r="10797" spans="2:6">
      <c r="B10797" s="44"/>
      <c r="D10797" s="8"/>
      <c r="E10797" s="8"/>
      <c r="F10797" s="8"/>
    </row>
    <row r="10798" spans="2:6">
      <c r="B10798" s="44"/>
      <c r="D10798" s="8"/>
      <c r="E10798" s="8"/>
      <c r="F10798" s="8"/>
    </row>
    <row r="10799" spans="2:6">
      <c r="B10799" s="44"/>
      <c r="D10799" s="8"/>
      <c r="E10799" s="8"/>
      <c r="F10799" s="8"/>
    </row>
    <row r="10800" spans="2:6">
      <c r="B10800" s="44"/>
      <c r="D10800" s="8"/>
      <c r="E10800" s="8"/>
      <c r="F10800" s="8"/>
    </row>
    <row r="10801" spans="2:6">
      <c r="B10801" s="44"/>
      <c r="D10801" s="8"/>
      <c r="E10801" s="8"/>
      <c r="F10801" s="8"/>
    </row>
    <row r="10802" spans="2:6">
      <c r="B10802" s="44"/>
      <c r="D10802" s="8"/>
      <c r="E10802" s="8"/>
      <c r="F10802" s="8"/>
    </row>
    <row r="10803" spans="2:6">
      <c r="B10803" s="44"/>
      <c r="D10803" s="8"/>
      <c r="E10803" s="8"/>
      <c r="F10803" s="8"/>
    </row>
    <row r="10804" spans="2:6">
      <c r="B10804" s="44"/>
      <c r="D10804" s="8"/>
      <c r="E10804" s="8"/>
      <c r="F10804" s="8"/>
    </row>
  </sheetData>
  <sheetProtection sheet="1" selectLockedCells="1"/>
  <phoneticPr fontId="0" type="noConversion"/>
  <pageMargins left="0.8" right="0.68" top="0.75" bottom="0.73" header="0.42" footer="0.4921259845"/>
  <pageSetup paperSize="9" scale="77" orientation="portrait" r:id="rId1"/>
  <headerFooter alignWithMargins="0">
    <oddHeader>&amp;F</oddHeader>
    <oddFooter>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indexed="9"/>
  </sheetPr>
  <dimension ref="A1:CC459"/>
  <sheetViews>
    <sheetView tabSelected="1" zoomScaleNormal="100" zoomScaleSheetLayoutView="40" zoomScalePageLayoutView="40" workbookViewId="0">
      <selection activeCell="B6" sqref="B6"/>
    </sheetView>
  </sheetViews>
  <sheetFormatPr baseColWidth="10" defaultRowHeight="11.25"/>
  <cols>
    <col min="1" max="1" width="3.140625" style="12" customWidth="1"/>
    <col min="2" max="2" width="41.85546875" style="12" customWidth="1"/>
    <col min="3" max="3" width="13.5703125" style="1" customWidth="1"/>
    <col min="4" max="4" width="7.42578125" style="1" customWidth="1"/>
    <col min="5" max="5" width="13.28515625" style="1" customWidth="1"/>
    <col min="6" max="6" width="11.28515625" style="1" customWidth="1"/>
    <col min="7" max="7" width="7.7109375" style="1" customWidth="1"/>
    <col min="8" max="8" width="9.85546875" style="268" customWidth="1"/>
    <col min="9" max="9" width="9.5703125" style="268" customWidth="1"/>
    <col min="10" max="10" width="13.85546875" style="268" customWidth="1"/>
    <col min="11" max="11" width="15.42578125" style="12" customWidth="1"/>
    <col min="12" max="13" width="13.85546875" style="12" customWidth="1"/>
    <col min="14" max="14" width="13.85546875" style="13" customWidth="1"/>
    <col min="15" max="22" width="13.85546875" style="12" customWidth="1"/>
    <col min="23" max="23" width="15.42578125" style="303" customWidth="1"/>
    <col min="24" max="24" width="13.85546875" style="12" bestFit="1" customWidth="1"/>
    <col min="25" max="25" width="13" style="12" customWidth="1"/>
    <col min="26" max="26" width="9.140625" style="12" customWidth="1"/>
    <col min="27" max="27" width="9.28515625" style="13" customWidth="1"/>
    <col min="28" max="28" width="10.140625" style="12" customWidth="1"/>
    <col min="29" max="29" width="13.85546875" style="12" bestFit="1" customWidth="1"/>
    <col min="30" max="16384" width="11.42578125" style="12"/>
  </cols>
  <sheetData>
    <row r="1" spans="1:55">
      <c r="C1" s="12"/>
      <c r="D1" s="12"/>
      <c r="E1" s="12"/>
      <c r="F1" s="12"/>
      <c r="G1" s="12"/>
      <c r="H1" s="267"/>
      <c r="I1" s="267"/>
      <c r="W1" s="11"/>
    </row>
    <row r="2" spans="1:55" ht="12.75">
      <c r="B2" s="212" t="s">
        <v>220</v>
      </c>
      <c r="C2" s="12"/>
      <c r="D2" s="12"/>
      <c r="E2" s="12"/>
      <c r="F2" s="12"/>
      <c r="G2" s="12"/>
      <c r="H2" s="267"/>
      <c r="I2" s="267"/>
      <c r="W2" s="11"/>
    </row>
    <row r="3" spans="1:55" ht="12.75">
      <c r="B3" s="269"/>
      <c r="C3" s="270"/>
      <c r="D3" s="270"/>
      <c r="E3" s="270"/>
      <c r="F3" s="270"/>
      <c r="G3" s="270"/>
      <c r="H3" s="271"/>
      <c r="I3" s="271"/>
      <c r="W3" s="272"/>
    </row>
    <row r="4" spans="1:55" s="276" customFormat="1" ht="28.5" customHeight="1">
      <c r="A4" s="13"/>
      <c r="B4" s="394" t="s">
        <v>39</v>
      </c>
      <c r="C4" s="398" t="s">
        <v>234</v>
      </c>
      <c r="D4" s="395" t="s">
        <v>168</v>
      </c>
      <c r="E4" s="395" t="s">
        <v>233</v>
      </c>
      <c r="F4" s="398" t="s">
        <v>136</v>
      </c>
      <c r="G4" s="398" t="s">
        <v>167</v>
      </c>
      <c r="H4" s="397" t="s">
        <v>235</v>
      </c>
      <c r="I4" s="397" t="s">
        <v>40</v>
      </c>
      <c r="J4" s="274" t="s">
        <v>166</v>
      </c>
      <c r="K4" s="367">
        <v>0.5</v>
      </c>
      <c r="L4" s="251">
        <v>0.25</v>
      </c>
      <c r="M4" s="251">
        <v>0.5</v>
      </c>
      <c r="N4" s="251">
        <v>0.75</v>
      </c>
      <c r="O4" s="251">
        <v>1</v>
      </c>
      <c r="P4" s="251">
        <v>1.2</v>
      </c>
      <c r="Q4" s="251">
        <v>1.2</v>
      </c>
      <c r="R4" s="251">
        <v>0.8</v>
      </c>
      <c r="S4" s="251">
        <v>0.6</v>
      </c>
      <c r="T4" s="251">
        <v>0.8</v>
      </c>
      <c r="U4" s="251">
        <v>1</v>
      </c>
      <c r="V4" s="251">
        <v>0.8</v>
      </c>
      <c r="W4" s="251">
        <v>0.8</v>
      </c>
      <c r="X4" s="275" t="s">
        <v>45</v>
      </c>
      <c r="Y4" s="13"/>
      <c r="Z4" s="13"/>
      <c r="AA4" s="13"/>
      <c r="AB4" s="13"/>
      <c r="AC4" s="13"/>
      <c r="AD4" s="13"/>
      <c r="AE4" s="13"/>
      <c r="AF4" s="13"/>
    </row>
    <row r="5" spans="1:55" s="13" customFormat="1" ht="15.75" customHeight="1">
      <c r="B5" s="394"/>
      <c r="C5" s="398"/>
      <c r="D5" s="396"/>
      <c r="E5" s="396"/>
      <c r="F5" s="398"/>
      <c r="G5" s="398"/>
      <c r="H5" s="397"/>
      <c r="I5" s="397"/>
      <c r="J5" s="273" t="s">
        <v>165</v>
      </c>
      <c r="K5" s="368" t="s">
        <v>219</v>
      </c>
      <c r="L5" s="277" t="s">
        <v>149</v>
      </c>
      <c r="M5" s="277" t="s">
        <v>150</v>
      </c>
      <c r="N5" s="277" t="s">
        <v>151</v>
      </c>
      <c r="O5" s="277" t="s">
        <v>157</v>
      </c>
      <c r="P5" s="277" t="s">
        <v>158</v>
      </c>
      <c r="Q5" s="277" t="s">
        <v>147</v>
      </c>
      <c r="R5" s="277" t="s">
        <v>114</v>
      </c>
      <c r="S5" s="277" t="s">
        <v>154</v>
      </c>
      <c r="T5" s="277" t="s">
        <v>148</v>
      </c>
      <c r="U5" s="277" t="s">
        <v>115</v>
      </c>
      <c r="V5" s="277" t="s">
        <v>116</v>
      </c>
      <c r="W5" s="277" t="s">
        <v>117</v>
      </c>
      <c r="X5" s="51"/>
    </row>
    <row r="6" spans="1:55" s="7" customFormat="1" ht="15" customHeight="1">
      <c r="B6" s="244"/>
      <c r="C6" s="245"/>
      <c r="D6" s="246">
        <v>0</v>
      </c>
      <c r="E6" s="245"/>
      <c r="F6" s="328">
        <f>E6/(1+G6)</f>
        <v>0</v>
      </c>
      <c r="G6" s="246">
        <v>0</v>
      </c>
      <c r="H6" s="335" t="e">
        <f>(F6/1+G6)/C6</f>
        <v>#DIV/0!</v>
      </c>
      <c r="I6" s="372" t="e">
        <f t="shared" ref="I6:I17" si="0">(X6*F6)/$X$18</f>
        <v>#DIV/0!</v>
      </c>
      <c r="J6" s="250"/>
      <c r="K6" s="369">
        <f t="shared" ref="K6:W6" si="1">($J6*K$4)</f>
        <v>0</v>
      </c>
      <c r="L6" s="322">
        <f t="shared" ref="L6:W13" si="2">($J6*L$4)</f>
        <v>0</v>
      </c>
      <c r="M6" s="322">
        <f t="shared" si="1"/>
        <v>0</v>
      </c>
      <c r="N6" s="322">
        <f t="shared" si="1"/>
        <v>0</v>
      </c>
      <c r="O6" s="322">
        <f t="shared" si="1"/>
        <v>0</v>
      </c>
      <c r="P6" s="322">
        <f t="shared" si="1"/>
        <v>0</v>
      </c>
      <c r="Q6" s="322">
        <f t="shared" si="1"/>
        <v>0</v>
      </c>
      <c r="R6" s="322">
        <f t="shared" si="1"/>
        <v>0</v>
      </c>
      <c r="S6" s="322">
        <f t="shared" si="1"/>
        <v>0</v>
      </c>
      <c r="T6" s="322">
        <f t="shared" si="1"/>
        <v>0</v>
      </c>
      <c r="U6" s="322">
        <f t="shared" si="1"/>
        <v>0</v>
      </c>
      <c r="V6" s="322">
        <f t="shared" si="1"/>
        <v>0</v>
      </c>
      <c r="W6" s="322">
        <f t="shared" si="1"/>
        <v>0</v>
      </c>
      <c r="X6" s="278">
        <f>SUM(L6:W6)</f>
        <v>0</v>
      </c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55" s="7" customFormat="1" ht="15" customHeight="1">
      <c r="B7" s="244"/>
      <c r="C7" s="245"/>
      <c r="D7" s="246">
        <v>0</v>
      </c>
      <c r="E7" s="245"/>
      <c r="F7" s="328">
        <f t="shared" ref="F7:F17" si="3">E7/(1+G7)</f>
        <v>0</v>
      </c>
      <c r="G7" s="246">
        <v>0</v>
      </c>
      <c r="H7" s="335" t="e">
        <f t="shared" ref="H7:H17" si="4">(F7/1+G7)/C7</f>
        <v>#DIV/0!</v>
      </c>
      <c r="I7" s="372" t="e">
        <f t="shared" si="0"/>
        <v>#DIV/0!</v>
      </c>
      <c r="J7" s="250">
        <v>0</v>
      </c>
      <c r="K7" s="369">
        <f t="shared" ref="K7:K17" si="5">($J7*K$4)</f>
        <v>0</v>
      </c>
      <c r="L7" s="322">
        <f t="shared" si="2"/>
        <v>0</v>
      </c>
      <c r="M7" s="322">
        <f t="shared" si="2"/>
        <v>0</v>
      </c>
      <c r="N7" s="322">
        <f t="shared" si="2"/>
        <v>0</v>
      </c>
      <c r="O7" s="322">
        <f t="shared" si="2"/>
        <v>0</v>
      </c>
      <c r="P7" s="322">
        <f t="shared" si="2"/>
        <v>0</v>
      </c>
      <c r="Q7" s="322">
        <f t="shared" si="2"/>
        <v>0</v>
      </c>
      <c r="R7" s="322">
        <f t="shared" si="2"/>
        <v>0</v>
      </c>
      <c r="S7" s="322">
        <f t="shared" si="2"/>
        <v>0</v>
      </c>
      <c r="T7" s="322">
        <f t="shared" si="2"/>
        <v>0</v>
      </c>
      <c r="U7" s="322">
        <f t="shared" si="2"/>
        <v>0</v>
      </c>
      <c r="V7" s="322">
        <f t="shared" si="2"/>
        <v>0</v>
      </c>
      <c r="W7" s="322">
        <f t="shared" si="2"/>
        <v>0</v>
      </c>
      <c r="X7" s="278">
        <f t="shared" ref="X7:X17" si="6">SUM(L7:W7)</f>
        <v>0</v>
      </c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spans="1:55" ht="15" customHeight="1">
      <c r="B8" s="244"/>
      <c r="C8" s="245"/>
      <c r="D8" s="246">
        <v>0</v>
      </c>
      <c r="E8" s="245"/>
      <c r="F8" s="328">
        <f t="shared" si="3"/>
        <v>0</v>
      </c>
      <c r="G8" s="246">
        <v>0</v>
      </c>
      <c r="H8" s="335" t="e">
        <f t="shared" si="4"/>
        <v>#DIV/0!</v>
      </c>
      <c r="I8" s="372" t="e">
        <f t="shared" si="0"/>
        <v>#DIV/0!</v>
      </c>
      <c r="J8" s="250"/>
      <c r="K8" s="369">
        <f t="shared" si="5"/>
        <v>0</v>
      </c>
      <c r="L8" s="322">
        <f t="shared" si="2"/>
        <v>0</v>
      </c>
      <c r="M8" s="322">
        <f t="shared" si="2"/>
        <v>0</v>
      </c>
      <c r="N8" s="322">
        <f t="shared" si="2"/>
        <v>0</v>
      </c>
      <c r="O8" s="322">
        <f t="shared" si="2"/>
        <v>0</v>
      </c>
      <c r="P8" s="322">
        <f t="shared" si="2"/>
        <v>0</v>
      </c>
      <c r="Q8" s="322">
        <f t="shared" si="2"/>
        <v>0</v>
      </c>
      <c r="R8" s="322">
        <f t="shared" si="2"/>
        <v>0</v>
      </c>
      <c r="S8" s="322">
        <f t="shared" si="2"/>
        <v>0</v>
      </c>
      <c r="T8" s="322">
        <f t="shared" si="2"/>
        <v>0</v>
      </c>
      <c r="U8" s="322">
        <f t="shared" si="2"/>
        <v>0</v>
      </c>
      <c r="V8" s="322">
        <f t="shared" si="2"/>
        <v>0</v>
      </c>
      <c r="W8" s="322">
        <f t="shared" si="2"/>
        <v>0</v>
      </c>
      <c r="X8" s="278">
        <f t="shared" si="6"/>
        <v>0</v>
      </c>
      <c r="Z8" s="7"/>
      <c r="AA8" s="12"/>
    </row>
    <row r="9" spans="1:55" ht="15" customHeight="1">
      <c r="B9" s="244"/>
      <c r="C9" s="245"/>
      <c r="D9" s="246">
        <v>0</v>
      </c>
      <c r="E9" s="245"/>
      <c r="F9" s="328">
        <f t="shared" si="3"/>
        <v>0</v>
      </c>
      <c r="G9" s="246">
        <v>0</v>
      </c>
      <c r="H9" s="335" t="e">
        <f t="shared" si="4"/>
        <v>#DIV/0!</v>
      </c>
      <c r="I9" s="372" t="e">
        <f t="shared" si="0"/>
        <v>#DIV/0!</v>
      </c>
      <c r="J9" s="250">
        <v>0</v>
      </c>
      <c r="K9" s="369">
        <f t="shared" si="5"/>
        <v>0</v>
      </c>
      <c r="L9" s="322">
        <f t="shared" si="2"/>
        <v>0</v>
      </c>
      <c r="M9" s="322">
        <f t="shared" si="2"/>
        <v>0</v>
      </c>
      <c r="N9" s="322">
        <f t="shared" si="2"/>
        <v>0</v>
      </c>
      <c r="O9" s="322">
        <f t="shared" si="2"/>
        <v>0</v>
      </c>
      <c r="P9" s="322">
        <f t="shared" si="2"/>
        <v>0</v>
      </c>
      <c r="Q9" s="322">
        <f t="shared" si="2"/>
        <v>0</v>
      </c>
      <c r="R9" s="322">
        <f t="shared" si="2"/>
        <v>0</v>
      </c>
      <c r="S9" s="322">
        <f t="shared" si="2"/>
        <v>0</v>
      </c>
      <c r="T9" s="322">
        <f t="shared" si="2"/>
        <v>0</v>
      </c>
      <c r="U9" s="322">
        <f t="shared" si="2"/>
        <v>0</v>
      </c>
      <c r="V9" s="322">
        <f t="shared" si="2"/>
        <v>0</v>
      </c>
      <c r="W9" s="322">
        <f t="shared" si="2"/>
        <v>0</v>
      </c>
      <c r="X9" s="278">
        <f t="shared" si="6"/>
        <v>0</v>
      </c>
      <c r="Z9" s="7"/>
      <c r="AA9" s="12"/>
    </row>
    <row r="10" spans="1:55" ht="15" customHeight="1">
      <c r="B10" s="323"/>
      <c r="C10" s="245"/>
      <c r="D10" s="246">
        <v>0</v>
      </c>
      <c r="E10" s="245"/>
      <c r="F10" s="328">
        <f t="shared" si="3"/>
        <v>0</v>
      </c>
      <c r="G10" s="246">
        <v>0</v>
      </c>
      <c r="H10" s="335" t="e">
        <f t="shared" si="4"/>
        <v>#DIV/0!</v>
      </c>
      <c r="I10" s="372" t="e">
        <f t="shared" si="0"/>
        <v>#DIV/0!</v>
      </c>
      <c r="J10" s="250">
        <v>0</v>
      </c>
      <c r="K10" s="369">
        <f t="shared" si="5"/>
        <v>0</v>
      </c>
      <c r="L10" s="322">
        <f t="shared" si="2"/>
        <v>0</v>
      </c>
      <c r="M10" s="322">
        <f t="shared" si="2"/>
        <v>0</v>
      </c>
      <c r="N10" s="322">
        <f t="shared" si="2"/>
        <v>0</v>
      </c>
      <c r="O10" s="322">
        <f t="shared" si="2"/>
        <v>0</v>
      </c>
      <c r="P10" s="322">
        <f t="shared" si="2"/>
        <v>0</v>
      </c>
      <c r="Q10" s="322">
        <f t="shared" si="2"/>
        <v>0</v>
      </c>
      <c r="R10" s="322">
        <f t="shared" si="2"/>
        <v>0</v>
      </c>
      <c r="S10" s="322">
        <f t="shared" si="2"/>
        <v>0</v>
      </c>
      <c r="T10" s="322">
        <f t="shared" si="2"/>
        <v>0</v>
      </c>
      <c r="U10" s="322">
        <f t="shared" si="2"/>
        <v>0</v>
      </c>
      <c r="V10" s="322">
        <f t="shared" si="2"/>
        <v>0</v>
      </c>
      <c r="W10" s="322">
        <f t="shared" si="2"/>
        <v>0</v>
      </c>
      <c r="X10" s="278">
        <f t="shared" si="6"/>
        <v>0</v>
      </c>
      <c r="Z10" s="7"/>
      <c r="AA10" s="12"/>
    </row>
    <row r="11" spans="1:55" ht="15" customHeight="1">
      <c r="B11" s="323"/>
      <c r="C11" s="245"/>
      <c r="D11" s="246">
        <v>0</v>
      </c>
      <c r="E11" s="245"/>
      <c r="F11" s="328">
        <f t="shared" si="3"/>
        <v>0</v>
      </c>
      <c r="G11" s="246">
        <v>0</v>
      </c>
      <c r="H11" s="335" t="e">
        <f t="shared" si="4"/>
        <v>#DIV/0!</v>
      </c>
      <c r="I11" s="372" t="e">
        <f t="shared" si="0"/>
        <v>#DIV/0!</v>
      </c>
      <c r="J11" s="250"/>
      <c r="K11" s="369">
        <f t="shared" si="5"/>
        <v>0</v>
      </c>
      <c r="L11" s="322">
        <f t="shared" si="2"/>
        <v>0</v>
      </c>
      <c r="M11" s="322">
        <f t="shared" si="2"/>
        <v>0</v>
      </c>
      <c r="N11" s="322">
        <f t="shared" si="2"/>
        <v>0</v>
      </c>
      <c r="O11" s="322">
        <f t="shared" si="2"/>
        <v>0</v>
      </c>
      <c r="P11" s="322">
        <f t="shared" si="2"/>
        <v>0</v>
      </c>
      <c r="Q11" s="322">
        <f t="shared" si="2"/>
        <v>0</v>
      </c>
      <c r="R11" s="322">
        <f t="shared" si="2"/>
        <v>0</v>
      </c>
      <c r="S11" s="322">
        <f t="shared" si="2"/>
        <v>0</v>
      </c>
      <c r="T11" s="322">
        <f t="shared" si="2"/>
        <v>0</v>
      </c>
      <c r="U11" s="322">
        <f t="shared" si="2"/>
        <v>0</v>
      </c>
      <c r="V11" s="322">
        <f t="shared" si="2"/>
        <v>0</v>
      </c>
      <c r="W11" s="322">
        <f t="shared" si="2"/>
        <v>0</v>
      </c>
      <c r="X11" s="278">
        <f t="shared" si="6"/>
        <v>0</v>
      </c>
      <c r="AA11" s="12"/>
      <c r="BC11" s="12">
        <f>(212*1.15)+62/1.21</f>
        <v>295.03966942148759</v>
      </c>
    </row>
    <row r="12" spans="1:55" ht="15" customHeight="1">
      <c r="B12" s="323"/>
      <c r="C12" s="245"/>
      <c r="D12" s="246">
        <v>0</v>
      </c>
      <c r="E12" s="245"/>
      <c r="F12" s="328">
        <f t="shared" si="3"/>
        <v>0</v>
      </c>
      <c r="G12" s="246">
        <v>0</v>
      </c>
      <c r="H12" s="335" t="e">
        <f t="shared" si="4"/>
        <v>#DIV/0!</v>
      </c>
      <c r="I12" s="372" t="e">
        <f t="shared" si="0"/>
        <v>#DIV/0!</v>
      </c>
      <c r="J12" s="250">
        <v>0</v>
      </c>
      <c r="K12" s="369">
        <f t="shared" si="5"/>
        <v>0</v>
      </c>
      <c r="L12" s="322">
        <f t="shared" si="2"/>
        <v>0</v>
      </c>
      <c r="M12" s="322">
        <f t="shared" si="2"/>
        <v>0</v>
      </c>
      <c r="N12" s="322">
        <f t="shared" si="2"/>
        <v>0</v>
      </c>
      <c r="O12" s="322">
        <f t="shared" si="2"/>
        <v>0</v>
      </c>
      <c r="P12" s="322">
        <f t="shared" si="2"/>
        <v>0</v>
      </c>
      <c r="Q12" s="322">
        <f t="shared" si="2"/>
        <v>0</v>
      </c>
      <c r="R12" s="322">
        <f t="shared" si="2"/>
        <v>0</v>
      </c>
      <c r="S12" s="322">
        <f t="shared" si="2"/>
        <v>0</v>
      </c>
      <c r="T12" s="322">
        <f t="shared" si="2"/>
        <v>0</v>
      </c>
      <c r="U12" s="322">
        <f t="shared" si="2"/>
        <v>0</v>
      </c>
      <c r="V12" s="322">
        <f t="shared" si="2"/>
        <v>0</v>
      </c>
      <c r="W12" s="322">
        <f t="shared" si="2"/>
        <v>0</v>
      </c>
      <c r="X12" s="278">
        <f t="shared" si="6"/>
        <v>0</v>
      </c>
      <c r="AA12" s="12"/>
      <c r="BC12" s="12">
        <f>BC11*1.21</f>
        <v>356.99799999999999</v>
      </c>
    </row>
    <row r="13" spans="1:55" ht="15" customHeight="1">
      <c r="B13" s="244"/>
      <c r="C13" s="245"/>
      <c r="D13" s="246">
        <v>0</v>
      </c>
      <c r="E13" s="245"/>
      <c r="F13" s="328">
        <f t="shared" si="3"/>
        <v>0</v>
      </c>
      <c r="G13" s="246">
        <v>0</v>
      </c>
      <c r="H13" s="335" t="e">
        <f t="shared" si="4"/>
        <v>#DIV/0!</v>
      </c>
      <c r="I13" s="372" t="e">
        <f t="shared" si="0"/>
        <v>#DIV/0!</v>
      </c>
      <c r="J13" s="250">
        <v>0</v>
      </c>
      <c r="K13" s="369">
        <f t="shared" si="5"/>
        <v>0</v>
      </c>
      <c r="L13" s="322">
        <f t="shared" si="2"/>
        <v>0</v>
      </c>
      <c r="M13" s="322">
        <f t="shared" si="2"/>
        <v>0</v>
      </c>
      <c r="N13" s="322">
        <f t="shared" si="2"/>
        <v>0</v>
      </c>
      <c r="O13" s="322">
        <f t="shared" si="2"/>
        <v>0</v>
      </c>
      <c r="P13" s="322">
        <f t="shared" si="2"/>
        <v>0</v>
      </c>
      <c r="Q13" s="322">
        <f t="shared" si="2"/>
        <v>0</v>
      </c>
      <c r="R13" s="322">
        <f t="shared" si="2"/>
        <v>0</v>
      </c>
      <c r="S13" s="322">
        <f t="shared" si="2"/>
        <v>0</v>
      </c>
      <c r="T13" s="322">
        <f t="shared" si="2"/>
        <v>0</v>
      </c>
      <c r="U13" s="322">
        <f t="shared" si="2"/>
        <v>0</v>
      </c>
      <c r="V13" s="322">
        <f t="shared" si="2"/>
        <v>0</v>
      </c>
      <c r="W13" s="322">
        <f t="shared" si="2"/>
        <v>0</v>
      </c>
      <c r="X13" s="278">
        <f t="shared" si="6"/>
        <v>0</v>
      </c>
      <c r="AA13" s="12"/>
    </row>
    <row r="14" spans="1:55" ht="15" customHeight="1">
      <c r="B14" s="311"/>
      <c r="C14" s="245"/>
      <c r="D14" s="246">
        <v>0</v>
      </c>
      <c r="E14" s="245"/>
      <c r="F14" s="328">
        <f t="shared" si="3"/>
        <v>0</v>
      </c>
      <c r="G14" s="246">
        <v>0</v>
      </c>
      <c r="H14" s="335" t="e">
        <f t="shared" si="4"/>
        <v>#DIV/0!</v>
      </c>
      <c r="I14" s="372" t="e">
        <f t="shared" si="0"/>
        <v>#DIV/0!</v>
      </c>
      <c r="J14" s="250"/>
      <c r="K14" s="369">
        <f t="shared" si="5"/>
        <v>0</v>
      </c>
      <c r="L14" s="322">
        <f t="shared" ref="L14:W17" si="7">($J14*L$4)</f>
        <v>0</v>
      </c>
      <c r="M14" s="322">
        <f t="shared" si="7"/>
        <v>0</v>
      </c>
      <c r="N14" s="322">
        <f t="shared" si="7"/>
        <v>0</v>
      </c>
      <c r="O14" s="322">
        <f t="shared" si="7"/>
        <v>0</v>
      </c>
      <c r="P14" s="322">
        <f t="shared" si="7"/>
        <v>0</v>
      </c>
      <c r="Q14" s="322">
        <f t="shared" si="7"/>
        <v>0</v>
      </c>
      <c r="R14" s="322">
        <f t="shared" si="7"/>
        <v>0</v>
      </c>
      <c r="S14" s="322">
        <f t="shared" si="7"/>
        <v>0</v>
      </c>
      <c r="T14" s="322">
        <f t="shared" si="7"/>
        <v>0</v>
      </c>
      <c r="U14" s="322">
        <f t="shared" si="7"/>
        <v>0</v>
      </c>
      <c r="V14" s="322">
        <f t="shared" si="7"/>
        <v>0</v>
      </c>
      <c r="W14" s="322">
        <f t="shared" si="7"/>
        <v>0</v>
      </c>
      <c r="X14" s="278">
        <f t="shared" si="6"/>
        <v>0</v>
      </c>
      <c r="AA14" s="12"/>
    </row>
    <row r="15" spans="1:55" ht="15" customHeight="1">
      <c r="B15" s="323"/>
      <c r="C15" s="245"/>
      <c r="D15" s="246">
        <v>0</v>
      </c>
      <c r="E15" s="245"/>
      <c r="F15" s="328">
        <f t="shared" si="3"/>
        <v>0</v>
      </c>
      <c r="G15" s="246">
        <v>0</v>
      </c>
      <c r="H15" s="335" t="e">
        <f t="shared" si="4"/>
        <v>#DIV/0!</v>
      </c>
      <c r="I15" s="372" t="e">
        <f t="shared" si="0"/>
        <v>#DIV/0!</v>
      </c>
      <c r="J15" s="250">
        <v>0</v>
      </c>
      <c r="K15" s="369">
        <f t="shared" si="5"/>
        <v>0</v>
      </c>
      <c r="L15" s="322">
        <f t="shared" si="7"/>
        <v>0</v>
      </c>
      <c r="M15" s="322">
        <f t="shared" si="7"/>
        <v>0</v>
      </c>
      <c r="N15" s="322">
        <f t="shared" si="7"/>
        <v>0</v>
      </c>
      <c r="O15" s="322">
        <f t="shared" si="7"/>
        <v>0</v>
      </c>
      <c r="P15" s="322">
        <f t="shared" si="7"/>
        <v>0</v>
      </c>
      <c r="Q15" s="322">
        <f t="shared" si="7"/>
        <v>0</v>
      </c>
      <c r="R15" s="322">
        <f t="shared" si="7"/>
        <v>0</v>
      </c>
      <c r="S15" s="322">
        <f t="shared" si="7"/>
        <v>0</v>
      </c>
      <c r="T15" s="322">
        <f t="shared" si="7"/>
        <v>0</v>
      </c>
      <c r="U15" s="322">
        <f t="shared" si="7"/>
        <v>0</v>
      </c>
      <c r="V15" s="322">
        <f t="shared" si="7"/>
        <v>0</v>
      </c>
      <c r="W15" s="322">
        <f t="shared" si="7"/>
        <v>0</v>
      </c>
      <c r="X15" s="278">
        <f t="shared" si="6"/>
        <v>0</v>
      </c>
      <c r="AA15" s="12"/>
    </row>
    <row r="16" spans="1:55" ht="15" customHeight="1">
      <c r="B16" s="323"/>
      <c r="C16" s="245"/>
      <c r="D16" s="246">
        <v>0</v>
      </c>
      <c r="E16" s="245"/>
      <c r="F16" s="328">
        <f t="shared" si="3"/>
        <v>0</v>
      </c>
      <c r="G16" s="246">
        <v>0</v>
      </c>
      <c r="H16" s="335" t="e">
        <f t="shared" si="4"/>
        <v>#DIV/0!</v>
      </c>
      <c r="I16" s="372" t="e">
        <f t="shared" si="0"/>
        <v>#DIV/0!</v>
      </c>
      <c r="J16" s="250"/>
      <c r="K16" s="369">
        <f t="shared" si="5"/>
        <v>0</v>
      </c>
      <c r="L16" s="322">
        <f t="shared" si="7"/>
        <v>0</v>
      </c>
      <c r="M16" s="322">
        <f t="shared" si="7"/>
        <v>0</v>
      </c>
      <c r="N16" s="322">
        <f t="shared" si="7"/>
        <v>0</v>
      </c>
      <c r="O16" s="322">
        <f t="shared" si="7"/>
        <v>0</v>
      </c>
      <c r="P16" s="322">
        <f t="shared" si="7"/>
        <v>0</v>
      </c>
      <c r="Q16" s="322">
        <f t="shared" si="7"/>
        <v>0</v>
      </c>
      <c r="R16" s="322">
        <f t="shared" si="7"/>
        <v>0</v>
      </c>
      <c r="S16" s="322">
        <f t="shared" si="7"/>
        <v>0</v>
      </c>
      <c r="T16" s="322">
        <f t="shared" si="7"/>
        <v>0</v>
      </c>
      <c r="U16" s="322">
        <f t="shared" si="7"/>
        <v>0</v>
      </c>
      <c r="V16" s="322">
        <f t="shared" si="7"/>
        <v>0</v>
      </c>
      <c r="W16" s="322">
        <f t="shared" si="7"/>
        <v>0</v>
      </c>
      <c r="X16" s="278">
        <f t="shared" si="6"/>
        <v>0</v>
      </c>
      <c r="AA16" s="12"/>
    </row>
    <row r="17" spans="1:81" ht="15" customHeight="1">
      <c r="B17" s="248"/>
      <c r="C17" s="305"/>
      <c r="D17" s="246">
        <v>0</v>
      </c>
      <c r="E17" s="305"/>
      <c r="F17" s="328">
        <f t="shared" si="3"/>
        <v>0</v>
      </c>
      <c r="G17" s="246">
        <v>0</v>
      </c>
      <c r="H17" s="335" t="e">
        <f t="shared" si="4"/>
        <v>#DIV/0!</v>
      </c>
      <c r="I17" s="372" t="e">
        <f t="shared" si="0"/>
        <v>#DIV/0!</v>
      </c>
      <c r="J17" s="250"/>
      <c r="K17" s="369">
        <f t="shared" si="5"/>
        <v>0</v>
      </c>
      <c r="L17" s="322">
        <f t="shared" si="7"/>
        <v>0</v>
      </c>
      <c r="M17" s="322">
        <f t="shared" si="7"/>
        <v>0</v>
      </c>
      <c r="N17" s="322">
        <f t="shared" si="7"/>
        <v>0</v>
      </c>
      <c r="O17" s="322">
        <f t="shared" si="7"/>
        <v>0</v>
      </c>
      <c r="P17" s="322">
        <f t="shared" si="7"/>
        <v>0</v>
      </c>
      <c r="Q17" s="322">
        <f t="shared" si="7"/>
        <v>0</v>
      </c>
      <c r="R17" s="322">
        <f t="shared" si="7"/>
        <v>0</v>
      </c>
      <c r="S17" s="322">
        <f t="shared" si="7"/>
        <v>0</v>
      </c>
      <c r="T17" s="322">
        <f t="shared" si="7"/>
        <v>0</v>
      </c>
      <c r="U17" s="322">
        <f t="shared" si="7"/>
        <v>0</v>
      </c>
      <c r="V17" s="322">
        <f t="shared" si="7"/>
        <v>0</v>
      </c>
      <c r="W17" s="322">
        <f t="shared" si="7"/>
        <v>0</v>
      </c>
      <c r="X17" s="278">
        <f t="shared" si="6"/>
        <v>0</v>
      </c>
      <c r="AA17" s="12"/>
    </row>
    <row r="18" spans="1:81" s="285" customFormat="1" ht="15" customHeight="1">
      <c r="A18" s="267"/>
      <c r="B18" s="324"/>
      <c r="C18" s="13"/>
      <c r="D18" s="280"/>
      <c r="E18" s="280"/>
      <c r="F18" s="402"/>
      <c r="G18" s="402"/>
      <c r="H18" s="281"/>
      <c r="I18" s="399" t="s">
        <v>34</v>
      </c>
      <c r="J18" s="392"/>
      <c r="K18" s="282"/>
      <c r="L18" s="283">
        <f t="shared" ref="L18:W18" si="8">(L6*$F$6)+($F$7*L7)+($F$8*L8)+($F$9*L9)+($F$10*L10)+($F$11*L11)+($F$12*L12)+($F$13*L13)+($F$14*L14)+($F$15*L15)+($F$16*L16)+($F$17*L17)</f>
        <v>0</v>
      </c>
      <c r="M18" s="284">
        <f t="shared" si="8"/>
        <v>0</v>
      </c>
      <c r="N18" s="284">
        <f t="shared" si="8"/>
        <v>0</v>
      </c>
      <c r="O18" s="284">
        <f t="shared" si="8"/>
        <v>0</v>
      </c>
      <c r="P18" s="284">
        <f t="shared" si="8"/>
        <v>0</v>
      </c>
      <c r="Q18" s="284">
        <f t="shared" si="8"/>
        <v>0</v>
      </c>
      <c r="R18" s="284">
        <f t="shared" si="8"/>
        <v>0</v>
      </c>
      <c r="S18" s="284">
        <f t="shared" si="8"/>
        <v>0</v>
      </c>
      <c r="T18" s="284">
        <f t="shared" si="8"/>
        <v>0</v>
      </c>
      <c r="U18" s="284">
        <f t="shared" si="8"/>
        <v>0</v>
      </c>
      <c r="V18" s="284">
        <f t="shared" si="8"/>
        <v>0</v>
      </c>
      <c r="W18" s="284">
        <f t="shared" si="8"/>
        <v>0</v>
      </c>
      <c r="X18" s="275">
        <f>SUM(L18:W18)</f>
        <v>0</v>
      </c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67"/>
      <c r="AK18" s="267"/>
      <c r="AL18" s="267"/>
      <c r="AM18" s="267"/>
      <c r="AN18" s="267"/>
      <c r="AO18" s="267"/>
      <c r="AP18" s="267"/>
      <c r="AQ18" s="267"/>
      <c r="AR18" s="267"/>
      <c r="AS18" s="267"/>
      <c r="AT18" s="267"/>
      <c r="AU18" s="267"/>
      <c r="AV18" s="267"/>
      <c r="AW18" s="267"/>
      <c r="AX18" s="267"/>
      <c r="AY18" s="267"/>
      <c r="AZ18" s="267"/>
      <c r="BA18" s="267"/>
      <c r="BB18" s="267"/>
      <c r="BC18" s="267"/>
      <c r="BD18" s="267"/>
      <c r="BE18" s="267"/>
      <c r="BF18" s="267"/>
      <c r="BG18" s="267"/>
      <c r="BH18" s="267"/>
      <c r="BI18" s="267"/>
      <c r="BJ18" s="267"/>
      <c r="BK18" s="267"/>
      <c r="BL18" s="267"/>
      <c r="BM18" s="267"/>
      <c r="BN18" s="267"/>
      <c r="BO18" s="267"/>
      <c r="BP18" s="267"/>
      <c r="BQ18" s="267"/>
      <c r="BR18" s="267"/>
      <c r="BS18" s="267"/>
      <c r="BT18" s="267"/>
      <c r="BU18" s="267"/>
      <c r="BV18" s="267"/>
      <c r="BW18" s="267"/>
      <c r="BX18" s="267"/>
      <c r="BY18" s="267"/>
      <c r="BZ18" s="267"/>
      <c r="CA18" s="267"/>
      <c r="CB18" s="267"/>
      <c r="CC18" s="267"/>
    </row>
    <row r="19" spans="1:81" s="285" customFormat="1" ht="15" customHeight="1">
      <c r="A19" s="267"/>
      <c r="B19" s="361"/>
      <c r="C19" s="404"/>
      <c r="D19" s="404"/>
      <c r="E19" s="289"/>
      <c r="F19" s="401"/>
      <c r="G19" s="401"/>
      <c r="H19" s="286"/>
      <c r="I19" s="407" t="s">
        <v>35</v>
      </c>
      <c r="J19" s="392"/>
      <c r="K19" s="266">
        <f t="shared" ref="K19:W19" si="9">($C$6*K6)+($C$7*K7)+($C$8*K8)+($C$9*K9)+($C$10*K10)+($C$11*K11)+($C$12*K12)+($C$13*K13)+($C$14*K14)+($C$15*K15)+($C$16*K16)+($C$17*K17)</f>
        <v>0</v>
      </c>
      <c r="L19" s="283">
        <f t="shared" si="9"/>
        <v>0</v>
      </c>
      <c r="M19" s="284">
        <f t="shared" si="9"/>
        <v>0</v>
      </c>
      <c r="N19" s="284">
        <f t="shared" si="9"/>
        <v>0</v>
      </c>
      <c r="O19" s="284">
        <f t="shared" si="9"/>
        <v>0</v>
      </c>
      <c r="P19" s="284">
        <f t="shared" si="9"/>
        <v>0</v>
      </c>
      <c r="Q19" s="284">
        <f t="shared" si="9"/>
        <v>0</v>
      </c>
      <c r="R19" s="284">
        <f t="shared" si="9"/>
        <v>0</v>
      </c>
      <c r="S19" s="284">
        <f t="shared" si="9"/>
        <v>0</v>
      </c>
      <c r="T19" s="284">
        <f t="shared" si="9"/>
        <v>0</v>
      </c>
      <c r="U19" s="284">
        <f t="shared" si="9"/>
        <v>0</v>
      </c>
      <c r="V19" s="284">
        <f t="shared" si="9"/>
        <v>0</v>
      </c>
      <c r="W19" s="284">
        <f t="shared" si="9"/>
        <v>0</v>
      </c>
      <c r="X19" s="287">
        <f>SUM(L19:W19)</f>
        <v>0</v>
      </c>
      <c r="Y19" s="267"/>
      <c r="Z19" s="267"/>
      <c r="AA19" s="267"/>
      <c r="AB19" s="267"/>
      <c r="AC19" s="267"/>
      <c r="AD19" s="267"/>
      <c r="AE19" s="267"/>
      <c r="AF19" s="267"/>
      <c r="AG19" s="267"/>
      <c r="AH19" s="267"/>
      <c r="AI19" s="267"/>
      <c r="AJ19" s="267"/>
      <c r="AK19" s="267"/>
      <c r="AL19" s="267"/>
      <c r="AM19" s="267"/>
      <c r="AN19" s="267"/>
      <c r="AO19" s="267"/>
      <c r="AP19" s="267"/>
      <c r="AQ19" s="267"/>
      <c r="AR19" s="267"/>
      <c r="AS19" s="267"/>
      <c r="AT19" s="267"/>
      <c r="AU19" s="267"/>
      <c r="AV19" s="267"/>
      <c r="AW19" s="267"/>
      <c r="AX19" s="267"/>
      <c r="AY19" s="267"/>
      <c r="AZ19" s="267"/>
      <c r="BA19" s="267"/>
      <c r="BB19" s="267"/>
      <c r="BC19" s="267"/>
      <c r="BD19" s="267"/>
      <c r="BE19" s="267"/>
      <c r="BF19" s="267"/>
      <c r="BG19" s="267"/>
      <c r="BH19" s="267"/>
      <c r="BI19" s="267"/>
      <c r="BJ19" s="267"/>
      <c r="BK19" s="267"/>
      <c r="BL19" s="267"/>
      <c r="BM19" s="267"/>
      <c r="BN19" s="267"/>
      <c r="BO19" s="267"/>
      <c r="BP19" s="267"/>
      <c r="BQ19" s="267"/>
      <c r="BR19" s="267"/>
      <c r="BS19" s="267"/>
      <c r="BT19" s="267"/>
      <c r="BU19" s="267"/>
      <c r="BV19" s="267"/>
      <c r="BW19" s="267"/>
      <c r="BX19" s="267"/>
      <c r="BY19" s="267"/>
      <c r="BZ19" s="267"/>
      <c r="CA19" s="267"/>
      <c r="CB19" s="267"/>
      <c r="CC19" s="267"/>
    </row>
    <row r="20" spans="1:81" s="295" customFormat="1" ht="15" customHeight="1">
      <c r="A20" s="290"/>
      <c r="B20" s="288"/>
      <c r="C20" s="288"/>
      <c r="D20" s="289"/>
      <c r="E20" s="289"/>
      <c r="F20" s="290"/>
      <c r="G20" s="290"/>
      <c r="H20" s="291"/>
      <c r="I20" s="406" t="s">
        <v>36</v>
      </c>
      <c r="J20" s="391"/>
      <c r="K20" s="292"/>
      <c r="L20" s="293">
        <f>($F$6*(1+$G$6)*L6)+($F$7*(1+$G$7)*L7)+($F$8*(1+$G$8)*L8)+($F$9*(1+$G$9)*L9)+($F$10*(1+$G$10)*L10)+($F$11*(1+$G$11)*L11)+($F$12*(1+$G$12)*L12)+($F$13*(1+$G$13)*L13)+($F$14*(1+$G$14)*L14)+($F$15*(1+$G$15)*L15)+($F$16*(1+$G$16)*L16)+($F$17*(1+$G$17)*L17)</f>
        <v>0</v>
      </c>
      <c r="M20" s="293">
        <f t="shared" ref="M20:W20" si="10">($F$6*(1+$G$6)*M6)+($F$7*(1+$G$7)*M7)+($F$8*(1+$G$8)*M8)+($F$9*(1+$G$9)*M9)+($F$10*(1+$G$10)*M10)+($F$11*(1+$G$11)*M11)+($F$12*(1+$G$12)*M12)+($F$13*(1+$G$13)*M13)+($F$14*(1+$G$14)*M14)+($F$15*(1+$G$15)*M15)+($F$16*(1+$G$16)*M16)+($F$17*(1+$G$17)*M17)</f>
        <v>0</v>
      </c>
      <c r="N20" s="293">
        <f t="shared" si="10"/>
        <v>0</v>
      </c>
      <c r="O20" s="293">
        <f t="shared" si="10"/>
        <v>0</v>
      </c>
      <c r="P20" s="293">
        <f t="shared" si="10"/>
        <v>0</v>
      </c>
      <c r="Q20" s="293">
        <f t="shared" si="10"/>
        <v>0</v>
      </c>
      <c r="R20" s="293">
        <f t="shared" si="10"/>
        <v>0</v>
      </c>
      <c r="S20" s="293">
        <f t="shared" si="10"/>
        <v>0</v>
      </c>
      <c r="T20" s="293">
        <f t="shared" si="10"/>
        <v>0</v>
      </c>
      <c r="U20" s="293">
        <f t="shared" si="10"/>
        <v>0</v>
      </c>
      <c r="V20" s="293">
        <f t="shared" si="10"/>
        <v>0</v>
      </c>
      <c r="W20" s="293">
        <f t="shared" si="10"/>
        <v>0</v>
      </c>
      <c r="X20" s="294">
        <f>SUM(L20:W20)</f>
        <v>0</v>
      </c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  <c r="BD20" s="290"/>
      <c r="BE20" s="290"/>
      <c r="BF20" s="290"/>
      <c r="BG20" s="290"/>
      <c r="BH20" s="290"/>
      <c r="BI20" s="290"/>
      <c r="BJ20" s="290"/>
      <c r="BK20" s="290"/>
      <c r="BL20" s="290"/>
      <c r="BM20" s="290"/>
      <c r="BN20" s="290"/>
      <c r="BO20" s="290"/>
      <c r="BP20" s="290"/>
      <c r="BQ20" s="290"/>
      <c r="BR20" s="290"/>
      <c r="BS20" s="290"/>
      <c r="BT20" s="290"/>
      <c r="BU20" s="290"/>
      <c r="BV20" s="290"/>
      <c r="BW20" s="290"/>
      <c r="BX20" s="290"/>
      <c r="BY20" s="290"/>
      <c r="BZ20" s="290"/>
      <c r="CA20" s="290"/>
      <c r="CB20" s="290"/>
      <c r="CC20" s="290"/>
    </row>
    <row r="21" spans="1:81" s="298" customFormat="1" ht="15" customHeight="1">
      <c r="A21" s="290"/>
      <c r="B21" s="290"/>
      <c r="C21" s="290"/>
      <c r="D21" s="290"/>
      <c r="E21" s="290"/>
      <c r="F21" s="400"/>
      <c r="G21" s="400"/>
      <c r="H21" s="291"/>
      <c r="I21" s="406" t="s">
        <v>37</v>
      </c>
      <c r="J21" s="391"/>
      <c r="K21" s="296">
        <f>($C$6*(1+$D$6)*K6)+($C$7*(1+$D$7)*K7)+($C$8*(1+$D$8)*K8)+($C$9*(1+$D$9)*K9)+($C$10*(1+$D$10)*K10)+($C$11*(1+$D$11)*K11)+($C$12*(1+$D$12)*K12)+($C$13*(1+$D$13)*K13)+($C$14*(1+$D$14)*K14)+($C$15*(1+$D$15)*K15)+($C$16*(1+$D$16)*K16)+($C$17*(1+$D$17)*K17)</f>
        <v>0</v>
      </c>
      <c r="L21" s="366">
        <f>($C$6*(1+$D$6)*L6)+($C$7*(1+$D$7)*L7)+($C$8*(1+$D$8)*L8)+($C$9*(1+$D$9)*L9)+($C$10*(1+$D$10)*L10)+($C$11*(1+$D$11)*L11)+($C$12*(1+$D$12)*L12)+($C$13*(1+$D$13)*L13)+($C$14*(1+$D$14)*L14)+($C$15*(1+$D$15)*L15)+($C$16*(1+$D$16)*L16)+($C$17*(1+$D$17)*L17)</f>
        <v>0</v>
      </c>
      <c r="M21" s="366">
        <f t="shared" ref="M21:W21" si="11">($C$6*(1+$D$6)*M6)+($C$7*(1+$D$7)*M7)+($C$8*(1+$D$8)*M8)+($C$9*(1+$D$9)*M9)+($C$10*(1+$D$10)*M10)+($C$11*(1+$D$11)*M11)+($C$12*(1+$D$12)*M12)+($C$13*(1+$D$13)*M13)+($C$14*(1+$D$14)*M14)+($C$15*(1+$D$15)*M15)+($C$16*(1+$D$16)*M16)+($C$17*(1+$D$17)*M17)</f>
        <v>0</v>
      </c>
      <c r="N21" s="366">
        <f t="shared" si="11"/>
        <v>0</v>
      </c>
      <c r="O21" s="366">
        <f t="shared" si="11"/>
        <v>0</v>
      </c>
      <c r="P21" s="366">
        <f t="shared" si="11"/>
        <v>0</v>
      </c>
      <c r="Q21" s="366">
        <f t="shared" si="11"/>
        <v>0</v>
      </c>
      <c r="R21" s="366">
        <f t="shared" si="11"/>
        <v>0</v>
      </c>
      <c r="S21" s="366">
        <f t="shared" si="11"/>
        <v>0</v>
      </c>
      <c r="T21" s="366">
        <f t="shared" si="11"/>
        <v>0</v>
      </c>
      <c r="U21" s="366">
        <f t="shared" si="11"/>
        <v>0</v>
      </c>
      <c r="V21" s="366">
        <f t="shared" si="11"/>
        <v>0</v>
      </c>
      <c r="W21" s="366">
        <f t="shared" si="11"/>
        <v>0</v>
      </c>
      <c r="X21" s="297">
        <f>SUM(F21:W21)</f>
        <v>0</v>
      </c>
      <c r="Y21" s="290"/>
      <c r="Z21" s="290"/>
      <c r="AA21" s="290"/>
      <c r="AB21" s="290"/>
      <c r="AC21" s="290"/>
      <c r="AD21" s="290"/>
      <c r="AE21" s="290"/>
      <c r="AF21" s="290"/>
      <c r="AG21" s="290"/>
      <c r="AH21" s="290"/>
      <c r="AI21" s="290"/>
      <c r="AJ21" s="290"/>
      <c r="AK21" s="290"/>
      <c r="AL21" s="290"/>
      <c r="AM21" s="290"/>
      <c r="AN21" s="290"/>
      <c r="AO21" s="290"/>
      <c r="AP21" s="290"/>
      <c r="AQ21" s="290"/>
      <c r="AR21" s="290"/>
      <c r="AS21" s="290"/>
      <c r="AT21" s="290"/>
      <c r="AU21" s="290"/>
      <c r="AV21" s="290"/>
      <c r="AW21" s="290"/>
      <c r="AX21" s="290"/>
      <c r="AY21" s="290"/>
      <c r="AZ21" s="290"/>
      <c r="BA21" s="290"/>
      <c r="BB21" s="290"/>
      <c r="BC21" s="290"/>
      <c r="BD21" s="290"/>
      <c r="BE21" s="290"/>
      <c r="BF21" s="290"/>
      <c r="BG21" s="290"/>
      <c r="BH21" s="290"/>
      <c r="BI21" s="290"/>
      <c r="BJ21" s="290"/>
      <c r="BK21" s="290"/>
      <c r="BL21" s="290"/>
      <c r="BM21" s="290"/>
      <c r="BN21" s="290"/>
      <c r="BO21" s="290"/>
      <c r="BP21" s="290"/>
      <c r="BQ21" s="290"/>
      <c r="BR21" s="290"/>
      <c r="BS21" s="290"/>
      <c r="BT21" s="290"/>
      <c r="BU21" s="290"/>
      <c r="BV21" s="290"/>
      <c r="BW21" s="290"/>
      <c r="BX21" s="290"/>
      <c r="BY21" s="290"/>
      <c r="BZ21" s="290"/>
      <c r="CA21" s="290"/>
      <c r="CB21" s="290"/>
      <c r="CC21" s="290"/>
    </row>
    <row r="22" spans="1:81" ht="15" customHeight="1">
      <c r="C22" s="12"/>
      <c r="D22" s="12"/>
      <c r="E22" s="12"/>
      <c r="F22" s="12"/>
      <c r="G22" s="7"/>
      <c r="H22" s="267"/>
      <c r="I22" s="12"/>
      <c r="J22" s="299"/>
      <c r="N22" s="12"/>
      <c r="W22" s="12"/>
    </row>
    <row r="23" spans="1:81" s="7" customFormat="1">
      <c r="W23" s="289"/>
      <c r="AA23" s="267"/>
    </row>
    <row r="24" spans="1:81" s="276" customFormat="1" ht="28.5" customHeight="1">
      <c r="A24" s="13"/>
      <c r="B24" s="394" t="s">
        <v>38</v>
      </c>
      <c r="C24" s="398" t="s">
        <v>137</v>
      </c>
      <c r="D24" s="395" t="s">
        <v>168</v>
      </c>
      <c r="E24" s="395" t="str">
        <f>E4</f>
        <v>Prix Unitaire Ventes TVAC</v>
      </c>
      <c r="F24" s="398" t="s">
        <v>136</v>
      </c>
      <c r="G24" s="398" t="s">
        <v>167</v>
      </c>
      <c r="H24" s="397" t="s">
        <v>235</v>
      </c>
      <c r="I24" s="397" t="s">
        <v>40</v>
      </c>
      <c r="J24" s="274" t="s">
        <v>166</v>
      </c>
      <c r="K24" s="251">
        <v>1</v>
      </c>
      <c r="L24" s="251">
        <v>1</v>
      </c>
      <c r="M24" s="251">
        <v>1</v>
      </c>
      <c r="N24" s="251">
        <v>1</v>
      </c>
      <c r="O24" s="251">
        <v>1.2</v>
      </c>
      <c r="P24" s="251">
        <v>1.2</v>
      </c>
      <c r="Q24" s="251">
        <v>1</v>
      </c>
      <c r="R24" s="251">
        <v>0</v>
      </c>
      <c r="S24" s="251">
        <v>1</v>
      </c>
      <c r="T24" s="251">
        <v>1</v>
      </c>
      <c r="U24" s="251">
        <v>1</v>
      </c>
      <c r="V24" s="251">
        <v>1</v>
      </c>
      <c r="W24" s="275" t="s">
        <v>45</v>
      </c>
      <c r="X24" s="300"/>
      <c r="Y24" s="13"/>
      <c r="Z24" s="13"/>
      <c r="AA24" s="13"/>
      <c r="AB24" s="13"/>
      <c r="AC24" s="13"/>
      <c r="AD24" s="13"/>
      <c r="AE24" s="13"/>
      <c r="AF24" s="13"/>
    </row>
    <row r="25" spans="1:81" s="13" customFormat="1" ht="15.75" customHeight="1">
      <c r="B25" s="394"/>
      <c r="C25" s="398"/>
      <c r="D25" s="403"/>
      <c r="E25" s="396"/>
      <c r="F25" s="398"/>
      <c r="G25" s="395"/>
      <c r="H25" s="397"/>
      <c r="I25" s="397"/>
      <c r="J25" s="273" t="s">
        <v>165</v>
      </c>
      <c r="K25" s="277" t="s">
        <v>149</v>
      </c>
      <c r="L25" s="277" t="s">
        <v>150</v>
      </c>
      <c r="M25" s="277" t="s">
        <v>151</v>
      </c>
      <c r="N25" s="277" t="s">
        <v>157</v>
      </c>
      <c r="O25" s="277" t="s">
        <v>158</v>
      </c>
      <c r="P25" s="277" t="s">
        <v>147</v>
      </c>
      <c r="Q25" s="277" t="s">
        <v>114</v>
      </c>
      <c r="R25" s="277" t="s">
        <v>154</v>
      </c>
      <c r="S25" s="277" t="s">
        <v>148</v>
      </c>
      <c r="T25" s="277" t="s">
        <v>115</v>
      </c>
      <c r="U25" s="277" t="s">
        <v>116</v>
      </c>
      <c r="V25" s="277" t="s">
        <v>117</v>
      </c>
      <c r="W25" s="51"/>
      <c r="X25" s="300"/>
    </row>
    <row r="26" spans="1:81" s="7" customFormat="1" ht="15.75" customHeight="1">
      <c r="B26" s="244">
        <f t="shared" ref="B26:E37" si="12">B6</f>
        <v>0</v>
      </c>
      <c r="C26" s="305">
        <f t="shared" si="12"/>
        <v>0</v>
      </c>
      <c r="D26" s="246">
        <f t="shared" si="12"/>
        <v>0</v>
      </c>
      <c r="E26" s="330">
        <f t="shared" si="12"/>
        <v>0</v>
      </c>
      <c r="F26" s="331">
        <f>E26/(1+G26)</f>
        <v>0</v>
      </c>
      <c r="G26" s="246">
        <f t="shared" ref="G26:G37" si="13">G6</f>
        <v>0</v>
      </c>
      <c r="H26" s="370" t="e">
        <f>(F26/1+G26)/C26</f>
        <v>#DIV/0!</v>
      </c>
      <c r="I26" s="371" t="e">
        <f>(W26*F26)/$W$38</f>
        <v>#DIV/0!</v>
      </c>
      <c r="J26" s="244">
        <f t="shared" ref="J26:J37" si="14">J6</f>
        <v>0</v>
      </c>
      <c r="K26" s="322">
        <f t="shared" ref="K26:V37" si="15">($J26*K$24)</f>
        <v>0</v>
      </c>
      <c r="L26" s="322">
        <f t="shared" si="15"/>
        <v>0</v>
      </c>
      <c r="M26" s="322">
        <f t="shared" si="15"/>
        <v>0</v>
      </c>
      <c r="N26" s="322">
        <f t="shared" si="15"/>
        <v>0</v>
      </c>
      <c r="O26" s="322">
        <f t="shared" si="15"/>
        <v>0</v>
      </c>
      <c r="P26" s="322">
        <f t="shared" si="15"/>
        <v>0</v>
      </c>
      <c r="Q26" s="322">
        <f t="shared" si="15"/>
        <v>0</v>
      </c>
      <c r="R26" s="322">
        <f t="shared" si="15"/>
        <v>0</v>
      </c>
      <c r="S26" s="322">
        <f t="shared" si="15"/>
        <v>0</v>
      </c>
      <c r="T26" s="322">
        <f t="shared" si="15"/>
        <v>0</v>
      </c>
      <c r="U26" s="322">
        <f t="shared" si="15"/>
        <v>0</v>
      </c>
      <c r="V26" s="322">
        <f t="shared" si="15"/>
        <v>0</v>
      </c>
      <c r="W26" s="278">
        <f>SUM(K26:V26)</f>
        <v>0</v>
      </c>
      <c r="X26" s="301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81" s="7" customFormat="1" ht="15.75" customHeight="1">
      <c r="B27" s="244">
        <f t="shared" si="12"/>
        <v>0</v>
      </c>
      <c r="C27" s="305">
        <f t="shared" si="12"/>
        <v>0</v>
      </c>
      <c r="D27" s="247">
        <f t="shared" si="12"/>
        <v>0</v>
      </c>
      <c r="E27" s="330">
        <f t="shared" si="12"/>
        <v>0</v>
      </c>
      <c r="F27" s="331">
        <f t="shared" ref="F27:F37" si="16">E27/(1+G27)</f>
        <v>0</v>
      </c>
      <c r="G27" s="247">
        <f t="shared" si="13"/>
        <v>0</v>
      </c>
      <c r="H27" s="370" t="e">
        <f t="shared" ref="H27:H37" si="17">(F27/1+G27)/C27</f>
        <v>#DIV/0!</v>
      </c>
      <c r="I27" s="371" t="e">
        <f t="shared" ref="I27:I37" si="18">(W27*F27)/$W$38</f>
        <v>#DIV/0!</v>
      </c>
      <c r="J27" s="244">
        <f t="shared" si="14"/>
        <v>0</v>
      </c>
      <c r="K27" s="322">
        <f t="shared" si="15"/>
        <v>0</v>
      </c>
      <c r="L27" s="322">
        <f t="shared" si="15"/>
        <v>0</v>
      </c>
      <c r="M27" s="322">
        <f t="shared" si="15"/>
        <v>0</v>
      </c>
      <c r="N27" s="322">
        <f t="shared" si="15"/>
        <v>0</v>
      </c>
      <c r="O27" s="322">
        <f t="shared" si="15"/>
        <v>0</v>
      </c>
      <c r="P27" s="322">
        <f t="shared" si="15"/>
        <v>0</v>
      </c>
      <c r="Q27" s="322">
        <f t="shared" si="15"/>
        <v>0</v>
      </c>
      <c r="R27" s="322">
        <f t="shared" si="15"/>
        <v>0</v>
      </c>
      <c r="S27" s="322">
        <f t="shared" si="15"/>
        <v>0</v>
      </c>
      <c r="T27" s="322">
        <f t="shared" si="15"/>
        <v>0</v>
      </c>
      <c r="U27" s="322">
        <f t="shared" si="15"/>
        <v>0</v>
      </c>
      <c r="V27" s="322">
        <f t="shared" si="15"/>
        <v>0</v>
      </c>
      <c r="W27" s="278">
        <f t="shared" ref="W27:W34" si="19">SUM(K27:V27)</f>
        <v>0</v>
      </c>
      <c r="X27" s="301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81" ht="15.75" customHeight="1">
      <c r="B28" s="244">
        <f t="shared" si="12"/>
        <v>0</v>
      </c>
      <c r="C28" s="305">
        <f t="shared" si="12"/>
        <v>0</v>
      </c>
      <c r="D28" s="247">
        <f t="shared" si="12"/>
        <v>0</v>
      </c>
      <c r="E28" s="330">
        <f t="shared" si="12"/>
        <v>0</v>
      </c>
      <c r="F28" s="331">
        <f t="shared" si="16"/>
        <v>0</v>
      </c>
      <c r="G28" s="247">
        <f t="shared" si="13"/>
        <v>0</v>
      </c>
      <c r="H28" s="370" t="e">
        <f t="shared" si="17"/>
        <v>#DIV/0!</v>
      </c>
      <c r="I28" s="371" t="e">
        <f t="shared" si="18"/>
        <v>#DIV/0!</v>
      </c>
      <c r="J28" s="244">
        <f t="shared" si="14"/>
        <v>0</v>
      </c>
      <c r="K28" s="322">
        <f t="shared" si="15"/>
        <v>0</v>
      </c>
      <c r="L28" s="322">
        <f t="shared" si="15"/>
        <v>0</v>
      </c>
      <c r="M28" s="322">
        <f t="shared" si="15"/>
        <v>0</v>
      </c>
      <c r="N28" s="322">
        <f t="shared" si="15"/>
        <v>0</v>
      </c>
      <c r="O28" s="322">
        <f t="shared" si="15"/>
        <v>0</v>
      </c>
      <c r="P28" s="322">
        <f t="shared" si="15"/>
        <v>0</v>
      </c>
      <c r="Q28" s="322">
        <f t="shared" si="15"/>
        <v>0</v>
      </c>
      <c r="R28" s="322">
        <f t="shared" si="15"/>
        <v>0</v>
      </c>
      <c r="S28" s="322">
        <f t="shared" si="15"/>
        <v>0</v>
      </c>
      <c r="T28" s="322">
        <f t="shared" si="15"/>
        <v>0</v>
      </c>
      <c r="U28" s="322">
        <f t="shared" si="15"/>
        <v>0</v>
      </c>
      <c r="V28" s="322">
        <f t="shared" si="15"/>
        <v>0</v>
      </c>
      <c r="W28" s="278">
        <f t="shared" si="19"/>
        <v>0</v>
      </c>
      <c r="X28" s="302"/>
      <c r="Z28" s="7"/>
      <c r="AA28" s="12"/>
    </row>
    <row r="29" spans="1:81" ht="15.75" customHeight="1">
      <c r="B29" s="244">
        <f t="shared" si="12"/>
        <v>0</v>
      </c>
      <c r="C29" s="305">
        <f t="shared" si="12"/>
        <v>0</v>
      </c>
      <c r="D29" s="247">
        <f t="shared" si="12"/>
        <v>0</v>
      </c>
      <c r="E29" s="330">
        <f t="shared" si="12"/>
        <v>0</v>
      </c>
      <c r="F29" s="331">
        <f t="shared" si="16"/>
        <v>0</v>
      </c>
      <c r="G29" s="247">
        <f t="shared" si="13"/>
        <v>0</v>
      </c>
      <c r="H29" s="370" t="e">
        <f t="shared" si="17"/>
        <v>#DIV/0!</v>
      </c>
      <c r="I29" s="371" t="e">
        <f t="shared" si="18"/>
        <v>#DIV/0!</v>
      </c>
      <c r="J29" s="244">
        <f t="shared" si="14"/>
        <v>0</v>
      </c>
      <c r="K29" s="322">
        <f t="shared" si="15"/>
        <v>0</v>
      </c>
      <c r="L29" s="322">
        <f t="shared" si="15"/>
        <v>0</v>
      </c>
      <c r="M29" s="322">
        <f t="shared" si="15"/>
        <v>0</v>
      </c>
      <c r="N29" s="322">
        <f t="shared" si="15"/>
        <v>0</v>
      </c>
      <c r="O29" s="322">
        <f t="shared" si="15"/>
        <v>0</v>
      </c>
      <c r="P29" s="322">
        <f t="shared" si="15"/>
        <v>0</v>
      </c>
      <c r="Q29" s="322">
        <f t="shared" si="15"/>
        <v>0</v>
      </c>
      <c r="R29" s="322">
        <f t="shared" si="15"/>
        <v>0</v>
      </c>
      <c r="S29" s="322">
        <f t="shared" si="15"/>
        <v>0</v>
      </c>
      <c r="T29" s="322">
        <f t="shared" si="15"/>
        <v>0</v>
      </c>
      <c r="U29" s="322">
        <f t="shared" si="15"/>
        <v>0</v>
      </c>
      <c r="V29" s="322">
        <f t="shared" si="15"/>
        <v>0</v>
      </c>
      <c r="W29" s="278">
        <f t="shared" si="19"/>
        <v>0</v>
      </c>
      <c r="X29" s="302"/>
      <c r="Z29" s="7"/>
      <c r="AA29" s="12"/>
    </row>
    <row r="30" spans="1:81" ht="15.75" customHeight="1">
      <c r="B30" s="244">
        <f t="shared" si="12"/>
        <v>0</v>
      </c>
      <c r="C30" s="305">
        <f t="shared" si="12"/>
        <v>0</v>
      </c>
      <c r="D30" s="247">
        <f t="shared" si="12"/>
        <v>0</v>
      </c>
      <c r="E30" s="330">
        <f t="shared" si="12"/>
        <v>0</v>
      </c>
      <c r="F30" s="331">
        <f t="shared" si="16"/>
        <v>0</v>
      </c>
      <c r="G30" s="247">
        <f t="shared" si="13"/>
        <v>0</v>
      </c>
      <c r="H30" s="370" t="e">
        <f t="shared" si="17"/>
        <v>#DIV/0!</v>
      </c>
      <c r="I30" s="371" t="e">
        <f t="shared" si="18"/>
        <v>#DIV/0!</v>
      </c>
      <c r="J30" s="244">
        <f t="shared" si="14"/>
        <v>0</v>
      </c>
      <c r="K30" s="322">
        <f t="shared" si="15"/>
        <v>0</v>
      </c>
      <c r="L30" s="322">
        <f t="shared" si="15"/>
        <v>0</v>
      </c>
      <c r="M30" s="322">
        <f t="shared" si="15"/>
        <v>0</v>
      </c>
      <c r="N30" s="322">
        <f t="shared" si="15"/>
        <v>0</v>
      </c>
      <c r="O30" s="322">
        <f t="shared" si="15"/>
        <v>0</v>
      </c>
      <c r="P30" s="322">
        <f t="shared" si="15"/>
        <v>0</v>
      </c>
      <c r="Q30" s="322">
        <f t="shared" si="15"/>
        <v>0</v>
      </c>
      <c r="R30" s="322">
        <f t="shared" si="15"/>
        <v>0</v>
      </c>
      <c r="S30" s="322">
        <f t="shared" si="15"/>
        <v>0</v>
      </c>
      <c r="T30" s="322">
        <f t="shared" si="15"/>
        <v>0</v>
      </c>
      <c r="U30" s="322">
        <f t="shared" si="15"/>
        <v>0</v>
      </c>
      <c r="V30" s="322">
        <f t="shared" si="15"/>
        <v>0</v>
      </c>
      <c r="W30" s="278">
        <f t="shared" si="19"/>
        <v>0</v>
      </c>
      <c r="X30" s="302"/>
      <c r="Z30" s="7"/>
      <c r="AA30" s="12"/>
    </row>
    <row r="31" spans="1:81" ht="15.75" customHeight="1">
      <c r="B31" s="244">
        <f t="shared" si="12"/>
        <v>0</v>
      </c>
      <c r="C31" s="305">
        <f t="shared" si="12"/>
        <v>0</v>
      </c>
      <c r="D31" s="247">
        <f t="shared" si="12"/>
        <v>0</v>
      </c>
      <c r="E31" s="330">
        <f t="shared" si="12"/>
        <v>0</v>
      </c>
      <c r="F31" s="331">
        <f>E31/(1+G31)</f>
        <v>0</v>
      </c>
      <c r="G31" s="247">
        <f t="shared" si="13"/>
        <v>0</v>
      </c>
      <c r="H31" s="370" t="e">
        <f t="shared" si="17"/>
        <v>#DIV/0!</v>
      </c>
      <c r="I31" s="371" t="e">
        <f t="shared" si="18"/>
        <v>#DIV/0!</v>
      </c>
      <c r="J31" s="244">
        <f t="shared" si="14"/>
        <v>0</v>
      </c>
      <c r="K31" s="322">
        <f t="shared" si="15"/>
        <v>0</v>
      </c>
      <c r="L31" s="322">
        <f t="shared" si="15"/>
        <v>0</v>
      </c>
      <c r="M31" s="322">
        <f t="shared" si="15"/>
        <v>0</v>
      </c>
      <c r="N31" s="322">
        <f t="shared" si="15"/>
        <v>0</v>
      </c>
      <c r="O31" s="322">
        <f t="shared" si="15"/>
        <v>0</v>
      </c>
      <c r="P31" s="322">
        <f t="shared" si="15"/>
        <v>0</v>
      </c>
      <c r="Q31" s="322">
        <f t="shared" si="15"/>
        <v>0</v>
      </c>
      <c r="R31" s="322">
        <f t="shared" si="15"/>
        <v>0</v>
      </c>
      <c r="S31" s="322">
        <f t="shared" si="15"/>
        <v>0</v>
      </c>
      <c r="T31" s="322">
        <f t="shared" si="15"/>
        <v>0</v>
      </c>
      <c r="U31" s="322">
        <f t="shared" si="15"/>
        <v>0</v>
      </c>
      <c r="V31" s="322">
        <f t="shared" si="15"/>
        <v>0</v>
      </c>
      <c r="W31" s="278">
        <f t="shared" si="19"/>
        <v>0</v>
      </c>
      <c r="X31" s="302"/>
      <c r="AA31" s="12"/>
      <c r="BC31" s="12">
        <f>(212*1.15)+62/1.21</f>
        <v>295.03966942148759</v>
      </c>
    </row>
    <row r="32" spans="1:81" ht="15.75" customHeight="1">
      <c r="B32" s="244">
        <f t="shared" si="12"/>
        <v>0</v>
      </c>
      <c r="C32" s="305">
        <f t="shared" si="12"/>
        <v>0</v>
      </c>
      <c r="D32" s="247">
        <f t="shared" si="12"/>
        <v>0</v>
      </c>
      <c r="E32" s="330">
        <f t="shared" si="12"/>
        <v>0</v>
      </c>
      <c r="F32" s="331">
        <f t="shared" si="16"/>
        <v>0</v>
      </c>
      <c r="G32" s="247">
        <f t="shared" si="13"/>
        <v>0</v>
      </c>
      <c r="H32" s="370" t="e">
        <f t="shared" si="17"/>
        <v>#DIV/0!</v>
      </c>
      <c r="I32" s="371" t="e">
        <f t="shared" si="18"/>
        <v>#DIV/0!</v>
      </c>
      <c r="J32" s="244">
        <f t="shared" si="14"/>
        <v>0</v>
      </c>
      <c r="K32" s="322">
        <f t="shared" si="15"/>
        <v>0</v>
      </c>
      <c r="L32" s="322">
        <f t="shared" si="15"/>
        <v>0</v>
      </c>
      <c r="M32" s="322">
        <f t="shared" si="15"/>
        <v>0</v>
      </c>
      <c r="N32" s="322">
        <f t="shared" si="15"/>
        <v>0</v>
      </c>
      <c r="O32" s="322">
        <f t="shared" si="15"/>
        <v>0</v>
      </c>
      <c r="P32" s="322">
        <f t="shared" si="15"/>
        <v>0</v>
      </c>
      <c r="Q32" s="322">
        <f t="shared" si="15"/>
        <v>0</v>
      </c>
      <c r="R32" s="322">
        <f t="shared" si="15"/>
        <v>0</v>
      </c>
      <c r="S32" s="322">
        <f t="shared" si="15"/>
        <v>0</v>
      </c>
      <c r="T32" s="322">
        <f t="shared" si="15"/>
        <v>0</v>
      </c>
      <c r="U32" s="322">
        <f t="shared" si="15"/>
        <v>0</v>
      </c>
      <c r="V32" s="322">
        <f t="shared" si="15"/>
        <v>0</v>
      </c>
      <c r="W32" s="278">
        <f t="shared" si="19"/>
        <v>0</v>
      </c>
      <c r="X32" s="302"/>
      <c r="AA32" s="12"/>
      <c r="BC32" s="12">
        <f>BC31*1.21</f>
        <v>356.99799999999999</v>
      </c>
    </row>
    <row r="33" spans="1:81" ht="15.75" customHeight="1">
      <c r="B33" s="244">
        <f t="shared" si="12"/>
        <v>0</v>
      </c>
      <c r="C33" s="305">
        <f t="shared" si="12"/>
        <v>0</v>
      </c>
      <c r="D33" s="247">
        <f t="shared" si="12"/>
        <v>0</v>
      </c>
      <c r="E33" s="330">
        <f t="shared" si="12"/>
        <v>0</v>
      </c>
      <c r="F33" s="331">
        <f t="shared" si="16"/>
        <v>0</v>
      </c>
      <c r="G33" s="247">
        <f t="shared" si="13"/>
        <v>0</v>
      </c>
      <c r="H33" s="370" t="e">
        <f t="shared" si="17"/>
        <v>#DIV/0!</v>
      </c>
      <c r="I33" s="371" t="e">
        <f t="shared" si="18"/>
        <v>#DIV/0!</v>
      </c>
      <c r="J33" s="244">
        <f t="shared" si="14"/>
        <v>0</v>
      </c>
      <c r="K33" s="322">
        <f t="shared" si="15"/>
        <v>0</v>
      </c>
      <c r="L33" s="322">
        <f t="shared" si="15"/>
        <v>0</v>
      </c>
      <c r="M33" s="322">
        <f t="shared" si="15"/>
        <v>0</v>
      </c>
      <c r="N33" s="322">
        <f t="shared" si="15"/>
        <v>0</v>
      </c>
      <c r="O33" s="322">
        <f t="shared" si="15"/>
        <v>0</v>
      </c>
      <c r="P33" s="322">
        <f t="shared" si="15"/>
        <v>0</v>
      </c>
      <c r="Q33" s="322">
        <f t="shared" si="15"/>
        <v>0</v>
      </c>
      <c r="R33" s="322">
        <f t="shared" si="15"/>
        <v>0</v>
      </c>
      <c r="S33" s="322">
        <f t="shared" si="15"/>
        <v>0</v>
      </c>
      <c r="T33" s="322">
        <f t="shared" si="15"/>
        <v>0</v>
      </c>
      <c r="U33" s="322">
        <f t="shared" si="15"/>
        <v>0</v>
      </c>
      <c r="V33" s="322">
        <f t="shared" si="15"/>
        <v>0</v>
      </c>
      <c r="W33" s="278">
        <f t="shared" si="19"/>
        <v>0</v>
      </c>
      <c r="X33" s="302"/>
      <c r="AA33" s="12"/>
    </row>
    <row r="34" spans="1:81" ht="15.75" customHeight="1">
      <c r="B34" s="244">
        <f t="shared" si="12"/>
        <v>0</v>
      </c>
      <c r="C34" s="305">
        <f t="shared" si="12"/>
        <v>0</v>
      </c>
      <c r="D34" s="247">
        <f t="shared" si="12"/>
        <v>0</v>
      </c>
      <c r="E34" s="330">
        <f t="shared" si="12"/>
        <v>0</v>
      </c>
      <c r="F34" s="331">
        <f t="shared" si="16"/>
        <v>0</v>
      </c>
      <c r="G34" s="247">
        <f t="shared" si="13"/>
        <v>0</v>
      </c>
      <c r="H34" s="370" t="e">
        <f t="shared" si="17"/>
        <v>#DIV/0!</v>
      </c>
      <c r="I34" s="371" t="e">
        <f t="shared" si="18"/>
        <v>#DIV/0!</v>
      </c>
      <c r="J34" s="244">
        <f t="shared" si="14"/>
        <v>0</v>
      </c>
      <c r="K34" s="322">
        <f t="shared" si="15"/>
        <v>0</v>
      </c>
      <c r="L34" s="322">
        <f t="shared" si="15"/>
        <v>0</v>
      </c>
      <c r="M34" s="322">
        <f t="shared" si="15"/>
        <v>0</v>
      </c>
      <c r="N34" s="322">
        <f t="shared" si="15"/>
        <v>0</v>
      </c>
      <c r="O34" s="322">
        <f t="shared" si="15"/>
        <v>0</v>
      </c>
      <c r="P34" s="322">
        <f t="shared" si="15"/>
        <v>0</v>
      </c>
      <c r="Q34" s="322">
        <f t="shared" si="15"/>
        <v>0</v>
      </c>
      <c r="R34" s="322">
        <f t="shared" si="15"/>
        <v>0</v>
      </c>
      <c r="S34" s="322">
        <f t="shared" si="15"/>
        <v>0</v>
      </c>
      <c r="T34" s="322">
        <f t="shared" si="15"/>
        <v>0</v>
      </c>
      <c r="U34" s="322">
        <f t="shared" si="15"/>
        <v>0</v>
      </c>
      <c r="V34" s="322">
        <f t="shared" si="15"/>
        <v>0</v>
      </c>
      <c r="W34" s="278">
        <f t="shared" si="19"/>
        <v>0</v>
      </c>
      <c r="X34" s="278"/>
      <c r="AA34" s="12"/>
    </row>
    <row r="35" spans="1:81" ht="15.75" customHeight="1">
      <c r="B35" s="244">
        <f t="shared" si="12"/>
        <v>0</v>
      </c>
      <c r="C35" s="305">
        <f t="shared" si="12"/>
        <v>0</v>
      </c>
      <c r="D35" s="247">
        <f t="shared" si="12"/>
        <v>0</v>
      </c>
      <c r="E35" s="330">
        <f t="shared" si="12"/>
        <v>0</v>
      </c>
      <c r="F35" s="331">
        <f>E35/(1+G35)</f>
        <v>0</v>
      </c>
      <c r="G35" s="247">
        <f t="shared" si="13"/>
        <v>0</v>
      </c>
      <c r="H35" s="370" t="e">
        <f t="shared" si="17"/>
        <v>#DIV/0!</v>
      </c>
      <c r="I35" s="371" t="e">
        <f t="shared" si="18"/>
        <v>#DIV/0!</v>
      </c>
      <c r="J35" s="244">
        <f t="shared" si="14"/>
        <v>0</v>
      </c>
      <c r="K35" s="322">
        <f t="shared" si="15"/>
        <v>0</v>
      </c>
      <c r="L35" s="322">
        <f t="shared" si="15"/>
        <v>0</v>
      </c>
      <c r="M35" s="322">
        <f t="shared" si="15"/>
        <v>0</v>
      </c>
      <c r="N35" s="322">
        <f t="shared" si="15"/>
        <v>0</v>
      </c>
      <c r="O35" s="322">
        <f t="shared" si="15"/>
        <v>0</v>
      </c>
      <c r="P35" s="322">
        <f t="shared" si="15"/>
        <v>0</v>
      </c>
      <c r="Q35" s="322">
        <f t="shared" si="15"/>
        <v>0</v>
      </c>
      <c r="R35" s="322">
        <f t="shared" si="15"/>
        <v>0</v>
      </c>
      <c r="S35" s="322">
        <f t="shared" si="15"/>
        <v>0</v>
      </c>
      <c r="T35" s="322">
        <f t="shared" si="15"/>
        <v>0</v>
      </c>
      <c r="U35" s="322">
        <f t="shared" si="15"/>
        <v>0</v>
      </c>
      <c r="V35" s="322">
        <f t="shared" si="15"/>
        <v>0</v>
      </c>
      <c r="W35" s="278">
        <f t="shared" ref="W35:W40" si="20">SUM(K35:V35)</f>
        <v>0</v>
      </c>
      <c r="X35" s="302"/>
      <c r="AA35" s="12"/>
    </row>
    <row r="36" spans="1:81" ht="15.75" customHeight="1">
      <c r="B36" s="244">
        <f t="shared" si="12"/>
        <v>0</v>
      </c>
      <c r="C36" s="305">
        <f t="shared" si="12"/>
        <v>0</v>
      </c>
      <c r="D36" s="247">
        <f t="shared" si="12"/>
        <v>0</v>
      </c>
      <c r="E36" s="330">
        <f t="shared" si="12"/>
        <v>0</v>
      </c>
      <c r="F36" s="331">
        <f t="shared" si="16"/>
        <v>0</v>
      </c>
      <c r="G36" s="247">
        <f t="shared" si="13"/>
        <v>0</v>
      </c>
      <c r="H36" s="370" t="e">
        <f t="shared" si="17"/>
        <v>#DIV/0!</v>
      </c>
      <c r="I36" s="371" t="e">
        <f t="shared" si="18"/>
        <v>#DIV/0!</v>
      </c>
      <c r="J36" s="244">
        <f t="shared" si="14"/>
        <v>0</v>
      </c>
      <c r="K36" s="322">
        <f t="shared" si="15"/>
        <v>0</v>
      </c>
      <c r="L36" s="322">
        <f t="shared" si="15"/>
        <v>0</v>
      </c>
      <c r="M36" s="322">
        <f t="shared" si="15"/>
        <v>0</v>
      </c>
      <c r="N36" s="322">
        <f t="shared" si="15"/>
        <v>0</v>
      </c>
      <c r="O36" s="322">
        <f t="shared" si="15"/>
        <v>0</v>
      </c>
      <c r="P36" s="322">
        <f t="shared" si="15"/>
        <v>0</v>
      </c>
      <c r="Q36" s="322">
        <f t="shared" si="15"/>
        <v>0</v>
      </c>
      <c r="R36" s="322">
        <f t="shared" si="15"/>
        <v>0</v>
      </c>
      <c r="S36" s="322">
        <f t="shared" si="15"/>
        <v>0</v>
      </c>
      <c r="T36" s="322">
        <f t="shared" si="15"/>
        <v>0</v>
      </c>
      <c r="U36" s="322">
        <f t="shared" si="15"/>
        <v>0</v>
      </c>
      <c r="V36" s="322">
        <f t="shared" si="15"/>
        <v>0</v>
      </c>
      <c r="W36" s="278">
        <f t="shared" si="20"/>
        <v>0</v>
      </c>
      <c r="X36" s="302"/>
      <c r="AA36" s="12"/>
    </row>
    <row r="37" spans="1:81" ht="15.75" customHeight="1">
      <c r="B37" s="248">
        <f t="shared" si="12"/>
        <v>0</v>
      </c>
      <c r="C37" s="305">
        <f t="shared" si="12"/>
        <v>0</v>
      </c>
      <c r="D37" s="249">
        <f t="shared" si="12"/>
        <v>0</v>
      </c>
      <c r="E37" s="305">
        <f t="shared" si="12"/>
        <v>0</v>
      </c>
      <c r="F37" s="332">
        <f t="shared" si="16"/>
        <v>0</v>
      </c>
      <c r="G37" s="249">
        <f t="shared" si="13"/>
        <v>0</v>
      </c>
      <c r="H37" s="370" t="e">
        <f t="shared" si="17"/>
        <v>#DIV/0!</v>
      </c>
      <c r="I37" s="371" t="e">
        <f t="shared" si="18"/>
        <v>#DIV/0!</v>
      </c>
      <c r="J37" s="248">
        <f t="shared" si="14"/>
        <v>0</v>
      </c>
      <c r="K37" s="322">
        <f t="shared" si="15"/>
        <v>0</v>
      </c>
      <c r="L37" s="322">
        <f t="shared" si="15"/>
        <v>0</v>
      </c>
      <c r="M37" s="322">
        <f t="shared" si="15"/>
        <v>0</v>
      </c>
      <c r="N37" s="322">
        <f t="shared" si="15"/>
        <v>0</v>
      </c>
      <c r="O37" s="322">
        <f t="shared" si="15"/>
        <v>0</v>
      </c>
      <c r="P37" s="322">
        <f t="shared" si="15"/>
        <v>0</v>
      </c>
      <c r="Q37" s="322">
        <f t="shared" si="15"/>
        <v>0</v>
      </c>
      <c r="R37" s="322">
        <f t="shared" si="15"/>
        <v>0</v>
      </c>
      <c r="S37" s="322">
        <f t="shared" si="15"/>
        <v>0</v>
      </c>
      <c r="T37" s="322">
        <f t="shared" si="15"/>
        <v>0</v>
      </c>
      <c r="U37" s="322">
        <f t="shared" si="15"/>
        <v>0</v>
      </c>
      <c r="V37" s="322">
        <f t="shared" si="15"/>
        <v>0</v>
      </c>
      <c r="W37" s="278">
        <f t="shared" si="20"/>
        <v>0</v>
      </c>
      <c r="AA37" s="12"/>
    </row>
    <row r="38" spans="1:81" s="285" customFormat="1" ht="15.75" customHeight="1">
      <c r="A38" s="267"/>
      <c r="B38" s="325"/>
      <c r="C38" s="13"/>
      <c r="D38" s="13"/>
      <c r="E38" s="13"/>
      <c r="F38" s="13"/>
      <c r="G38" s="13"/>
      <c r="H38" s="289"/>
      <c r="I38" s="393" t="s">
        <v>34</v>
      </c>
      <c r="J38" s="393"/>
      <c r="K38" s="284">
        <f>(K26*$F$26)+($F$27*K27)+($F$28*K28)+($F$29*K29)+($F$30*K30)+($F$31*K31)+($F$32*K32)+($F$33*K33)+($F$34*K34)+($F$35*K35)+($F$36*K36)+($F$37*K37)</f>
        <v>0</v>
      </c>
      <c r="L38" s="284">
        <f t="shared" ref="L38:V38" si="21">(L26*$F$26)+($F$27*L27)+($F$28*L28)+($F$29*L29)+($F$30*L30)+($F$31*L31)+($F$32*L32)+($F$33*L33)+($F$34*L34)+($F$35*L35)+($F$36*L36)+($F$37*L37)</f>
        <v>0</v>
      </c>
      <c r="M38" s="284">
        <f t="shared" si="21"/>
        <v>0</v>
      </c>
      <c r="N38" s="284">
        <f t="shared" si="21"/>
        <v>0</v>
      </c>
      <c r="O38" s="284">
        <f t="shared" si="21"/>
        <v>0</v>
      </c>
      <c r="P38" s="284">
        <f t="shared" si="21"/>
        <v>0</v>
      </c>
      <c r="Q38" s="284">
        <f t="shared" si="21"/>
        <v>0</v>
      </c>
      <c r="R38" s="284">
        <f t="shared" si="21"/>
        <v>0</v>
      </c>
      <c r="S38" s="284">
        <f t="shared" si="21"/>
        <v>0</v>
      </c>
      <c r="T38" s="284">
        <f t="shared" si="21"/>
        <v>0</v>
      </c>
      <c r="U38" s="284">
        <f t="shared" si="21"/>
        <v>0</v>
      </c>
      <c r="V38" s="284">
        <f t="shared" si="21"/>
        <v>0</v>
      </c>
      <c r="W38" s="275">
        <f t="shared" si="20"/>
        <v>0</v>
      </c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  <c r="AK38" s="267"/>
      <c r="AL38" s="267"/>
      <c r="AM38" s="267"/>
      <c r="AN38" s="267"/>
      <c r="AO38" s="267"/>
      <c r="AP38" s="267"/>
      <c r="AQ38" s="267"/>
      <c r="AR38" s="267"/>
      <c r="AS38" s="267"/>
      <c r="AT38" s="267"/>
      <c r="AU38" s="267"/>
      <c r="AV38" s="267"/>
      <c r="AW38" s="267"/>
      <c r="AX38" s="267"/>
      <c r="AY38" s="267"/>
      <c r="AZ38" s="267"/>
      <c r="BA38" s="267"/>
      <c r="BB38" s="267"/>
      <c r="BC38" s="267"/>
      <c r="BD38" s="267"/>
      <c r="BE38" s="267"/>
      <c r="BF38" s="267"/>
      <c r="BG38" s="267"/>
      <c r="BH38" s="267"/>
      <c r="BI38" s="267"/>
      <c r="BJ38" s="267"/>
      <c r="BK38" s="267"/>
      <c r="BL38" s="267"/>
      <c r="BM38" s="267"/>
      <c r="BN38" s="267"/>
      <c r="BO38" s="267"/>
      <c r="BP38" s="267"/>
      <c r="BQ38" s="267"/>
      <c r="BR38" s="267"/>
      <c r="BS38" s="267"/>
      <c r="BT38" s="267"/>
      <c r="BU38" s="267"/>
      <c r="BV38" s="267"/>
      <c r="BW38" s="267"/>
      <c r="BX38" s="267"/>
      <c r="BY38" s="267"/>
      <c r="BZ38" s="267"/>
      <c r="CA38" s="267"/>
      <c r="CB38" s="267"/>
      <c r="CC38" s="267"/>
    </row>
    <row r="39" spans="1:81" s="285" customFormat="1" ht="15.75" customHeight="1">
      <c r="A39" s="267"/>
      <c r="B39" s="361"/>
      <c r="C39" s="405"/>
      <c r="D39" s="405"/>
      <c r="E39" s="327"/>
      <c r="F39" s="13"/>
      <c r="G39" s="13"/>
      <c r="H39" s="289"/>
      <c r="I39" s="392" t="s">
        <v>35</v>
      </c>
      <c r="J39" s="392"/>
      <c r="K39" s="284">
        <f>($C$26*K26)+($C$27*K27)+($C$28*K28)+($C$29*K29)+($C$30*K30)+($C$31*K31)+($C$32*K32)+($C$33*K33)+($C$34*K34)+($C$35*K35)+($C$36*K36)+($C$37*K37)</f>
        <v>0</v>
      </c>
      <c r="L39" s="284">
        <f t="shared" ref="L39:V39" si="22">($C$26*L26)+($C$27*L27)+($C$28*L28)+($C$29*L29)+($C$30*L30)+($C$31*L31)+($C$32*L32)+($C$33*L33)+($C$34*L34)+($C$35*L35)+($C$36*L36)+($C$37*L37)</f>
        <v>0</v>
      </c>
      <c r="M39" s="284">
        <f t="shared" si="22"/>
        <v>0</v>
      </c>
      <c r="N39" s="284">
        <f t="shared" si="22"/>
        <v>0</v>
      </c>
      <c r="O39" s="284">
        <f t="shared" si="22"/>
        <v>0</v>
      </c>
      <c r="P39" s="284">
        <f t="shared" si="22"/>
        <v>0</v>
      </c>
      <c r="Q39" s="284">
        <f t="shared" si="22"/>
        <v>0</v>
      </c>
      <c r="R39" s="284">
        <f t="shared" si="22"/>
        <v>0</v>
      </c>
      <c r="S39" s="284">
        <f t="shared" si="22"/>
        <v>0</v>
      </c>
      <c r="T39" s="284">
        <f t="shared" si="22"/>
        <v>0</v>
      </c>
      <c r="U39" s="284">
        <f t="shared" si="22"/>
        <v>0</v>
      </c>
      <c r="V39" s="284">
        <f t="shared" si="22"/>
        <v>0</v>
      </c>
      <c r="W39" s="287">
        <f t="shared" si="20"/>
        <v>0</v>
      </c>
      <c r="X39" s="267"/>
      <c r="Y39" s="267"/>
      <c r="Z39" s="267"/>
      <c r="AA39" s="267"/>
      <c r="AB39" s="267"/>
      <c r="AC39" s="267"/>
      <c r="AD39" s="267"/>
      <c r="AE39" s="267"/>
      <c r="AF39" s="267"/>
      <c r="AG39" s="267"/>
      <c r="AH39" s="267"/>
      <c r="AI39" s="267"/>
      <c r="AJ39" s="267"/>
      <c r="AK39" s="267"/>
      <c r="AL39" s="267"/>
      <c r="AM39" s="267"/>
      <c r="AN39" s="267"/>
      <c r="AO39" s="267"/>
      <c r="AP39" s="267"/>
      <c r="AQ39" s="267"/>
      <c r="AR39" s="267"/>
      <c r="AS39" s="267"/>
      <c r="AT39" s="267"/>
      <c r="AU39" s="267"/>
      <c r="AV39" s="267"/>
      <c r="AW39" s="267"/>
      <c r="AX39" s="267"/>
      <c r="AY39" s="267"/>
      <c r="AZ39" s="267"/>
      <c r="BA39" s="267"/>
      <c r="BB39" s="267"/>
      <c r="BC39" s="267"/>
      <c r="BD39" s="267"/>
      <c r="BE39" s="267"/>
      <c r="BF39" s="267"/>
      <c r="BG39" s="267"/>
      <c r="BH39" s="267"/>
      <c r="BI39" s="267"/>
      <c r="BJ39" s="267"/>
      <c r="BK39" s="267"/>
      <c r="BL39" s="267"/>
      <c r="BM39" s="267"/>
      <c r="BN39" s="267"/>
      <c r="BO39" s="267"/>
      <c r="BP39" s="267"/>
      <c r="BQ39" s="267"/>
      <c r="BR39" s="267"/>
      <c r="BS39" s="267"/>
      <c r="BT39" s="267"/>
      <c r="BU39" s="267"/>
      <c r="BV39" s="267"/>
      <c r="BW39" s="267"/>
      <c r="BX39" s="267"/>
      <c r="BY39" s="267"/>
      <c r="BZ39" s="267"/>
      <c r="CA39" s="267"/>
      <c r="CB39" s="267"/>
      <c r="CC39" s="267"/>
    </row>
    <row r="40" spans="1:81" s="295" customFormat="1" ht="15.75" customHeight="1">
      <c r="A40" s="290"/>
      <c r="B40" s="363"/>
      <c r="C40" s="364"/>
      <c r="D40" s="364"/>
      <c r="E40" s="288"/>
      <c r="F40" s="288"/>
      <c r="G40" s="288"/>
      <c r="H40" s="289"/>
      <c r="I40" s="391" t="s">
        <v>36</v>
      </c>
      <c r="J40" s="391"/>
      <c r="K40" s="293">
        <f>($F$26*(1+$G$26)*K26)+($F$27*(1+$G$27)*K27)+($F$28*(1+$G$28)*K28)+($F$29*(1+$G$29)*K29)+($F$30*(1+$G$30)*K30)+($F$31*(1+$G$31)*K31)+($F$32*(1+$G$32)*K32)+($F$33*(1+$G$33)*K33)+($F$34*(1+$G$34)*K34)+($F$35*(1+$G$35)*K35)+($F$36*(1+$G$36)*K36)+($F$37*(1+$G$37)*K37)</f>
        <v>0</v>
      </c>
      <c r="L40" s="293">
        <f t="shared" ref="L40:V40" si="23">($F$26*(1+$G$26)*L26)+($F$27*(1+$G$27)*L27)+($F$28*(1+$G$28)*L28)+($F$29*(1+$G$29)*L29)+($F$30*(1+$G$30)*L30)+($F$31*(1+$G$31)*L31)+($F$32*(1+$G$32)*L32)+($F$33*(1+$G$33)*L33)+($F$34*(1+$G$34)*L34)+($F$35*(1+$G$35)*L35)+($F$36*(1+$G$36)*L36)+($F$37*(1+$G$37)*L37)</f>
        <v>0</v>
      </c>
      <c r="M40" s="293">
        <f t="shared" si="23"/>
        <v>0</v>
      </c>
      <c r="N40" s="293">
        <f t="shared" si="23"/>
        <v>0</v>
      </c>
      <c r="O40" s="293">
        <f t="shared" si="23"/>
        <v>0</v>
      </c>
      <c r="P40" s="293">
        <f t="shared" si="23"/>
        <v>0</v>
      </c>
      <c r="Q40" s="293">
        <f t="shared" si="23"/>
        <v>0</v>
      </c>
      <c r="R40" s="293">
        <f t="shared" si="23"/>
        <v>0</v>
      </c>
      <c r="S40" s="293">
        <f t="shared" si="23"/>
        <v>0</v>
      </c>
      <c r="T40" s="293">
        <f t="shared" si="23"/>
        <v>0</v>
      </c>
      <c r="U40" s="293">
        <f t="shared" si="23"/>
        <v>0</v>
      </c>
      <c r="V40" s="293">
        <f t="shared" si="23"/>
        <v>0</v>
      </c>
      <c r="W40" s="294">
        <f t="shared" si="20"/>
        <v>0</v>
      </c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290"/>
      <c r="AN40" s="290"/>
      <c r="AO40" s="290"/>
      <c r="AP40" s="290"/>
      <c r="AQ40" s="290"/>
      <c r="AR40" s="290"/>
      <c r="AS40" s="290"/>
      <c r="AT40" s="290"/>
      <c r="AU40" s="290"/>
      <c r="AV40" s="290"/>
      <c r="AW40" s="290"/>
      <c r="AX40" s="290"/>
      <c r="AY40" s="290"/>
      <c r="AZ40" s="290"/>
      <c r="BA40" s="290"/>
      <c r="BB40" s="290"/>
      <c r="BC40" s="290"/>
      <c r="BD40" s="290"/>
      <c r="BE40" s="290"/>
      <c r="BF40" s="290"/>
      <c r="BG40" s="290"/>
      <c r="BH40" s="290"/>
      <c r="BI40" s="290"/>
      <c r="BJ40" s="290"/>
      <c r="BK40" s="290"/>
      <c r="BL40" s="290"/>
      <c r="BM40" s="290"/>
      <c r="BN40" s="290"/>
      <c r="BO40" s="290"/>
      <c r="BP40" s="290"/>
      <c r="BQ40" s="290"/>
      <c r="BR40" s="290"/>
      <c r="BS40" s="290"/>
      <c r="BT40" s="290"/>
      <c r="BU40" s="290"/>
      <c r="BV40" s="290"/>
      <c r="BW40" s="290"/>
      <c r="BX40" s="290"/>
      <c r="BY40" s="290"/>
      <c r="BZ40" s="290"/>
      <c r="CA40" s="290"/>
      <c r="CB40" s="290"/>
      <c r="CC40" s="290"/>
    </row>
    <row r="41" spans="1:81" s="298" customFormat="1" ht="15.75" customHeight="1">
      <c r="A41" s="290"/>
      <c r="B41" s="365"/>
      <c r="C41" s="404"/>
      <c r="D41" s="404"/>
      <c r="E41" s="289"/>
      <c r="F41" s="290"/>
      <c r="G41" s="290"/>
      <c r="H41" s="290"/>
      <c r="I41" s="391" t="s">
        <v>37</v>
      </c>
      <c r="J41" s="391"/>
      <c r="K41" s="296">
        <f>($C$26*(1+$D$26)*K26)+($C$27*(1+$D$27)*K27)+($C$28*(1+$D$28)*K28)+($C$29*(1+$D$29)*K29)+($C$30*(1+$D$30)*K30)+($C$31*(1+$D$31)*K31)+($C$32*(1+$D$32)*K32)+($C$33*(1+$D$33)*K33)+($C$34*(1+$D$34)*K34)+($C$35*(1+$D$35)*K35)+($C$36*(1+$D$36)*K36)+($C$37*(1+$D$37)*K37)</f>
        <v>0</v>
      </c>
      <c r="L41" s="366">
        <f t="shared" ref="L41:V41" si="24">($C$26*(1+$D$26)*L26)+($C$27*(1+$D$27)*L27)+($C$28*(1+$D$28)*L28)+($C$29*(1+$D$29)*L29)+($C$30*(1+$D$30)*L30)+($C$31*(1+$D$31)*L31)+($C$32*(1+$D$32)*L32)+($C$33*(1+$D$33)*L33)+($C$34*(1+$D$34)*L34)+($C$35*(1+$D$35)*L35)+($C$36*(1+$D$36)*L36)+($C$37*(1+$D$37)*L37)</f>
        <v>0</v>
      </c>
      <c r="M41" s="366">
        <f t="shared" si="24"/>
        <v>0</v>
      </c>
      <c r="N41" s="366">
        <f t="shared" si="24"/>
        <v>0</v>
      </c>
      <c r="O41" s="366">
        <f t="shared" si="24"/>
        <v>0</v>
      </c>
      <c r="P41" s="366">
        <f t="shared" si="24"/>
        <v>0</v>
      </c>
      <c r="Q41" s="366">
        <f t="shared" si="24"/>
        <v>0</v>
      </c>
      <c r="R41" s="366">
        <f t="shared" si="24"/>
        <v>0</v>
      </c>
      <c r="S41" s="366">
        <f t="shared" si="24"/>
        <v>0</v>
      </c>
      <c r="T41" s="366">
        <f t="shared" si="24"/>
        <v>0</v>
      </c>
      <c r="U41" s="366">
        <f t="shared" si="24"/>
        <v>0</v>
      </c>
      <c r="V41" s="366">
        <f t="shared" si="24"/>
        <v>0</v>
      </c>
      <c r="W41" s="297">
        <f>SUM(I41:V41)</f>
        <v>0</v>
      </c>
      <c r="X41" s="290"/>
      <c r="Y41" s="290"/>
      <c r="Z41" s="290"/>
      <c r="AA41" s="290"/>
      <c r="AB41" s="290"/>
      <c r="AC41" s="290"/>
      <c r="AD41" s="290"/>
      <c r="AE41" s="290"/>
      <c r="AF41" s="290"/>
      <c r="AG41" s="290"/>
      <c r="AH41" s="290"/>
      <c r="AI41" s="290"/>
      <c r="AJ41" s="290"/>
      <c r="AK41" s="290"/>
      <c r="AL41" s="290"/>
      <c r="AM41" s="290"/>
      <c r="AN41" s="290"/>
      <c r="AO41" s="290"/>
      <c r="AP41" s="290"/>
      <c r="AQ41" s="290"/>
      <c r="AR41" s="290"/>
      <c r="AS41" s="290"/>
      <c r="AT41" s="290"/>
      <c r="AU41" s="290"/>
      <c r="AV41" s="290"/>
      <c r="AW41" s="290"/>
      <c r="AX41" s="290"/>
      <c r="AY41" s="290"/>
      <c r="AZ41" s="290"/>
      <c r="BA41" s="290"/>
      <c r="BB41" s="290"/>
      <c r="BC41" s="290"/>
      <c r="BD41" s="290"/>
      <c r="BE41" s="290"/>
      <c r="BF41" s="290"/>
      <c r="BG41" s="290"/>
      <c r="BH41" s="290"/>
      <c r="BI41" s="290"/>
      <c r="BJ41" s="290"/>
      <c r="BK41" s="290"/>
      <c r="BL41" s="290"/>
      <c r="BM41" s="290"/>
      <c r="BN41" s="290"/>
      <c r="BO41" s="290"/>
      <c r="BP41" s="290"/>
      <c r="BQ41" s="290"/>
      <c r="BR41" s="290"/>
      <c r="BS41" s="290"/>
      <c r="BT41" s="290"/>
      <c r="BU41" s="290"/>
      <c r="BV41" s="290"/>
      <c r="BW41" s="290"/>
      <c r="BX41" s="290"/>
      <c r="BY41" s="290"/>
      <c r="BZ41" s="290"/>
      <c r="CA41" s="290"/>
      <c r="CB41" s="290"/>
      <c r="CC41" s="290"/>
    </row>
    <row r="42" spans="1:81" s="7" customFormat="1" ht="15.75" customHeight="1">
      <c r="N42" s="267"/>
      <c r="W42" s="289"/>
      <c r="AA42" s="267"/>
    </row>
    <row r="43" spans="1:81" s="7" customFormat="1" ht="15.75" customHeight="1">
      <c r="W43" s="289"/>
      <c r="AA43" s="267"/>
    </row>
    <row r="44" spans="1:81" s="276" customFormat="1" ht="28.5" customHeight="1">
      <c r="A44" s="13"/>
      <c r="B44" s="394" t="s">
        <v>144</v>
      </c>
      <c r="C44" s="398" t="s">
        <v>137</v>
      </c>
      <c r="D44" s="395" t="s">
        <v>168</v>
      </c>
      <c r="E44" s="395" t="str">
        <f>E24</f>
        <v>Prix Unitaire Ventes TVAC</v>
      </c>
      <c r="F44" s="398" t="s">
        <v>136</v>
      </c>
      <c r="G44" s="398" t="s">
        <v>167</v>
      </c>
      <c r="H44" s="397" t="s">
        <v>235</v>
      </c>
      <c r="I44" s="397" t="s">
        <v>40</v>
      </c>
      <c r="J44" s="274" t="s">
        <v>166</v>
      </c>
      <c r="K44" s="251">
        <v>1</v>
      </c>
      <c r="L44" s="251">
        <v>1</v>
      </c>
      <c r="M44" s="251">
        <v>1</v>
      </c>
      <c r="N44" s="251">
        <v>1</v>
      </c>
      <c r="O44" s="251">
        <v>1.2</v>
      </c>
      <c r="P44" s="251">
        <v>1.2</v>
      </c>
      <c r="Q44" s="251">
        <v>1</v>
      </c>
      <c r="R44" s="251">
        <v>0</v>
      </c>
      <c r="S44" s="251">
        <v>1</v>
      </c>
      <c r="T44" s="251">
        <v>1</v>
      </c>
      <c r="U44" s="251">
        <v>1</v>
      </c>
      <c r="V44" s="251">
        <v>1</v>
      </c>
      <c r="W44" s="275" t="s">
        <v>45</v>
      </c>
      <c r="X44" s="300"/>
      <c r="Y44" s="13"/>
      <c r="Z44" s="13"/>
      <c r="AA44" s="13"/>
      <c r="AB44" s="13"/>
      <c r="AC44" s="13"/>
      <c r="AD44" s="13"/>
      <c r="AE44" s="13"/>
      <c r="AF44" s="13"/>
    </row>
    <row r="45" spans="1:81" s="13" customFormat="1" ht="15" customHeight="1">
      <c r="B45" s="394"/>
      <c r="C45" s="398"/>
      <c r="D45" s="403"/>
      <c r="E45" s="396"/>
      <c r="F45" s="398"/>
      <c r="G45" s="398"/>
      <c r="H45" s="397"/>
      <c r="I45" s="397"/>
      <c r="J45" s="273" t="s">
        <v>165</v>
      </c>
      <c r="K45" s="277" t="s">
        <v>149</v>
      </c>
      <c r="L45" s="277" t="s">
        <v>150</v>
      </c>
      <c r="M45" s="277" t="s">
        <v>151</v>
      </c>
      <c r="N45" s="277" t="s">
        <v>157</v>
      </c>
      <c r="O45" s="277" t="s">
        <v>158</v>
      </c>
      <c r="P45" s="277" t="s">
        <v>147</v>
      </c>
      <c r="Q45" s="277" t="s">
        <v>114</v>
      </c>
      <c r="R45" s="277" t="s">
        <v>154</v>
      </c>
      <c r="S45" s="277" t="s">
        <v>148</v>
      </c>
      <c r="T45" s="277" t="s">
        <v>115</v>
      </c>
      <c r="U45" s="277" t="s">
        <v>116</v>
      </c>
      <c r="V45" s="277" t="s">
        <v>117</v>
      </c>
      <c r="W45" s="51"/>
      <c r="X45" s="300"/>
    </row>
    <row r="46" spans="1:81" s="7" customFormat="1" ht="15" customHeight="1">
      <c r="B46" s="244">
        <f t="shared" ref="B46:E57" si="25">B26</f>
        <v>0</v>
      </c>
      <c r="C46" s="333">
        <f t="shared" si="25"/>
        <v>0</v>
      </c>
      <c r="D46" s="246">
        <f t="shared" si="25"/>
        <v>0</v>
      </c>
      <c r="E46" s="334">
        <f t="shared" si="25"/>
        <v>0</v>
      </c>
      <c r="F46" s="329">
        <f>E46/(1+G46)</f>
        <v>0</v>
      </c>
      <c r="G46" s="246">
        <f t="shared" ref="G46:G57" si="26">G26</f>
        <v>0</v>
      </c>
      <c r="H46" s="304" t="e">
        <f>(F46/1+G46)/C46</f>
        <v>#DIV/0!</v>
      </c>
      <c r="I46" s="373" t="e">
        <f>(W46*F46)/$W$58</f>
        <v>#DIV/0!</v>
      </c>
      <c r="J46" s="244">
        <f t="shared" ref="J46:J57" si="27">J26</f>
        <v>0</v>
      </c>
      <c r="K46" s="322">
        <f>($J46*K$44)</f>
        <v>0</v>
      </c>
      <c r="L46" s="322">
        <f t="shared" ref="L46:V46" si="28">($J46*L$44)</f>
        <v>0</v>
      </c>
      <c r="M46" s="322">
        <f t="shared" si="28"/>
        <v>0</v>
      </c>
      <c r="N46" s="322">
        <f t="shared" si="28"/>
        <v>0</v>
      </c>
      <c r="O46" s="322">
        <f t="shared" si="28"/>
        <v>0</v>
      </c>
      <c r="P46" s="322">
        <f t="shared" si="28"/>
        <v>0</v>
      </c>
      <c r="Q46" s="322">
        <f t="shared" si="28"/>
        <v>0</v>
      </c>
      <c r="R46" s="322">
        <f t="shared" si="28"/>
        <v>0</v>
      </c>
      <c r="S46" s="322">
        <f t="shared" si="28"/>
        <v>0</v>
      </c>
      <c r="T46" s="322">
        <f t="shared" si="28"/>
        <v>0</v>
      </c>
      <c r="U46" s="322">
        <f t="shared" si="28"/>
        <v>0</v>
      </c>
      <c r="V46" s="322">
        <f t="shared" si="28"/>
        <v>0</v>
      </c>
      <c r="W46" s="278">
        <f>SUM(K46:V46)</f>
        <v>0</v>
      </c>
      <c r="X46" s="301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 spans="1:81" s="7" customFormat="1" ht="15" customHeight="1">
      <c r="B47" s="244">
        <f t="shared" si="25"/>
        <v>0</v>
      </c>
      <c r="C47" s="333">
        <f t="shared" si="25"/>
        <v>0</v>
      </c>
      <c r="D47" s="247">
        <f t="shared" si="25"/>
        <v>0</v>
      </c>
      <c r="E47" s="334">
        <f t="shared" si="25"/>
        <v>0</v>
      </c>
      <c r="F47" s="331">
        <f t="shared" ref="F47:F57" si="29">E47/(1+G47)</f>
        <v>0</v>
      </c>
      <c r="G47" s="246">
        <f t="shared" si="26"/>
        <v>0</v>
      </c>
      <c r="H47" s="370" t="e">
        <f t="shared" ref="H47:H57" si="30">(F47/1+G47)/C47</f>
        <v>#DIV/0!</v>
      </c>
      <c r="I47" s="373" t="e">
        <f t="shared" ref="I47:I57" si="31">(W47*F47)/$W$58</f>
        <v>#DIV/0!</v>
      </c>
      <c r="J47" s="244">
        <f t="shared" si="27"/>
        <v>0</v>
      </c>
      <c r="K47" s="322">
        <f t="shared" ref="K47:V57" si="32">($J47*K$44)</f>
        <v>0</v>
      </c>
      <c r="L47" s="322">
        <f t="shared" si="32"/>
        <v>0</v>
      </c>
      <c r="M47" s="322">
        <f t="shared" si="32"/>
        <v>0</v>
      </c>
      <c r="N47" s="322">
        <f t="shared" si="32"/>
        <v>0</v>
      </c>
      <c r="O47" s="322">
        <f t="shared" si="32"/>
        <v>0</v>
      </c>
      <c r="P47" s="322">
        <f t="shared" si="32"/>
        <v>0</v>
      </c>
      <c r="Q47" s="322">
        <f t="shared" si="32"/>
        <v>0</v>
      </c>
      <c r="R47" s="322">
        <f t="shared" si="32"/>
        <v>0</v>
      </c>
      <c r="S47" s="322">
        <f t="shared" si="32"/>
        <v>0</v>
      </c>
      <c r="T47" s="322">
        <f t="shared" si="32"/>
        <v>0</v>
      </c>
      <c r="U47" s="322">
        <f t="shared" si="32"/>
        <v>0</v>
      </c>
      <c r="V47" s="322">
        <f t="shared" si="32"/>
        <v>0</v>
      </c>
      <c r="W47" s="278">
        <f t="shared" ref="W47:W54" si="33">SUM(K47:V47)</f>
        <v>0</v>
      </c>
      <c r="X47" s="301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</row>
    <row r="48" spans="1:81" ht="15" customHeight="1">
      <c r="B48" s="244">
        <f t="shared" si="25"/>
        <v>0</v>
      </c>
      <c r="C48" s="333">
        <f t="shared" si="25"/>
        <v>0</v>
      </c>
      <c r="D48" s="247">
        <f t="shared" si="25"/>
        <v>0</v>
      </c>
      <c r="E48" s="334">
        <f t="shared" si="25"/>
        <v>0</v>
      </c>
      <c r="F48" s="331">
        <f t="shared" si="29"/>
        <v>0</v>
      </c>
      <c r="G48" s="246">
        <f t="shared" si="26"/>
        <v>0</v>
      </c>
      <c r="H48" s="370" t="e">
        <f t="shared" si="30"/>
        <v>#DIV/0!</v>
      </c>
      <c r="I48" s="373" t="e">
        <f t="shared" si="31"/>
        <v>#DIV/0!</v>
      </c>
      <c r="J48" s="244">
        <f t="shared" si="27"/>
        <v>0</v>
      </c>
      <c r="K48" s="322">
        <f t="shared" si="32"/>
        <v>0</v>
      </c>
      <c r="L48" s="322">
        <f t="shared" si="32"/>
        <v>0</v>
      </c>
      <c r="M48" s="322">
        <f t="shared" si="32"/>
        <v>0</v>
      </c>
      <c r="N48" s="322">
        <f t="shared" si="32"/>
        <v>0</v>
      </c>
      <c r="O48" s="322">
        <f t="shared" si="32"/>
        <v>0</v>
      </c>
      <c r="P48" s="322">
        <f t="shared" si="32"/>
        <v>0</v>
      </c>
      <c r="Q48" s="322">
        <f t="shared" si="32"/>
        <v>0</v>
      </c>
      <c r="R48" s="322">
        <f t="shared" si="32"/>
        <v>0</v>
      </c>
      <c r="S48" s="322">
        <f t="shared" si="32"/>
        <v>0</v>
      </c>
      <c r="T48" s="322">
        <f t="shared" si="32"/>
        <v>0</v>
      </c>
      <c r="U48" s="322">
        <f t="shared" si="32"/>
        <v>0</v>
      </c>
      <c r="V48" s="322">
        <f t="shared" si="32"/>
        <v>0</v>
      </c>
      <c r="W48" s="278">
        <f t="shared" si="33"/>
        <v>0</v>
      </c>
      <c r="X48" s="302"/>
      <c r="Z48" s="7"/>
      <c r="AA48" s="12"/>
    </row>
    <row r="49" spans="1:81" ht="15" customHeight="1">
      <c r="B49" s="244">
        <f t="shared" si="25"/>
        <v>0</v>
      </c>
      <c r="C49" s="333">
        <f t="shared" si="25"/>
        <v>0</v>
      </c>
      <c r="D49" s="247">
        <f t="shared" si="25"/>
        <v>0</v>
      </c>
      <c r="E49" s="334">
        <f t="shared" si="25"/>
        <v>0</v>
      </c>
      <c r="F49" s="331">
        <f t="shared" si="29"/>
        <v>0</v>
      </c>
      <c r="G49" s="246">
        <f t="shared" si="26"/>
        <v>0</v>
      </c>
      <c r="H49" s="370" t="e">
        <f t="shared" si="30"/>
        <v>#DIV/0!</v>
      </c>
      <c r="I49" s="373" t="e">
        <f t="shared" si="31"/>
        <v>#DIV/0!</v>
      </c>
      <c r="J49" s="244">
        <f t="shared" si="27"/>
        <v>0</v>
      </c>
      <c r="K49" s="322">
        <f t="shared" si="32"/>
        <v>0</v>
      </c>
      <c r="L49" s="322">
        <f t="shared" si="32"/>
        <v>0</v>
      </c>
      <c r="M49" s="322">
        <f t="shared" si="32"/>
        <v>0</v>
      </c>
      <c r="N49" s="322">
        <f t="shared" si="32"/>
        <v>0</v>
      </c>
      <c r="O49" s="322">
        <f t="shared" si="32"/>
        <v>0</v>
      </c>
      <c r="P49" s="322">
        <f t="shared" si="32"/>
        <v>0</v>
      </c>
      <c r="Q49" s="322">
        <f t="shared" si="32"/>
        <v>0</v>
      </c>
      <c r="R49" s="322">
        <f t="shared" si="32"/>
        <v>0</v>
      </c>
      <c r="S49" s="322">
        <f t="shared" si="32"/>
        <v>0</v>
      </c>
      <c r="T49" s="322">
        <f t="shared" si="32"/>
        <v>0</v>
      </c>
      <c r="U49" s="322">
        <f t="shared" si="32"/>
        <v>0</v>
      </c>
      <c r="V49" s="322">
        <f t="shared" si="32"/>
        <v>0</v>
      </c>
      <c r="W49" s="278">
        <f t="shared" si="33"/>
        <v>0</v>
      </c>
      <c r="X49" s="302"/>
      <c r="Z49" s="7"/>
      <c r="AA49" s="12"/>
    </row>
    <row r="50" spans="1:81" ht="15" customHeight="1">
      <c r="B50" s="244">
        <f t="shared" si="25"/>
        <v>0</v>
      </c>
      <c r="C50" s="333">
        <f t="shared" si="25"/>
        <v>0</v>
      </c>
      <c r="D50" s="247">
        <f t="shared" si="25"/>
        <v>0</v>
      </c>
      <c r="E50" s="334">
        <f t="shared" si="25"/>
        <v>0</v>
      </c>
      <c r="F50" s="331">
        <f t="shared" si="29"/>
        <v>0</v>
      </c>
      <c r="G50" s="246">
        <f t="shared" si="26"/>
        <v>0</v>
      </c>
      <c r="H50" s="370" t="e">
        <f t="shared" si="30"/>
        <v>#DIV/0!</v>
      </c>
      <c r="I50" s="373" t="e">
        <f t="shared" si="31"/>
        <v>#DIV/0!</v>
      </c>
      <c r="J50" s="244">
        <f t="shared" si="27"/>
        <v>0</v>
      </c>
      <c r="K50" s="322">
        <f t="shared" si="32"/>
        <v>0</v>
      </c>
      <c r="L50" s="322">
        <f t="shared" si="32"/>
        <v>0</v>
      </c>
      <c r="M50" s="322">
        <f t="shared" si="32"/>
        <v>0</v>
      </c>
      <c r="N50" s="322">
        <f t="shared" si="32"/>
        <v>0</v>
      </c>
      <c r="O50" s="322">
        <f t="shared" si="32"/>
        <v>0</v>
      </c>
      <c r="P50" s="322">
        <f t="shared" si="32"/>
        <v>0</v>
      </c>
      <c r="Q50" s="322">
        <f t="shared" si="32"/>
        <v>0</v>
      </c>
      <c r="R50" s="322">
        <f t="shared" si="32"/>
        <v>0</v>
      </c>
      <c r="S50" s="322">
        <f t="shared" si="32"/>
        <v>0</v>
      </c>
      <c r="T50" s="322">
        <f t="shared" si="32"/>
        <v>0</v>
      </c>
      <c r="U50" s="322">
        <f t="shared" si="32"/>
        <v>0</v>
      </c>
      <c r="V50" s="322">
        <f t="shared" si="32"/>
        <v>0</v>
      </c>
      <c r="W50" s="278">
        <f t="shared" si="33"/>
        <v>0</v>
      </c>
      <c r="X50" s="302"/>
      <c r="Z50" s="7"/>
      <c r="AA50" s="12"/>
    </row>
    <row r="51" spans="1:81" ht="15" customHeight="1">
      <c r="B51" s="244">
        <f t="shared" si="25"/>
        <v>0</v>
      </c>
      <c r="C51" s="333">
        <f t="shared" si="25"/>
        <v>0</v>
      </c>
      <c r="D51" s="247">
        <f t="shared" si="25"/>
        <v>0</v>
      </c>
      <c r="E51" s="334">
        <f t="shared" si="25"/>
        <v>0</v>
      </c>
      <c r="F51" s="331">
        <f t="shared" si="29"/>
        <v>0</v>
      </c>
      <c r="G51" s="246">
        <f t="shared" si="26"/>
        <v>0</v>
      </c>
      <c r="H51" s="370" t="e">
        <f t="shared" si="30"/>
        <v>#DIV/0!</v>
      </c>
      <c r="I51" s="373" t="e">
        <f t="shared" si="31"/>
        <v>#DIV/0!</v>
      </c>
      <c r="J51" s="244">
        <f t="shared" si="27"/>
        <v>0</v>
      </c>
      <c r="K51" s="322">
        <f t="shared" si="32"/>
        <v>0</v>
      </c>
      <c r="L51" s="322">
        <f t="shared" si="32"/>
        <v>0</v>
      </c>
      <c r="M51" s="322">
        <f t="shared" si="32"/>
        <v>0</v>
      </c>
      <c r="N51" s="322">
        <f t="shared" si="32"/>
        <v>0</v>
      </c>
      <c r="O51" s="322">
        <f t="shared" si="32"/>
        <v>0</v>
      </c>
      <c r="P51" s="322">
        <f t="shared" si="32"/>
        <v>0</v>
      </c>
      <c r="Q51" s="322">
        <f t="shared" si="32"/>
        <v>0</v>
      </c>
      <c r="R51" s="322">
        <f t="shared" si="32"/>
        <v>0</v>
      </c>
      <c r="S51" s="322">
        <f t="shared" si="32"/>
        <v>0</v>
      </c>
      <c r="T51" s="322">
        <f t="shared" si="32"/>
        <v>0</v>
      </c>
      <c r="U51" s="322">
        <f t="shared" si="32"/>
        <v>0</v>
      </c>
      <c r="V51" s="322">
        <f t="shared" si="32"/>
        <v>0</v>
      </c>
      <c r="W51" s="278">
        <f t="shared" si="33"/>
        <v>0</v>
      </c>
      <c r="X51" s="302"/>
      <c r="AA51" s="12"/>
      <c r="BC51" s="12">
        <f>(212*1.15)+62/1.21</f>
        <v>295.03966942148759</v>
      </c>
    </row>
    <row r="52" spans="1:81" ht="15" customHeight="1">
      <c r="B52" s="244">
        <f t="shared" si="25"/>
        <v>0</v>
      </c>
      <c r="C52" s="333">
        <f t="shared" si="25"/>
        <v>0</v>
      </c>
      <c r="D52" s="247">
        <f t="shared" si="25"/>
        <v>0</v>
      </c>
      <c r="E52" s="334">
        <f t="shared" si="25"/>
        <v>0</v>
      </c>
      <c r="F52" s="331">
        <f t="shared" si="29"/>
        <v>0</v>
      </c>
      <c r="G52" s="246">
        <f t="shared" si="26"/>
        <v>0</v>
      </c>
      <c r="H52" s="370" t="e">
        <f t="shared" si="30"/>
        <v>#DIV/0!</v>
      </c>
      <c r="I52" s="373" t="e">
        <f t="shared" si="31"/>
        <v>#DIV/0!</v>
      </c>
      <c r="J52" s="244">
        <f t="shared" si="27"/>
        <v>0</v>
      </c>
      <c r="K52" s="322">
        <f t="shared" si="32"/>
        <v>0</v>
      </c>
      <c r="L52" s="322">
        <f t="shared" si="32"/>
        <v>0</v>
      </c>
      <c r="M52" s="322">
        <f t="shared" si="32"/>
        <v>0</v>
      </c>
      <c r="N52" s="322">
        <f t="shared" si="32"/>
        <v>0</v>
      </c>
      <c r="O52" s="322">
        <f t="shared" si="32"/>
        <v>0</v>
      </c>
      <c r="P52" s="322">
        <f t="shared" si="32"/>
        <v>0</v>
      </c>
      <c r="Q52" s="322">
        <f t="shared" si="32"/>
        <v>0</v>
      </c>
      <c r="R52" s="322">
        <f t="shared" si="32"/>
        <v>0</v>
      </c>
      <c r="S52" s="322">
        <f t="shared" si="32"/>
        <v>0</v>
      </c>
      <c r="T52" s="322">
        <f t="shared" si="32"/>
        <v>0</v>
      </c>
      <c r="U52" s="322">
        <f t="shared" si="32"/>
        <v>0</v>
      </c>
      <c r="V52" s="322">
        <f t="shared" si="32"/>
        <v>0</v>
      </c>
      <c r="W52" s="278">
        <f t="shared" si="33"/>
        <v>0</v>
      </c>
      <c r="X52" s="302"/>
      <c r="AA52" s="12"/>
      <c r="BC52" s="12">
        <f>BC51*1.21</f>
        <v>356.99799999999999</v>
      </c>
    </row>
    <row r="53" spans="1:81" ht="15" customHeight="1">
      <c r="B53" s="244">
        <f t="shared" si="25"/>
        <v>0</v>
      </c>
      <c r="C53" s="333">
        <f t="shared" si="25"/>
        <v>0</v>
      </c>
      <c r="D53" s="247">
        <f t="shared" si="25"/>
        <v>0</v>
      </c>
      <c r="E53" s="334">
        <f t="shared" si="25"/>
        <v>0</v>
      </c>
      <c r="F53" s="331">
        <f t="shared" si="29"/>
        <v>0</v>
      </c>
      <c r="G53" s="246">
        <f t="shared" si="26"/>
        <v>0</v>
      </c>
      <c r="H53" s="370" t="e">
        <f t="shared" si="30"/>
        <v>#DIV/0!</v>
      </c>
      <c r="I53" s="373" t="e">
        <f t="shared" si="31"/>
        <v>#DIV/0!</v>
      </c>
      <c r="J53" s="244">
        <f t="shared" si="27"/>
        <v>0</v>
      </c>
      <c r="K53" s="322">
        <f t="shared" si="32"/>
        <v>0</v>
      </c>
      <c r="L53" s="322">
        <f t="shared" si="32"/>
        <v>0</v>
      </c>
      <c r="M53" s="322">
        <f t="shared" si="32"/>
        <v>0</v>
      </c>
      <c r="N53" s="322">
        <f t="shared" si="32"/>
        <v>0</v>
      </c>
      <c r="O53" s="322">
        <f t="shared" si="32"/>
        <v>0</v>
      </c>
      <c r="P53" s="322">
        <f t="shared" si="32"/>
        <v>0</v>
      </c>
      <c r="Q53" s="322">
        <f t="shared" si="32"/>
        <v>0</v>
      </c>
      <c r="R53" s="322">
        <f t="shared" si="32"/>
        <v>0</v>
      </c>
      <c r="S53" s="322">
        <f t="shared" si="32"/>
        <v>0</v>
      </c>
      <c r="T53" s="322">
        <f t="shared" si="32"/>
        <v>0</v>
      </c>
      <c r="U53" s="322">
        <f t="shared" si="32"/>
        <v>0</v>
      </c>
      <c r="V53" s="322">
        <f t="shared" si="32"/>
        <v>0</v>
      </c>
      <c r="W53" s="278">
        <f t="shared" si="33"/>
        <v>0</v>
      </c>
      <c r="X53" s="302"/>
      <c r="AA53" s="12"/>
    </row>
    <row r="54" spans="1:81" ht="15" customHeight="1">
      <c r="B54" s="244">
        <f t="shared" si="25"/>
        <v>0</v>
      </c>
      <c r="C54" s="333">
        <f t="shared" si="25"/>
        <v>0</v>
      </c>
      <c r="D54" s="247">
        <f t="shared" si="25"/>
        <v>0</v>
      </c>
      <c r="E54" s="334">
        <f t="shared" si="25"/>
        <v>0</v>
      </c>
      <c r="F54" s="331">
        <f t="shared" si="29"/>
        <v>0</v>
      </c>
      <c r="G54" s="246">
        <f t="shared" si="26"/>
        <v>0</v>
      </c>
      <c r="H54" s="370" t="e">
        <f t="shared" si="30"/>
        <v>#DIV/0!</v>
      </c>
      <c r="I54" s="373" t="e">
        <f t="shared" si="31"/>
        <v>#DIV/0!</v>
      </c>
      <c r="J54" s="244">
        <f t="shared" si="27"/>
        <v>0</v>
      </c>
      <c r="K54" s="322">
        <f t="shared" si="32"/>
        <v>0</v>
      </c>
      <c r="L54" s="322">
        <f t="shared" si="32"/>
        <v>0</v>
      </c>
      <c r="M54" s="322">
        <f t="shared" si="32"/>
        <v>0</v>
      </c>
      <c r="N54" s="322">
        <f t="shared" si="32"/>
        <v>0</v>
      </c>
      <c r="O54" s="322">
        <f t="shared" si="32"/>
        <v>0</v>
      </c>
      <c r="P54" s="322">
        <f t="shared" si="32"/>
        <v>0</v>
      </c>
      <c r="Q54" s="322">
        <f t="shared" si="32"/>
        <v>0</v>
      </c>
      <c r="R54" s="322">
        <f t="shared" si="32"/>
        <v>0</v>
      </c>
      <c r="S54" s="322">
        <f t="shared" si="32"/>
        <v>0</v>
      </c>
      <c r="T54" s="322">
        <f t="shared" si="32"/>
        <v>0</v>
      </c>
      <c r="U54" s="322">
        <f t="shared" si="32"/>
        <v>0</v>
      </c>
      <c r="V54" s="322">
        <f t="shared" si="32"/>
        <v>0</v>
      </c>
      <c r="W54" s="279">
        <f t="shared" si="33"/>
        <v>0</v>
      </c>
      <c r="X54" s="302"/>
      <c r="AA54" s="12"/>
    </row>
    <row r="55" spans="1:81" ht="15" customHeight="1">
      <c r="B55" s="244">
        <f t="shared" si="25"/>
        <v>0</v>
      </c>
      <c r="C55" s="333">
        <f t="shared" si="25"/>
        <v>0</v>
      </c>
      <c r="D55" s="247">
        <f t="shared" si="25"/>
        <v>0</v>
      </c>
      <c r="E55" s="334">
        <f t="shared" si="25"/>
        <v>0</v>
      </c>
      <c r="F55" s="331">
        <f t="shared" si="29"/>
        <v>0</v>
      </c>
      <c r="G55" s="246">
        <f t="shared" si="26"/>
        <v>0</v>
      </c>
      <c r="H55" s="370" t="e">
        <f t="shared" si="30"/>
        <v>#DIV/0!</v>
      </c>
      <c r="I55" s="373" t="e">
        <f t="shared" si="31"/>
        <v>#DIV/0!</v>
      </c>
      <c r="J55" s="244">
        <f t="shared" si="27"/>
        <v>0</v>
      </c>
      <c r="K55" s="322">
        <f t="shared" si="32"/>
        <v>0</v>
      </c>
      <c r="L55" s="322">
        <f t="shared" si="32"/>
        <v>0</v>
      </c>
      <c r="M55" s="322">
        <f t="shared" si="32"/>
        <v>0</v>
      </c>
      <c r="N55" s="322">
        <f t="shared" si="32"/>
        <v>0</v>
      </c>
      <c r="O55" s="322">
        <f t="shared" si="32"/>
        <v>0</v>
      </c>
      <c r="P55" s="322">
        <f t="shared" si="32"/>
        <v>0</v>
      </c>
      <c r="Q55" s="322">
        <f t="shared" si="32"/>
        <v>0</v>
      </c>
      <c r="R55" s="322">
        <f t="shared" si="32"/>
        <v>0</v>
      </c>
      <c r="S55" s="322">
        <f t="shared" si="32"/>
        <v>0</v>
      </c>
      <c r="T55" s="322">
        <f t="shared" si="32"/>
        <v>0</v>
      </c>
      <c r="U55" s="322">
        <f t="shared" si="32"/>
        <v>0</v>
      </c>
      <c r="V55" s="322">
        <f t="shared" si="32"/>
        <v>0</v>
      </c>
      <c r="W55" s="278">
        <f t="shared" ref="W55:W60" si="34">SUM(K55:V55)</f>
        <v>0</v>
      </c>
      <c r="X55" s="302"/>
      <c r="AA55" s="12"/>
    </row>
    <row r="56" spans="1:81" ht="15" customHeight="1">
      <c r="B56" s="244">
        <f t="shared" si="25"/>
        <v>0</v>
      </c>
      <c r="C56" s="333">
        <f t="shared" si="25"/>
        <v>0</v>
      </c>
      <c r="D56" s="247">
        <f t="shared" si="25"/>
        <v>0</v>
      </c>
      <c r="E56" s="334">
        <f t="shared" si="25"/>
        <v>0</v>
      </c>
      <c r="F56" s="331">
        <f t="shared" si="29"/>
        <v>0</v>
      </c>
      <c r="G56" s="246">
        <f t="shared" si="26"/>
        <v>0</v>
      </c>
      <c r="H56" s="370" t="e">
        <f t="shared" si="30"/>
        <v>#DIV/0!</v>
      </c>
      <c r="I56" s="373" t="e">
        <f t="shared" si="31"/>
        <v>#DIV/0!</v>
      </c>
      <c r="J56" s="244">
        <f t="shared" si="27"/>
        <v>0</v>
      </c>
      <c r="K56" s="322">
        <f t="shared" si="32"/>
        <v>0</v>
      </c>
      <c r="L56" s="322">
        <f t="shared" si="32"/>
        <v>0</v>
      </c>
      <c r="M56" s="322">
        <f t="shared" si="32"/>
        <v>0</v>
      </c>
      <c r="N56" s="322">
        <f t="shared" si="32"/>
        <v>0</v>
      </c>
      <c r="O56" s="322">
        <f t="shared" si="32"/>
        <v>0</v>
      </c>
      <c r="P56" s="322">
        <f t="shared" si="32"/>
        <v>0</v>
      </c>
      <c r="Q56" s="322">
        <f t="shared" si="32"/>
        <v>0</v>
      </c>
      <c r="R56" s="322">
        <f t="shared" si="32"/>
        <v>0</v>
      </c>
      <c r="S56" s="322">
        <f t="shared" si="32"/>
        <v>0</v>
      </c>
      <c r="T56" s="322">
        <f t="shared" si="32"/>
        <v>0</v>
      </c>
      <c r="U56" s="322">
        <f t="shared" si="32"/>
        <v>0</v>
      </c>
      <c r="V56" s="322">
        <f t="shared" si="32"/>
        <v>0</v>
      </c>
      <c r="W56" s="278">
        <f t="shared" si="34"/>
        <v>0</v>
      </c>
      <c r="X56" s="302"/>
      <c r="AA56" s="12"/>
    </row>
    <row r="57" spans="1:81" ht="15" customHeight="1">
      <c r="B57" s="248">
        <f t="shared" si="25"/>
        <v>0</v>
      </c>
      <c r="C57" s="333">
        <f t="shared" si="25"/>
        <v>0</v>
      </c>
      <c r="D57" s="249">
        <f t="shared" si="25"/>
        <v>0</v>
      </c>
      <c r="E57" s="334">
        <f t="shared" si="25"/>
        <v>0</v>
      </c>
      <c r="F57" s="329">
        <f t="shared" si="29"/>
        <v>0</v>
      </c>
      <c r="G57" s="306">
        <f t="shared" si="26"/>
        <v>0</v>
      </c>
      <c r="H57" s="370" t="e">
        <f t="shared" si="30"/>
        <v>#DIV/0!</v>
      </c>
      <c r="I57" s="373" t="e">
        <f t="shared" si="31"/>
        <v>#DIV/0!</v>
      </c>
      <c r="J57" s="244">
        <f t="shared" si="27"/>
        <v>0</v>
      </c>
      <c r="K57" s="322">
        <f t="shared" si="32"/>
        <v>0</v>
      </c>
      <c r="L57" s="322">
        <f t="shared" si="32"/>
        <v>0</v>
      </c>
      <c r="M57" s="322">
        <f t="shared" si="32"/>
        <v>0</v>
      </c>
      <c r="N57" s="322">
        <f t="shared" si="32"/>
        <v>0</v>
      </c>
      <c r="O57" s="322">
        <f t="shared" si="32"/>
        <v>0</v>
      </c>
      <c r="P57" s="322">
        <f t="shared" si="32"/>
        <v>0</v>
      </c>
      <c r="Q57" s="322">
        <f t="shared" si="32"/>
        <v>0</v>
      </c>
      <c r="R57" s="322">
        <f t="shared" si="32"/>
        <v>0</v>
      </c>
      <c r="S57" s="322">
        <f t="shared" si="32"/>
        <v>0</v>
      </c>
      <c r="T57" s="322">
        <f t="shared" si="32"/>
        <v>0</v>
      </c>
      <c r="U57" s="322">
        <f t="shared" si="32"/>
        <v>0</v>
      </c>
      <c r="V57" s="322">
        <f t="shared" si="32"/>
        <v>0</v>
      </c>
      <c r="W57" s="278">
        <f t="shared" si="34"/>
        <v>0</v>
      </c>
      <c r="AA57" s="12"/>
    </row>
    <row r="58" spans="1:81" s="285" customFormat="1" ht="15" customHeight="1">
      <c r="A58" s="267"/>
      <c r="B58" s="325"/>
      <c r="C58" s="13"/>
      <c r="D58" s="13"/>
      <c r="E58" s="13"/>
      <c r="F58" s="13"/>
      <c r="G58" s="13"/>
      <c r="H58" s="289"/>
      <c r="I58" s="393" t="s">
        <v>34</v>
      </c>
      <c r="J58" s="392"/>
      <c r="K58" s="284">
        <f>(K46*$F$46)+($F$47*K47)+($F$48*K48)+($F$49*K49)+($F$50*K50)+($F$51*K51)+($F$52*K52)+($F$53*K53)+($F$54*K54)+($F$55*K55)+($F$56*K56)+($F$57*K57)</f>
        <v>0</v>
      </c>
      <c r="L58" s="284">
        <f t="shared" ref="L58:V58" si="35">(L46*$F$46)+($F$47*L47)+($F$48*L48)+($F$49*L49)+($F$50*L50)+($F$51*L51)+($F$52*L52)+($F$53*L53)+($F$54*L54)+($F$55*L55)+($F$56*L56)+($F$57*L57)</f>
        <v>0</v>
      </c>
      <c r="M58" s="284">
        <f t="shared" si="35"/>
        <v>0</v>
      </c>
      <c r="N58" s="284">
        <f t="shared" si="35"/>
        <v>0</v>
      </c>
      <c r="O58" s="284">
        <f t="shared" si="35"/>
        <v>0</v>
      </c>
      <c r="P58" s="284">
        <f t="shared" si="35"/>
        <v>0</v>
      </c>
      <c r="Q58" s="284">
        <f t="shared" si="35"/>
        <v>0</v>
      </c>
      <c r="R58" s="284">
        <f t="shared" si="35"/>
        <v>0</v>
      </c>
      <c r="S58" s="284">
        <f t="shared" si="35"/>
        <v>0</v>
      </c>
      <c r="T58" s="284">
        <f t="shared" si="35"/>
        <v>0</v>
      </c>
      <c r="U58" s="284">
        <f t="shared" si="35"/>
        <v>0</v>
      </c>
      <c r="V58" s="284">
        <f t="shared" si="35"/>
        <v>0</v>
      </c>
      <c r="W58" s="275">
        <f t="shared" si="34"/>
        <v>0</v>
      </c>
      <c r="X58" s="267"/>
      <c r="Y58" s="267"/>
      <c r="Z58" s="267"/>
      <c r="AA58" s="267"/>
      <c r="AB58" s="267"/>
      <c r="AC58" s="267"/>
      <c r="AD58" s="267"/>
      <c r="AE58" s="267"/>
      <c r="AF58" s="267"/>
      <c r="AG58" s="267"/>
      <c r="AH58" s="267"/>
      <c r="AI58" s="267"/>
      <c r="AJ58" s="267"/>
      <c r="AK58" s="267"/>
      <c r="AL58" s="267"/>
      <c r="AM58" s="267"/>
      <c r="AN58" s="267"/>
      <c r="AO58" s="267"/>
      <c r="AP58" s="267"/>
      <c r="AQ58" s="267"/>
      <c r="AR58" s="267"/>
      <c r="AS58" s="267"/>
      <c r="AT58" s="267"/>
      <c r="AU58" s="267"/>
      <c r="AV58" s="267"/>
      <c r="AW58" s="267"/>
      <c r="AX58" s="267"/>
      <c r="AY58" s="267"/>
      <c r="AZ58" s="267"/>
      <c r="BA58" s="267"/>
      <c r="BB58" s="267"/>
      <c r="BC58" s="267"/>
      <c r="BD58" s="267"/>
      <c r="BE58" s="267"/>
      <c r="BF58" s="267"/>
      <c r="BG58" s="267"/>
      <c r="BH58" s="267"/>
      <c r="BI58" s="267"/>
      <c r="BJ58" s="267"/>
      <c r="BK58" s="267"/>
      <c r="BL58" s="267"/>
      <c r="BM58" s="267"/>
      <c r="BN58" s="267"/>
      <c r="BO58" s="267"/>
      <c r="BP58" s="267"/>
      <c r="BQ58" s="267"/>
      <c r="BR58" s="267"/>
      <c r="BS58" s="267"/>
      <c r="BT58" s="267"/>
      <c r="BU58" s="267"/>
      <c r="BV58" s="267"/>
      <c r="BW58" s="267"/>
      <c r="BX58" s="267"/>
      <c r="BY58" s="267"/>
      <c r="BZ58" s="267"/>
      <c r="CA58" s="267"/>
      <c r="CB58" s="267"/>
      <c r="CC58" s="267"/>
    </row>
    <row r="59" spans="1:81" s="285" customFormat="1" ht="15" customHeight="1">
      <c r="A59" s="267"/>
      <c r="B59" s="362"/>
      <c r="C59" s="405"/>
      <c r="D59" s="405"/>
      <c r="E59" s="327"/>
      <c r="F59" s="13"/>
      <c r="G59" s="13"/>
      <c r="H59" s="289"/>
      <c r="I59" s="392" t="s">
        <v>35</v>
      </c>
      <c r="J59" s="392"/>
      <c r="K59" s="284">
        <f>($C$46*K46)+($C$47*K47)+($C$48*K48)+($C$49*K49)+($C$50*K50)+($C$51*K51)+($C$52*K52)+($C$53*K53)+($C$54*K54)+($C$55*K55)+($C$56*K56)+($C$57*K57)</f>
        <v>0</v>
      </c>
      <c r="L59" s="284">
        <f t="shared" ref="L59:V59" si="36">($C$46*L46)+($C$47*L47)+($C$48*L48)+($C$49*L49)+($C$50*L50)+($C$51*L51)+($C$52*L52)+($C$53*L53)+($C$54*L54)+($C$55*L55)+($C$56*L56)+($C$57*L57)</f>
        <v>0</v>
      </c>
      <c r="M59" s="284">
        <f t="shared" si="36"/>
        <v>0</v>
      </c>
      <c r="N59" s="284">
        <f t="shared" si="36"/>
        <v>0</v>
      </c>
      <c r="O59" s="284">
        <f t="shared" si="36"/>
        <v>0</v>
      </c>
      <c r="P59" s="284">
        <f t="shared" si="36"/>
        <v>0</v>
      </c>
      <c r="Q59" s="284">
        <f t="shared" si="36"/>
        <v>0</v>
      </c>
      <c r="R59" s="284">
        <f t="shared" si="36"/>
        <v>0</v>
      </c>
      <c r="S59" s="284">
        <f t="shared" si="36"/>
        <v>0</v>
      </c>
      <c r="T59" s="284">
        <f t="shared" si="36"/>
        <v>0</v>
      </c>
      <c r="U59" s="284">
        <f t="shared" si="36"/>
        <v>0</v>
      </c>
      <c r="V59" s="284">
        <f t="shared" si="36"/>
        <v>0</v>
      </c>
      <c r="W59" s="287">
        <f t="shared" si="34"/>
        <v>0</v>
      </c>
      <c r="X59" s="267"/>
      <c r="Y59" s="267"/>
      <c r="Z59" s="267"/>
      <c r="AA59" s="267"/>
      <c r="AB59" s="267"/>
      <c r="AC59" s="267"/>
      <c r="AD59" s="267"/>
      <c r="AE59" s="267"/>
      <c r="AF59" s="267"/>
      <c r="AG59" s="267"/>
      <c r="AH59" s="267"/>
      <c r="AI59" s="267"/>
      <c r="AJ59" s="267"/>
      <c r="AK59" s="267"/>
      <c r="AL59" s="267"/>
      <c r="AM59" s="267"/>
      <c r="AN59" s="267"/>
      <c r="AO59" s="267"/>
      <c r="AP59" s="267"/>
      <c r="AQ59" s="267"/>
      <c r="AR59" s="267"/>
      <c r="AS59" s="267"/>
      <c r="AT59" s="267"/>
      <c r="AU59" s="267"/>
      <c r="AV59" s="267"/>
      <c r="AW59" s="267"/>
      <c r="AX59" s="267"/>
      <c r="AY59" s="267"/>
      <c r="AZ59" s="267"/>
      <c r="BA59" s="267"/>
      <c r="BB59" s="267"/>
      <c r="BC59" s="267"/>
      <c r="BD59" s="267"/>
      <c r="BE59" s="267"/>
      <c r="BF59" s="267"/>
      <c r="BG59" s="267"/>
      <c r="BH59" s="267"/>
      <c r="BI59" s="267"/>
      <c r="BJ59" s="267"/>
      <c r="BK59" s="267"/>
      <c r="BL59" s="267"/>
      <c r="BM59" s="267"/>
      <c r="BN59" s="267"/>
      <c r="BO59" s="267"/>
      <c r="BP59" s="267"/>
      <c r="BQ59" s="267"/>
      <c r="BR59" s="267"/>
      <c r="BS59" s="267"/>
      <c r="BT59" s="267"/>
      <c r="BU59" s="267"/>
      <c r="BV59" s="267"/>
      <c r="BW59" s="267"/>
      <c r="BX59" s="267"/>
      <c r="BY59" s="267"/>
      <c r="BZ59" s="267"/>
      <c r="CA59" s="267"/>
      <c r="CB59" s="267"/>
      <c r="CC59" s="267"/>
    </row>
    <row r="60" spans="1:81" s="295" customFormat="1" ht="15" customHeight="1">
      <c r="A60" s="290"/>
      <c r="B60" s="363"/>
      <c r="C60" s="364"/>
      <c r="D60" s="364"/>
      <c r="E60" s="288"/>
      <c r="F60" s="288"/>
      <c r="G60" s="288"/>
      <c r="H60" s="289"/>
      <c r="I60" s="391" t="s">
        <v>36</v>
      </c>
      <c r="J60" s="391"/>
      <c r="K60" s="293">
        <f>($F$46*(1+$G$46)*K46)+($F$47*(1+$G$47)*K47)+($F$48*(1+$G$48)*K48)+($F$49*(1+$G$49)*K49)+($F$50*(1+$G$50)*K50)+($F$51*(1+$G$51)*K51)+($F$52*(1+$G$52)*K52)+($F$53*(1+$G$53)*K53)+($F$54*(1+$G$54)*K54)+($F$55*(1+$G$55)*K55)+($F$56*(1+$G$56)*K56)+($F$57*(1+$G$57)*K57)</f>
        <v>0</v>
      </c>
      <c r="L60" s="293">
        <f t="shared" ref="L60:V60" si="37">($F$46*(1+$G$46)*L46)+($F$47*(1+$G$47)*L47)+($F$48*(1+$G$48)*L48)+($F$49*(1+$G$49)*L49)+($F$50*(1+$G$50)*L50)+($F$51*(1+$G$51)*L51)+($F$52*(1+$G$52)*L52)+($F$53*(1+$G$53)*L53)+($F$54*(1+$G$54)*L54)+($F$55*(1+$G$55)*L55)+($F$56*(1+$G$56)*L56)+($F$57*(1+$G$57)*L57)</f>
        <v>0</v>
      </c>
      <c r="M60" s="293">
        <f t="shared" si="37"/>
        <v>0</v>
      </c>
      <c r="N60" s="293">
        <f t="shared" si="37"/>
        <v>0</v>
      </c>
      <c r="O60" s="293">
        <f t="shared" si="37"/>
        <v>0</v>
      </c>
      <c r="P60" s="293">
        <f t="shared" si="37"/>
        <v>0</v>
      </c>
      <c r="Q60" s="293">
        <f t="shared" si="37"/>
        <v>0</v>
      </c>
      <c r="R60" s="293">
        <f t="shared" si="37"/>
        <v>0</v>
      </c>
      <c r="S60" s="293">
        <f t="shared" si="37"/>
        <v>0</v>
      </c>
      <c r="T60" s="293">
        <f t="shared" si="37"/>
        <v>0</v>
      </c>
      <c r="U60" s="293">
        <f t="shared" si="37"/>
        <v>0</v>
      </c>
      <c r="V60" s="293">
        <f t="shared" si="37"/>
        <v>0</v>
      </c>
      <c r="W60" s="294">
        <f t="shared" si="34"/>
        <v>0</v>
      </c>
      <c r="X60" s="290"/>
      <c r="Y60" s="290"/>
      <c r="Z60" s="290"/>
      <c r="AA60" s="290"/>
      <c r="AB60" s="290"/>
      <c r="AC60" s="290"/>
      <c r="AD60" s="290"/>
      <c r="AE60" s="290"/>
      <c r="AF60" s="290"/>
      <c r="AG60" s="290"/>
      <c r="AH60" s="290"/>
      <c r="AI60" s="290"/>
      <c r="AJ60" s="290"/>
      <c r="AK60" s="290"/>
      <c r="AL60" s="290"/>
      <c r="AM60" s="290"/>
      <c r="AN60" s="290"/>
      <c r="AO60" s="290"/>
      <c r="AP60" s="290"/>
      <c r="AQ60" s="290"/>
      <c r="AR60" s="290"/>
      <c r="AS60" s="290"/>
      <c r="AT60" s="290"/>
      <c r="AU60" s="290"/>
      <c r="AV60" s="290"/>
      <c r="AW60" s="290"/>
      <c r="AX60" s="290"/>
      <c r="AY60" s="290"/>
      <c r="AZ60" s="290"/>
      <c r="BA60" s="290"/>
      <c r="BB60" s="290"/>
      <c r="BC60" s="290"/>
      <c r="BD60" s="290"/>
      <c r="BE60" s="290"/>
      <c r="BF60" s="290"/>
      <c r="BG60" s="290"/>
      <c r="BH60" s="290"/>
      <c r="BI60" s="290"/>
      <c r="BJ60" s="290"/>
      <c r="BK60" s="290"/>
      <c r="BL60" s="290"/>
      <c r="BM60" s="290"/>
      <c r="BN60" s="290"/>
      <c r="BO60" s="290"/>
      <c r="BP60" s="290"/>
      <c r="BQ60" s="290"/>
      <c r="BR60" s="290"/>
      <c r="BS60" s="290"/>
      <c r="BT60" s="290"/>
      <c r="BU60" s="290"/>
      <c r="BV60" s="290"/>
      <c r="BW60" s="290"/>
      <c r="BX60" s="290"/>
      <c r="BY60" s="290"/>
      <c r="BZ60" s="290"/>
      <c r="CA60" s="290"/>
      <c r="CB60" s="290"/>
      <c r="CC60" s="290"/>
    </row>
    <row r="61" spans="1:81" s="298" customFormat="1" ht="15" customHeight="1">
      <c r="A61" s="290"/>
      <c r="B61" s="365"/>
      <c r="C61" s="404"/>
      <c r="D61" s="404"/>
      <c r="E61" s="289"/>
      <c r="F61" s="290"/>
      <c r="G61" s="290"/>
      <c r="H61" s="290"/>
      <c r="I61" s="391" t="s">
        <v>37</v>
      </c>
      <c r="J61" s="391"/>
      <c r="K61" s="296">
        <f>($C$46*(1+$D$46)*K46)+($C$47*(1+$D$47)*K47)+($C$48*(1+$D$48)*K48)+($C$49*(1+$D$49)*K49)+($C$50*(1+$D$50)*K50)+($C$51*(1+$D$51)*K51)+($C$52*(1+$D$52)*K52)+($C$53*(1+$D$53)*K53)+($C$54*(1+$D$54)*K54)+($C$55*(1+$D$55)*K55)+($C$56*(1+$D$56)*K56)+($C$57*(1+$D$57)*K57)</f>
        <v>0</v>
      </c>
      <c r="L61" s="366">
        <f t="shared" ref="L61:V61" si="38">($C$46*(1+$D$46)*L46)+($C$47*(1+$D$47)*L47)+($C$48*(1+$D$48)*L48)+($C$49*(1+$D$49)*L49)+($C$50*(1+$D$50)*L50)+($C$51*(1+$D$51)*L51)+($C$52*(1+$D$52)*L52)+($C$53*(1+$D$53)*L53)+($C$54*(1+$D$54)*L54)+($C$55*(1+$D$55)*L55)+($C$56*(1+$D$56)*L56)+($C$57*(1+$D$57)*L57)</f>
        <v>0</v>
      </c>
      <c r="M61" s="366">
        <f t="shared" si="38"/>
        <v>0</v>
      </c>
      <c r="N61" s="366">
        <f t="shared" si="38"/>
        <v>0</v>
      </c>
      <c r="O61" s="366">
        <f t="shared" si="38"/>
        <v>0</v>
      </c>
      <c r="P61" s="366">
        <f t="shared" si="38"/>
        <v>0</v>
      </c>
      <c r="Q61" s="366">
        <f t="shared" si="38"/>
        <v>0</v>
      </c>
      <c r="R61" s="366">
        <f t="shared" si="38"/>
        <v>0</v>
      </c>
      <c r="S61" s="366">
        <f t="shared" si="38"/>
        <v>0</v>
      </c>
      <c r="T61" s="366">
        <f t="shared" si="38"/>
        <v>0</v>
      </c>
      <c r="U61" s="366">
        <f t="shared" si="38"/>
        <v>0</v>
      </c>
      <c r="V61" s="366">
        <f t="shared" si="38"/>
        <v>0</v>
      </c>
      <c r="W61" s="297">
        <f>SUM(I61:V61)</f>
        <v>0</v>
      </c>
      <c r="X61" s="290"/>
      <c r="Y61" s="290"/>
      <c r="Z61" s="290"/>
      <c r="AA61" s="290"/>
      <c r="AB61" s="290"/>
      <c r="AC61" s="290"/>
      <c r="AD61" s="290"/>
      <c r="AE61" s="290"/>
      <c r="AF61" s="290"/>
      <c r="AG61" s="290"/>
      <c r="AH61" s="290"/>
      <c r="AI61" s="290"/>
      <c r="AJ61" s="290"/>
      <c r="AK61" s="290"/>
      <c r="AL61" s="290"/>
      <c r="AM61" s="290"/>
      <c r="AN61" s="290"/>
      <c r="AO61" s="290"/>
      <c r="AP61" s="290"/>
      <c r="AQ61" s="290"/>
      <c r="AR61" s="290"/>
      <c r="AS61" s="290"/>
      <c r="AT61" s="290"/>
      <c r="AU61" s="290"/>
      <c r="AV61" s="290"/>
      <c r="AW61" s="290"/>
      <c r="AX61" s="290"/>
      <c r="AY61" s="290"/>
      <c r="AZ61" s="290"/>
      <c r="BA61" s="290"/>
      <c r="BB61" s="290"/>
      <c r="BC61" s="290"/>
      <c r="BD61" s="290"/>
      <c r="BE61" s="290"/>
      <c r="BF61" s="290"/>
      <c r="BG61" s="290"/>
      <c r="BH61" s="290"/>
      <c r="BI61" s="290"/>
      <c r="BJ61" s="290"/>
      <c r="BK61" s="290"/>
      <c r="BL61" s="290"/>
      <c r="BM61" s="290"/>
      <c r="BN61" s="290"/>
      <c r="BO61" s="290"/>
      <c r="BP61" s="290"/>
      <c r="BQ61" s="290"/>
      <c r="BR61" s="290"/>
      <c r="BS61" s="290"/>
      <c r="BT61" s="290"/>
      <c r="BU61" s="290"/>
      <c r="BV61" s="290"/>
      <c r="BW61" s="290"/>
      <c r="BX61" s="290"/>
      <c r="BY61" s="290"/>
      <c r="BZ61" s="290"/>
      <c r="CA61" s="290"/>
      <c r="CB61" s="290"/>
      <c r="CC61" s="290"/>
    </row>
    <row r="62" spans="1:81" s="7" customFormat="1">
      <c r="N62" s="267"/>
      <c r="W62" s="289"/>
      <c r="AA62" s="267" t="s">
        <v>152</v>
      </c>
      <c r="AB62" s="7">
        <f>SUM(AB23:AB61)</f>
        <v>0</v>
      </c>
    </row>
    <row r="63" spans="1:81" s="7" customFormat="1">
      <c r="N63" s="267"/>
      <c r="W63" s="289"/>
      <c r="AA63" s="267"/>
    </row>
    <row r="64" spans="1:81" s="7" customFormat="1" ht="12" customHeight="1">
      <c r="B64" s="12"/>
      <c r="C64" s="13"/>
      <c r="D64" s="13"/>
      <c r="E64" s="13"/>
      <c r="N64" s="267"/>
      <c r="W64" s="289"/>
      <c r="AA64" s="267"/>
    </row>
    <row r="65" spans="2:27" s="7" customFormat="1" ht="12" customHeight="1">
      <c r="B65" s="12"/>
      <c r="C65" s="13"/>
      <c r="D65" s="13"/>
      <c r="E65" s="13"/>
      <c r="N65" s="267"/>
      <c r="W65" s="289"/>
      <c r="AA65" s="267"/>
    </row>
    <row r="66" spans="2:27" s="7" customFormat="1" ht="12" customHeight="1">
      <c r="B66" s="12"/>
      <c r="C66" s="13"/>
      <c r="D66" s="13"/>
      <c r="E66" s="13"/>
      <c r="N66" s="267"/>
      <c r="W66" s="289"/>
      <c r="AA66" s="267"/>
    </row>
    <row r="67" spans="2:27" s="7" customFormat="1" ht="12" customHeight="1">
      <c r="B67" s="12"/>
      <c r="C67" s="13"/>
      <c r="D67" s="13"/>
      <c r="E67" s="13"/>
      <c r="N67" s="267"/>
      <c r="W67" s="289"/>
      <c r="AA67" s="267"/>
    </row>
    <row r="68" spans="2:27" s="7" customFormat="1" ht="12" customHeight="1">
      <c r="B68" s="12"/>
      <c r="C68" s="13"/>
      <c r="D68" s="13"/>
      <c r="E68" s="13"/>
      <c r="N68" s="267"/>
      <c r="W68" s="289"/>
      <c r="AA68" s="267"/>
    </row>
    <row r="69" spans="2:27" s="7" customFormat="1" ht="12" customHeight="1">
      <c r="B69" s="12"/>
      <c r="C69" s="13"/>
      <c r="D69" s="13"/>
      <c r="E69" s="13"/>
      <c r="N69" s="267"/>
      <c r="W69" s="289"/>
      <c r="AA69" s="267"/>
    </row>
    <row r="70" spans="2:27" s="7" customFormat="1" ht="12" customHeight="1">
      <c r="B70" s="12"/>
      <c r="C70" s="13"/>
      <c r="D70" s="13"/>
      <c r="E70" s="13"/>
      <c r="N70" s="267"/>
      <c r="W70" s="289"/>
      <c r="AA70" s="267"/>
    </row>
    <row r="71" spans="2:27" s="7" customFormat="1" ht="12" customHeight="1">
      <c r="B71" s="12"/>
      <c r="C71" s="13"/>
      <c r="D71" s="13"/>
      <c r="E71" s="13"/>
      <c r="N71" s="267"/>
      <c r="W71" s="289"/>
      <c r="AA71" s="267"/>
    </row>
    <row r="72" spans="2:27" s="7" customFormat="1" ht="12" customHeight="1">
      <c r="B72" s="12"/>
      <c r="N72" s="267"/>
      <c r="W72" s="289"/>
      <c r="AA72" s="267"/>
    </row>
    <row r="73" spans="2:27" s="7" customFormat="1" ht="12" customHeight="1">
      <c r="B73" s="12"/>
      <c r="N73" s="267"/>
      <c r="W73" s="289"/>
      <c r="AA73" s="267"/>
    </row>
    <row r="74" spans="2:27" s="7" customFormat="1" ht="12" customHeight="1">
      <c r="B74" s="12"/>
      <c r="N74" s="267"/>
      <c r="W74" s="289"/>
      <c r="AA74" s="267"/>
    </row>
    <row r="75" spans="2:27" s="7" customFormat="1" ht="12" customHeight="1">
      <c r="B75" s="12"/>
      <c r="N75" s="267"/>
      <c r="W75" s="289"/>
      <c r="AA75" s="267"/>
    </row>
    <row r="76" spans="2:27" s="7" customFormat="1" ht="12" customHeight="1">
      <c r="B76" s="12"/>
      <c r="N76" s="267"/>
      <c r="W76" s="289"/>
      <c r="AA76" s="267"/>
    </row>
    <row r="77" spans="2:27" s="7" customFormat="1" ht="12" customHeight="1">
      <c r="B77" s="12"/>
      <c r="N77" s="267"/>
      <c r="W77" s="289"/>
      <c r="AA77" s="267"/>
    </row>
    <row r="78" spans="2:27" s="7" customFormat="1" ht="12" customHeight="1">
      <c r="B78" s="12"/>
      <c r="N78" s="267"/>
      <c r="W78" s="289"/>
      <c r="AA78" s="267"/>
    </row>
    <row r="79" spans="2:27" s="7" customFormat="1" ht="12" customHeight="1">
      <c r="B79" s="12"/>
      <c r="N79" s="267"/>
      <c r="W79" s="289"/>
      <c r="AA79" s="267"/>
    </row>
    <row r="80" spans="2:27" s="7" customFormat="1" ht="12" customHeight="1">
      <c r="B80" s="12"/>
      <c r="N80" s="267"/>
      <c r="W80" s="289"/>
      <c r="AA80" s="267"/>
    </row>
    <row r="81" spans="2:27" s="7" customFormat="1" ht="12" customHeight="1">
      <c r="B81" s="12"/>
      <c r="N81" s="267"/>
      <c r="W81" s="289"/>
      <c r="AA81" s="267"/>
    </row>
    <row r="82" spans="2:27" s="7" customFormat="1" ht="12" customHeight="1">
      <c r="B82" s="12"/>
      <c r="N82" s="267"/>
      <c r="W82" s="289"/>
      <c r="AA82" s="267"/>
    </row>
    <row r="83" spans="2:27" s="7" customFormat="1">
      <c r="B83" s="12"/>
      <c r="N83" s="267"/>
      <c r="W83" s="289"/>
      <c r="AA83" s="267"/>
    </row>
    <row r="84" spans="2:27" s="7" customFormat="1">
      <c r="B84" s="12"/>
      <c r="W84" s="289"/>
      <c r="AA84" s="267"/>
    </row>
    <row r="85" spans="2:27" s="7" customFormat="1">
      <c r="B85" s="12"/>
      <c r="W85" s="289"/>
      <c r="AA85" s="267"/>
    </row>
    <row r="86" spans="2:27" s="7" customFormat="1">
      <c r="B86" s="12"/>
      <c r="W86" s="289"/>
      <c r="AA86" s="267"/>
    </row>
    <row r="87" spans="2:27" s="7" customFormat="1">
      <c r="B87" s="12"/>
      <c r="N87" s="267"/>
      <c r="W87" s="289"/>
      <c r="AA87" s="267"/>
    </row>
    <row r="88" spans="2:27">
      <c r="C88" s="7"/>
      <c r="D88" s="7"/>
      <c r="E88" s="7"/>
      <c r="F88" s="7"/>
      <c r="G88" s="7"/>
      <c r="H88" s="7"/>
      <c r="I88" s="7"/>
      <c r="J88" s="7"/>
      <c r="W88" s="11"/>
    </row>
    <row r="89" spans="2:27">
      <c r="C89" s="7"/>
      <c r="D89" s="7"/>
      <c r="E89" s="7"/>
      <c r="F89" s="7"/>
      <c r="G89" s="7"/>
      <c r="H89" s="7"/>
      <c r="I89" s="7"/>
      <c r="J89" s="7"/>
      <c r="W89" s="11"/>
    </row>
    <row r="90" spans="2:27">
      <c r="C90" s="7"/>
      <c r="D90" s="7"/>
      <c r="E90" s="7"/>
      <c r="F90" s="7"/>
      <c r="G90" s="7"/>
      <c r="H90" s="7"/>
      <c r="I90" s="7"/>
      <c r="J90" s="7"/>
      <c r="W90" s="11"/>
    </row>
    <row r="91" spans="2:27">
      <c r="C91" s="7"/>
      <c r="D91" s="7"/>
      <c r="E91" s="7"/>
      <c r="F91" s="7"/>
      <c r="G91" s="7"/>
      <c r="H91" s="7"/>
      <c r="I91" s="7"/>
      <c r="J91" s="7"/>
      <c r="W91" s="11"/>
    </row>
    <row r="92" spans="2:27">
      <c r="C92" s="7"/>
      <c r="D92" s="7"/>
      <c r="E92" s="7"/>
      <c r="F92" s="7"/>
      <c r="G92" s="7"/>
      <c r="H92" s="7"/>
      <c r="I92" s="7"/>
      <c r="J92" s="7"/>
      <c r="W92" s="11"/>
    </row>
    <row r="93" spans="2:27">
      <c r="C93" s="7"/>
      <c r="D93" s="7"/>
      <c r="E93" s="7"/>
      <c r="F93" s="7"/>
      <c r="G93" s="7"/>
      <c r="H93" s="7"/>
      <c r="I93" s="7"/>
      <c r="J93" s="7"/>
      <c r="W93" s="11"/>
    </row>
    <row r="94" spans="2:27">
      <c r="C94" s="7"/>
      <c r="D94" s="7"/>
      <c r="E94" s="7"/>
      <c r="F94" s="7"/>
      <c r="G94" s="7"/>
      <c r="H94" s="7"/>
      <c r="I94" s="7"/>
      <c r="J94" s="7"/>
      <c r="W94" s="11"/>
    </row>
    <row r="95" spans="2:27">
      <c r="C95" s="7"/>
      <c r="D95" s="7"/>
      <c r="E95" s="7"/>
      <c r="F95" s="7"/>
      <c r="G95" s="7"/>
      <c r="H95" s="7"/>
      <c r="I95" s="7"/>
      <c r="J95" s="7"/>
      <c r="W95" s="11"/>
    </row>
    <row r="96" spans="2:27">
      <c r="C96" s="7"/>
      <c r="D96" s="7"/>
      <c r="E96" s="7"/>
      <c r="F96" s="7"/>
      <c r="G96" s="7"/>
      <c r="H96" s="7"/>
      <c r="I96" s="7"/>
      <c r="J96" s="7"/>
      <c r="W96" s="11"/>
    </row>
    <row r="97" spans="3:23">
      <c r="C97" s="7"/>
      <c r="D97" s="7"/>
      <c r="E97" s="7"/>
      <c r="F97" s="7"/>
      <c r="G97" s="7"/>
      <c r="H97" s="7"/>
      <c r="I97" s="7"/>
      <c r="J97" s="7"/>
      <c r="W97" s="11"/>
    </row>
    <row r="98" spans="3:23">
      <c r="C98" s="7"/>
      <c r="D98" s="7"/>
      <c r="E98" s="7"/>
      <c r="F98" s="7"/>
      <c r="G98" s="7"/>
      <c r="H98" s="7"/>
      <c r="I98" s="7"/>
      <c r="J98" s="7"/>
      <c r="W98" s="11"/>
    </row>
    <row r="99" spans="3:23">
      <c r="C99" s="7"/>
      <c r="D99" s="7"/>
      <c r="E99" s="7"/>
      <c r="F99" s="7"/>
      <c r="G99" s="7"/>
      <c r="H99" s="7"/>
      <c r="I99" s="7"/>
      <c r="J99" s="7"/>
      <c r="W99" s="11"/>
    </row>
    <row r="100" spans="3:23">
      <c r="C100" s="7"/>
      <c r="D100" s="7"/>
      <c r="E100" s="7"/>
      <c r="F100" s="7"/>
      <c r="G100" s="7"/>
      <c r="H100" s="7"/>
      <c r="I100" s="7"/>
      <c r="J100" s="7"/>
      <c r="W100" s="11"/>
    </row>
    <row r="101" spans="3:23">
      <c r="C101" s="7"/>
      <c r="D101" s="7"/>
      <c r="E101" s="7"/>
      <c r="F101" s="7"/>
      <c r="G101" s="7"/>
      <c r="H101" s="7"/>
      <c r="I101" s="7"/>
      <c r="J101" s="7"/>
      <c r="W101" s="11"/>
    </row>
    <row r="102" spans="3:23">
      <c r="C102" s="7"/>
      <c r="D102" s="7"/>
      <c r="E102" s="7"/>
      <c r="F102" s="7"/>
      <c r="G102" s="7"/>
      <c r="H102" s="7"/>
      <c r="I102" s="7"/>
      <c r="J102" s="7"/>
      <c r="W102" s="11"/>
    </row>
    <row r="103" spans="3:23">
      <c r="C103" s="7"/>
      <c r="D103" s="7"/>
      <c r="E103" s="7"/>
      <c r="F103" s="7"/>
      <c r="G103" s="7"/>
      <c r="H103" s="7"/>
      <c r="I103" s="7"/>
      <c r="J103" s="7"/>
      <c r="W103" s="11"/>
    </row>
    <row r="104" spans="3:23">
      <c r="C104" s="7"/>
      <c r="D104" s="7"/>
      <c r="E104" s="7"/>
      <c r="F104" s="7"/>
      <c r="G104" s="7"/>
      <c r="H104" s="7"/>
      <c r="I104" s="7"/>
      <c r="J104" s="7"/>
      <c r="W104" s="11"/>
    </row>
    <row r="105" spans="3:23">
      <c r="C105" s="7"/>
      <c r="D105" s="7"/>
      <c r="E105" s="7"/>
      <c r="F105" s="7"/>
      <c r="G105" s="7"/>
      <c r="H105" s="7"/>
      <c r="I105" s="7"/>
      <c r="J105" s="7"/>
      <c r="W105" s="11"/>
    </row>
    <row r="106" spans="3:23">
      <c r="C106" s="7"/>
      <c r="D106" s="7"/>
      <c r="E106" s="7"/>
      <c r="F106" s="7"/>
      <c r="G106" s="7"/>
      <c r="H106" s="7"/>
      <c r="I106" s="7"/>
      <c r="J106" s="7"/>
    </row>
    <row r="107" spans="3:23">
      <c r="C107" s="7"/>
      <c r="D107" s="7"/>
      <c r="E107" s="7"/>
      <c r="F107" s="7"/>
      <c r="G107" s="7"/>
      <c r="H107" s="7"/>
      <c r="I107" s="7"/>
      <c r="J107" s="7"/>
    </row>
    <row r="108" spans="3:23">
      <c r="C108" s="7"/>
      <c r="D108" s="7"/>
      <c r="E108" s="7"/>
      <c r="F108" s="7"/>
      <c r="G108" s="7"/>
      <c r="H108" s="7"/>
      <c r="I108" s="7"/>
      <c r="J108" s="7"/>
    </row>
    <row r="109" spans="3:23">
      <c r="C109" s="7"/>
      <c r="D109" s="7"/>
      <c r="E109" s="7"/>
      <c r="F109" s="7"/>
      <c r="G109" s="7"/>
      <c r="H109" s="7"/>
      <c r="I109" s="7"/>
      <c r="J109" s="7"/>
    </row>
    <row r="110" spans="3:23">
      <c r="C110" s="7"/>
      <c r="D110" s="7"/>
      <c r="E110" s="7"/>
      <c r="F110" s="7"/>
      <c r="G110" s="7"/>
      <c r="H110" s="7"/>
      <c r="I110" s="7"/>
      <c r="J110" s="7"/>
    </row>
    <row r="111" spans="3:23">
      <c r="C111" s="7"/>
      <c r="D111" s="7"/>
      <c r="E111" s="7"/>
      <c r="F111" s="7"/>
      <c r="G111" s="7"/>
      <c r="H111" s="7"/>
      <c r="I111" s="7"/>
      <c r="J111" s="7"/>
    </row>
    <row r="112" spans="3:23">
      <c r="C112" s="7"/>
      <c r="D112" s="7"/>
      <c r="E112" s="7"/>
      <c r="F112" s="7"/>
      <c r="G112" s="7"/>
      <c r="H112" s="7"/>
      <c r="I112" s="7"/>
      <c r="J112" s="7"/>
    </row>
    <row r="113" spans="3:10">
      <c r="C113" s="7"/>
      <c r="D113" s="7"/>
      <c r="E113" s="7"/>
      <c r="F113" s="7"/>
      <c r="G113" s="7"/>
      <c r="H113" s="7"/>
      <c r="I113" s="7"/>
      <c r="J113" s="7"/>
    </row>
    <row r="114" spans="3:10">
      <c r="C114" s="7"/>
      <c r="D114" s="7"/>
      <c r="E114" s="7"/>
      <c r="F114" s="7"/>
      <c r="G114" s="7"/>
      <c r="H114" s="7"/>
      <c r="I114" s="7"/>
      <c r="J114" s="7"/>
    </row>
    <row r="115" spans="3:10">
      <c r="C115" s="7"/>
      <c r="D115" s="7"/>
      <c r="E115" s="7"/>
      <c r="F115" s="7"/>
      <c r="G115" s="7"/>
      <c r="H115" s="7"/>
      <c r="I115" s="7"/>
      <c r="J115" s="7"/>
    </row>
    <row r="116" spans="3:10">
      <c r="C116" s="7"/>
      <c r="D116" s="7"/>
      <c r="E116" s="7"/>
      <c r="F116" s="7"/>
      <c r="G116" s="7"/>
      <c r="H116" s="7"/>
      <c r="I116" s="7"/>
      <c r="J116" s="7"/>
    </row>
    <row r="117" spans="3:10">
      <c r="C117" s="7"/>
      <c r="D117" s="7"/>
      <c r="E117" s="7"/>
      <c r="F117" s="7"/>
      <c r="G117" s="7"/>
      <c r="H117" s="7"/>
      <c r="I117" s="7"/>
      <c r="J117" s="7"/>
    </row>
    <row r="118" spans="3:10">
      <c r="C118" s="7"/>
      <c r="D118" s="7"/>
      <c r="E118" s="7"/>
      <c r="F118" s="7"/>
      <c r="G118" s="7"/>
      <c r="H118" s="7"/>
      <c r="I118" s="7"/>
      <c r="J118" s="7"/>
    </row>
    <row r="119" spans="3:10">
      <c r="C119" s="7"/>
      <c r="D119" s="7"/>
      <c r="E119" s="7"/>
      <c r="F119" s="7"/>
      <c r="G119" s="7"/>
      <c r="H119" s="7"/>
      <c r="I119" s="7"/>
      <c r="J119" s="7"/>
    </row>
    <row r="120" spans="3:10">
      <c r="C120" s="7"/>
      <c r="D120" s="7"/>
      <c r="E120" s="7"/>
      <c r="F120" s="7"/>
      <c r="G120" s="7"/>
      <c r="H120" s="7"/>
      <c r="I120" s="7"/>
      <c r="J120" s="7"/>
    </row>
    <row r="121" spans="3:10">
      <c r="C121" s="7"/>
      <c r="D121" s="7"/>
      <c r="E121" s="7"/>
      <c r="F121" s="7"/>
      <c r="G121" s="7"/>
      <c r="H121" s="7"/>
      <c r="I121" s="7"/>
      <c r="J121" s="7"/>
    </row>
    <row r="122" spans="3:10">
      <c r="C122" s="7"/>
      <c r="D122" s="7"/>
      <c r="E122" s="7"/>
      <c r="F122" s="7"/>
      <c r="G122" s="7"/>
      <c r="H122" s="7"/>
      <c r="I122" s="7"/>
      <c r="J122" s="7"/>
    </row>
    <row r="123" spans="3:10">
      <c r="C123" s="7"/>
      <c r="D123" s="7"/>
      <c r="E123" s="7"/>
      <c r="F123" s="7"/>
      <c r="G123" s="7"/>
      <c r="H123" s="7"/>
      <c r="I123" s="7"/>
      <c r="J123" s="7"/>
    </row>
    <row r="124" spans="3:10">
      <c r="C124" s="7"/>
      <c r="D124" s="7"/>
      <c r="E124" s="7"/>
      <c r="F124" s="7"/>
      <c r="G124" s="7"/>
      <c r="H124" s="7"/>
      <c r="I124" s="7"/>
      <c r="J124" s="7"/>
    </row>
    <row r="125" spans="3:10">
      <c r="C125" s="7"/>
      <c r="D125" s="7"/>
      <c r="E125" s="7"/>
      <c r="F125" s="7"/>
      <c r="G125" s="7"/>
      <c r="H125" s="7"/>
      <c r="I125" s="7"/>
      <c r="J125" s="7"/>
    </row>
    <row r="126" spans="3:10">
      <c r="C126" s="7"/>
      <c r="D126" s="7"/>
      <c r="E126" s="7"/>
      <c r="F126" s="7"/>
      <c r="G126" s="7"/>
      <c r="H126" s="7"/>
      <c r="I126" s="7"/>
      <c r="J126" s="7"/>
    </row>
    <row r="127" spans="3:10">
      <c r="C127" s="7"/>
      <c r="D127" s="7"/>
      <c r="E127" s="7"/>
      <c r="F127" s="7"/>
      <c r="G127" s="7"/>
      <c r="H127" s="7"/>
      <c r="I127" s="7"/>
      <c r="J127" s="7"/>
    </row>
    <row r="128" spans="3:10">
      <c r="C128" s="7"/>
      <c r="D128" s="7"/>
      <c r="E128" s="7"/>
      <c r="F128" s="7"/>
      <c r="G128" s="7"/>
      <c r="H128" s="7"/>
      <c r="I128" s="7"/>
      <c r="J128" s="7"/>
    </row>
    <row r="129" spans="3:10">
      <c r="C129" s="7"/>
      <c r="D129" s="7"/>
      <c r="E129" s="7"/>
      <c r="F129" s="7"/>
      <c r="G129" s="7"/>
      <c r="H129" s="7"/>
      <c r="I129" s="7"/>
      <c r="J129" s="7"/>
    </row>
    <row r="130" spans="3:10">
      <c r="C130" s="7"/>
      <c r="D130" s="7"/>
      <c r="E130" s="7"/>
      <c r="F130" s="7"/>
      <c r="G130" s="7"/>
      <c r="H130" s="7"/>
      <c r="I130" s="7"/>
      <c r="J130" s="7"/>
    </row>
    <row r="131" spans="3:10">
      <c r="C131" s="7"/>
      <c r="D131" s="7"/>
      <c r="E131" s="7"/>
      <c r="F131" s="7"/>
      <c r="G131" s="7"/>
      <c r="H131" s="7"/>
      <c r="I131" s="7"/>
      <c r="J131" s="7"/>
    </row>
    <row r="132" spans="3:10">
      <c r="C132" s="7"/>
      <c r="D132" s="7"/>
      <c r="E132" s="7"/>
      <c r="F132" s="7"/>
      <c r="G132" s="7"/>
      <c r="H132" s="7"/>
      <c r="I132" s="7"/>
      <c r="J132" s="7"/>
    </row>
    <row r="133" spans="3:10">
      <c r="C133" s="7"/>
      <c r="D133" s="7"/>
      <c r="E133" s="7"/>
      <c r="F133" s="7"/>
      <c r="G133" s="7"/>
      <c r="H133" s="7"/>
      <c r="I133" s="7"/>
      <c r="J133" s="7"/>
    </row>
    <row r="134" spans="3:10">
      <c r="C134" s="7"/>
      <c r="D134" s="7"/>
      <c r="E134" s="7"/>
      <c r="F134" s="7"/>
      <c r="G134" s="7"/>
      <c r="H134" s="7"/>
      <c r="I134" s="7"/>
      <c r="J134" s="7"/>
    </row>
    <row r="135" spans="3:10">
      <c r="C135" s="7"/>
      <c r="D135" s="7"/>
      <c r="E135" s="7"/>
      <c r="F135" s="7"/>
      <c r="G135" s="7"/>
      <c r="H135" s="7"/>
      <c r="I135" s="7"/>
      <c r="J135" s="7"/>
    </row>
    <row r="136" spans="3:10">
      <c r="C136" s="7"/>
      <c r="D136" s="7"/>
      <c r="E136" s="7"/>
      <c r="F136" s="7"/>
      <c r="G136" s="7"/>
      <c r="H136" s="7"/>
      <c r="I136" s="7"/>
      <c r="J136" s="7"/>
    </row>
    <row r="137" spans="3:10">
      <c r="C137" s="7"/>
      <c r="D137" s="7"/>
      <c r="E137" s="7"/>
      <c r="F137" s="7"/>
      <c r="G137" s="7"/>
      <c r="H137" s="7"/>
      <c r="I137" s="7"/>
      <c r="J137" s="7"/>
    </row>
    <row r="138" spans="3:10">
      <c r="C138" s="7"/>
      <c r="D138" s="7"/>
      <c r="E138" s="7"/>
      <c r="F138" s="7"/>
      <c r="G138" s="7"/>
      <c r="H138" s="7"/>
      <c r="I138" s="7"/>
      <c r="J138" s="7"/>
    </row>
    <row r="139" spans="3:10">
      <c r="C139" s="7"/>
      <c r="D139" s="7"/>
      <c r="E139" s="7"/>
      <c r="F139" s="7"/>
      <c r="G139" s="7"/>
      <c r="H139" s="7"/>
      <c r="I139" s="7"/>
      <c r="J139" s="7"/>
    </row>
    <row r="140" spans="3:10">
      <c r="C140" s="7"/>
      <c r="D140" s="7"/>
      <c r="E140" s="7"/>
      <c r="F140" s="7"/>
      <c r="G140" s="7"/>
      <c r="H140" s="7"/>
      <c r="I140" s="7"/>
      <c r="J140" s="7"/>
    </row>
    <row r="141" spans="3:10">
      <c r="C141" s="7"/>
      <c r="D141" s="7"/>
      <c r="E141" s="7"/>
      <c r="F141" s="7"/>
      <c r="G141" s="7"/>
      <c r="H141" s="7"/>
      <c r="I141" s="7"/>
      <c r="J141" s="7"/>
    </row>
    <row r="142" spans="3:10">
      <c r="C142" s="7"/>
      <c r="D142" s="7"/>
      <c r="E142" s="7"/>
      <c r="F142" s="7"/>
      <c r="G142" s="7"/>
      <c r="H142" s="7"/>
      <c r="I142" s="7"/>
      <c r="J142" s="7"/>
    </row>
    <row r="143" spans="3:10">
      <c r="C143" s="7"/>
      <c r="D143" s="7"/>
      <c r="E143" s="7"/>
      <c r="F143" s="7"/>
      <c r="G143" s="7"/>
      <c r="H143" s="7"/>
      <c r="I143" s="7"/>
      <c r="J143" s="7"/>
    </row>
    <row r="144" spans="3:10">
      <c r="C144" s="7"/>
      <c r="D144" s="7"/>
      <c r="E144" s="7"/>
      <c r="F144" s="7"/>
      <c r="G144" s="7"/>
      <c r="H144" s="7"/>
      <c r="I144" s="7"/>
      <c r="J144" s="7"/>
    </row>
    <row r="145" spans="3:10">
      <c r="C145" s="7"/>
      <c r="D145" s="7"/>
      <c r="E145" s="7"/>
      <c r="F145" s="7"/>
      <c r="G145" s="7"/>
      <c r="H145" s="7"/>
      <c r="I145" s="7"/>
      <c r="J145" s="7"/>
    </row>
    <row r="146" spans="3:10">
      <c r="C146" s="7"/>
      <c r="D146" s="7"/>
      <c r="E146" s="7"/>
      <c r="F146" s="7"/>
      <c r="G146" s="7"/>
      <c r="H146" s="7"/>
      <c r="I146" s="7"/>
      <c r="J146" s="7"/>
    </row>
    <row r="147" spans="3:10">
      <c r="C147" s="7"/>
      <c r="D147" s="7"/>
      <c r="E147" s="7"/>
      <c r="F147" s="7"/>
      <c r="G147" s="7"/>
      <c r="H147" s="7"/>
      <c r="I147" s="7"/>
      <c r="J147" s="7"/>
    </row>
    <row r="148" spans="3:10">
      <c r="C148" s="7"/>
      <c r="D148" s="7"/>
      <c r="E148" s="7"/>
      <c r="F148" s="7"/>
      <c r="G148" s="7"/>
      <c r="H148" s="7"/>
      <c r="I148" s="7"/>
      <c r="J148" s="7"/>
    </row>
    <row r="149" spans="3:10">
      <c r="C149" s="7"/>
      <c r="D149" s="7"/>
      <c r="E149" s="7"/>
      <c r="F149" s="7"/>
      <c r="G149" s="7"/>
      <c r="H149" s="7"/>
      <c r="I149" s="7"/>
      <c r="J149" s="7"/>
    </row>
    <row r="150" spans="3:10">
      <c r="C150" s="7"/>
      <c r="D150" s="7"/>
      <c r="E150" s="7"/>
      <c r="F150" s="7"/>
      <c r="G150" s="7"/>
      <c r="H150" s="7"/>
      <c r="I150" s="7"/>
      <c r="J150" s="7"/>
    </row>
    <row r="151" spans="3:10">
      <c r="C151" s="7"/>
      <c r="D151" s="7"/>
      <c r="E151" s="7"/>
      <c r="F151" s="7"/>
      <c r="G151" s="7"/>
      <c r="H151" s="7"/>
      <c r="I151" s="7"/>
      <c r="J151" s="7"/>
    </row>
    <row r="152" spans="3:10">
      <c r="C152" s="7"/>
      <c r="D152" s="7"/>
      <c r="E152" s="7"/>
      <c r="F152" s="7"/>
      <c r="G152" s="7"/>
      <c r="H152" s="7"/>
      <c r="I152" s="7"/>
      <c r="J152" s="7"/>
    </row>
    <row r="153" spans="3:10">
      <c r="C153" s="301"/>
      <c r="D153" s="7"/>
      <c r="E153" s="7"/>
      <c r="F153" s="7"/>
      <c r="G153" s="7"/>
      <c r="H153" s="7"/>
      <c r="I153" s="7"/>
      <c r="J153" s="7"/>
    </row>
    <row r="154" spans="3:10">
      <c r="C154" s="301"/>
      <c r="D154" s="7"/>
      <c r="E154" s="7"/>
      <c r="F154" s="7"/>
      <c r="G154" s="7"/>
      <c r="H154" s="7"/>
      <c r="I154" s="7"/>
      <c r="J154" s="7"/>
    </row>
    <row r="155" spans="3:10">
      <c r="C155" s="301"/>
      <c r="D155" s="7"/>
      <c r="E155" s="7"/>
      <c r="F155" s="7"/>
      <c r="G155" s="7"/>
      <c r="H155" s="7"/>
      <c r="I155" s="7"/>
      <c r="J155" s="7"/>
    </row>
    <row r="156" spans="3:10">
      <c r="C156" s="301"/>
      <c r="D156" s="7"/>
      <c r="E156" s="7"/>
      <c r="F156" s="7"/>
      <c r="G156" s="7"/>
      <c r="H156" s="7"/>
      <c r="I156" s="7"/>
      <c r="J156" s="7"/>
    </row>
    <row r="157" spans="3:10">
      <c r="C157" s="301"/>
      <c r="D157" s="7"/>
      <c r="E157" s="7"/>
      <c r="F157" s="7"/>
      <c r="G157" s="7"/>
      <c r="H157" s="7"/>
      <c r="I157" s="7"/>
      <c r="J157" s="7"/>
    </row>
    <row r="158" spans="3:10">
      <c r="C158" s="301"/>
      <c r="D158" s="7"/>
      <c r="E158" s="7"/>
      <c r="F158" s="7"/>
      <c r="G158" s="7"/>
      <c r="H158" s="7"/>
      <c r="I158" s="7"/>
      <c r="J158" s="7"/>
    </row>
    <row r="159" spans="3:10">
      <c r="C159" s="301"/>
      <c r="D159" s="7"/>
      <c r="E159" s="7"/>
      <c r="F159" s="7"/>
      <c r="G159" s="7"/>
      <c r="H159" s="7"/>
      <c r="I159" s="7"/>
      <c r="J159" s="7"/>
    </row>
    <row r="160" spans="3:10">
      <c r="C160" s="301"/>
      <c r="D160" s="7"/>
      <c r="E160" s="7"/>
      <c r="F160" s="7"/>
      <c r="G160" s="7"/>
      <c r="H160" s="7"/>
      <c r="I160" s="7"/>
      <c r="J160" s="7"/>
    </row>
    <row r="161" spans="3:10">
      <c r="C161" s="301"/>
      <c r="D161" s="7"/>
      <c r="E161" s="7"/>
      <c r="F161" s="7"/>
      <c r="G161" s="7"/>
      <c r="H161" s="7"/>
      <c r="I161" s="7"/>
      <c r="J161" s="7"/>
    </row>
    <row r="162" spans="3:10">
      <c r="C162" s="301"/>
      <c r="D162" s="7"/>
      <c r="E162" s="7"/>
      <c r="F162" s="7"/>
      <c r="G162" s="7"/>
      <c r="H162" s="7"/>
      <c r="I162" s="7"/>
      <c r="J162" s="7"/>
    </row>
    <row r="163" spans="3:10">
      <c r="C163" s="301"/>
      <c r="D163" s="7"/>
      <c r="E163" s="7"/>
      <c r="F163" s="7"/>
      <c r="G163" s="7"/>
      <c r="H163" s="7"/>
      <c r="I163" s="7"/>
      <c r="J163" s="7"/>
    </row>
    <row r="164" spans="3:10">
      <c r="C164" s="301"/>
      <c r="D164" s="7"/>
      <c r="E164" s="7"/>
      <c r="F164" s="7"/>
      <c r="G164" s="7"/>
      <c r="H164" s="7"/>
      <c r="I164" s="7"/>
      <c r="J164" s="7"/>
    </row>
    <row r="165" spans="3:10">
      <c r="C165" s="301"/>
      <c r="D165" s="7"/>
      <c r="E165" s="7"/>
      <c r="F165" s="7"/>
      <c r="G165" s="7"/>
      <c r="H165" s="7"/>
      <c r="I165" s="7"/>
      <c r="J165" s="7"/>
    </row>
    <row r="166" spans="3:10">
      <c r="C166" s="301"/>
      <c r="D166" s="7"/>
      <c r="E166" s="7"/>
      <c r="F166" s="7"/>
      <c r="G166" s="7"/>
      <c r="H166" s="7"/>
      <c r="I166" s="7"/>
      <c r="J166" s="7"/>
    </row>
    <row r="167" spans="3:10">
      <c r="C167" s="301"/>
      <c r="D167" s="7"/>
      <c r="E167" s="7"/>
      <c r="F167" s="7"/>
      <c r="G167" s="7"/>
      <c r="H167" s="7"/>
      <c r="I167" s="7"/>
      <c r="J167" s="7"/>
    </row>
    <row r="168" spans="3:10">
      <c r="C168" s="301"/>
      <c r="D168" s="7"/>
      <c r="E168" s="7"/>
      <c r="F168" s="7"/>
      <c r="G168" s="7"/>
      <c r="H168" s="7"/>
      <c r="I168" s="7"/>
      <c r="J168" s="7"/>
    </row>
    <row r="169" spans="3:10">
      <c r="C169" s="301"/>
      <c r="D169" s="7"/>
      <c r="E169" s="7"/>
      <c r="F169" s="7"/>
      <c r="G169" s="7"/>
      <c r="H169" s="7"/>
      <c r="I169" s="7"/>
      <c r="J169" s="7"/>
    </row>
    <row r="170" spans="3:10">
      <c r="C170" s="301"/>
      <c r="D170" s="7"/>
      <c r="E170" s="7"/>
      <c r="F170" s="7"/>
      <c r="G170" s="7"/>
      <c r="H170" s="7"/>
      <c r="I170" s="7"/>
      <c r="J170" s="7"/>
    </row>
    <row r="171" spans="3:10">
      <c r="C171" s="301"/>
      <c r="D171" s="7"/>
      <c r="E171" s="7"/>
      <c r="F171" s="7"/>
      <c r="G171" s="7"/>
      <c r="H171" s="7"/>
      <c r="I171" s="7"/>
      <c r="J171" s="7"/>
    </row>
    <row r="172" spans="3:10">
      <c r="C172" s="301"/>
      <c r="D172" s="7"/>
      <c r="E172" s="7"/>
      <c r="F172" s="7"/>
      <c r="G172" s="7"/>
      <c r="H172" s="7"/>
      <c r="I172" s="7"/>
      <c r="J172" s="7"/>
    </row>
    <row r="173" spans="3:10">
      <c r="C173" s="301"/>
      <c r="D173" s="7"/>
      <c r="E173" s="7"/>
      <c r="F173" s="7"/>
      <c r="G173" s="7"/>
      <c r="H173" s="7"/>
      <c r="I173" s="7"/>
      <c r="J173" s="7"/>
    </row>
    <row r="174" spans="3:10">
      <c r="C174" s="301"/>
      <c r="D174" s="7"/>
      <c r="E174" s="7"/>
      <c r="F174" s="7"/>
      <c r="G174" s="7"/>
      <c r="H174" s="7"/>
      <c r="I174" s="7"/>
      <c r="J174" s="7"/>
    </row>
    <row r="175" spans="3:10">
      <c r="C175" s="301"/>
      <c r="D175" s="7"/>
      <c r="E175" s="7"/>
      <c r="F175" s="7"/>
      <c r="G175" s="7"/>
      <c r="H175" s="7"/>
      <c r="I175" s="7"/>
      <c r="J175" s="7"/>
    </row>
    <row r="176" spans="3:10">
      <c r="C176" s="301"/>
      <c r="D176" s="7"/>
      <c r="E176" s="7"/>
      <c r="F176" s="7"/>
      <c r="G176" s="7"/>
      <c r="H176" s="7"/>
      <c r="I176" s="7"/>
      <c r="J176" s="7"/>
    </row>
    <row r="177" spans="3:10">
      <c r="C177" s="301"/>
      <c r="D177" s="7"/>
      <c r="E177" s="7"/>
      <c r="F177" s="7"/>
      <c r="G177" s="7"/>
      <c r="H177" s="7"/>
      <c r="I177" s="7"/>
      <c r="J177" s="7"/>
    </row>
    <row r="178" spans="3:10">
      <c r="C178" s="301"/>
      <c r="D178" s="7"/>
      <c r="E178" s="7"/>
      <c r="F178" s="7"/>
      <c r="G178" s="7"/>
      <c r="H178" s="7"/>
      <c r="I178" s="7"/>
      <c r="J178" s="7"/>
    </row>
    <row r="179" spans="3:10">
      <c r="C179" s="301"/>
      <c r="D179" s="7"/>
      <c r="E179" s="7"/>
      <c r="F179" s="7"/>
      <c r="G179" s="7"/>
      <c r="H179" s="7"/>
      <c r="I179" s="7"/>
      <c r="J179" s="7"/>
    </row>
    <row r="180" spans="3:10">
      <c r="C180" s="301"/>
      <c r="D180" s="7"/>
      <c r="E180" s="7"/>
      <c r="F180" s="7"/>
      <c r="G180" s="7"/>
      <c r="H180" s="7"/>
      <c r="I180" s="7"/>
      <c r="J180" s="7"/>
    </row>
    <row r="181" spans="3:10">
      <c r="C181" s="301"/>
      <c r="D181" s="7"/>
      <c r="E181" s="7"/>
      <c r="F181" s="7"/>
      <c r="G181" s="7"/>
      <c r="H181" s="7"/>
      <c r="I181" s="7"/>
      <c r="J181" s="7"/>
    </row>
    <row r="182" spans="3:10">
      <c r="C182" s="301"/>
      <c r="D182" s="7"/>
      <c r="E182" s="7"/>
      <c r="F182" s="7"/>
      <c r="G182" s="7"/>
      <c r="H182" s="7"/>
      <c r="I182" s="7"/>
      <c r="J182" s="7"/>
    </row>
    <row r="183" spans="3:10">
      <c r="C183" s="301"/>
      <c r="D183" s="7"/>
      <c r="E183" s="7"/>
      <c r="F183" s="7"/>
      <c r="G183" s="7"/>
      <c r="H183" s="7"/>
      <c r="I183" s="7"/>
      <c r="J183" s="7"/>
    </row>
    <row r="184" spans="3:10">
      <c r="C184" s="301"/>
      <c r="D184" s="7"/>
      <c r="E184" s="7"/>
      <c r="F184" s="7"/>
      <c r="G184" s="7"/>
      <c r="H184" s="7"/>
      <c r="I184" s="7"/>
      <c r="J184" s="7"/>
    </row>
    <row r="185" spans="3:10">
      <c r="C185" s="301"/>
      <c r="D185" s="7"/>
      <c r="E185" s="7"/>
      <c r="F185" s="7"/>
      <c r="G185" s="7"/>
      <c r="H185" s="7"/>
      <c r="I185" s="7"/>
      <c r="J185" s="7"/>
    </row>
    <row r="186" spans="3:10">
      <c r="C186" s="301"/>
      <c r="D186" s="7"/>
      <c r="E186" s="7"/>
      <c r="F186" s="7"/>
      <c r="G186" s="7"/>
      <c r="H186" s="7"/>
      <c r="I186" s="7"/>
      <c r="J186" s="7"/>
    </row>
    <row r="187" spans="3:10">
      <c r="C187" s="301"/>
      <c r="D187" s="7"/>
      <c r="E187" s="7"/>
      <c r="F187" s="7"/>
      <c r="G187" s="7"/>
      <c r="H187" s="7"/>
      <c r="I187" s="7"/>
      <c r="J187" s="7"/>
    </row>
    <row r="188" spans="3:10">
      <c r="C188" s="301"/>
      <c r="D188" s="7"/>
      <c r="E188" s="7"/>
      <c r="F188" s="7"/>
      <c r="G188" s="7"/>
      <c r="H188" s="7"/>
      <c r="I188" s="7"/>
      <c r="J188" s="7"/>
    </row>
    <row r="189" spans="3:10">
      <c r="C189" s="301"/>
      <c r="D189" s="7"/>
      <c r="E189" s="7"/>
      <c r="F189" s="7"/>
      <c r="G189" s="7"/>
      <c r="H189" s="7"/>
      <c r="I189" s="7"/>
      <c r="J189" s="7"/>
    </row>
    <row r="190" spans="3:10">
      <c r="C190" s="301"/>
      <c r="D190" s="7"/>
      <c r="E190" s="7"/>
      <c r="F190" s="7"/>
      <c r="G190" s="7"/>
      <c r="H190" s="7"/>
      <c r="I190" s="7"/>
      <c r="J190" s="7"/>
    </row>
    <row r="191" spans="3:10">
      <c r="C191" s="301"/>
      <c r="D191" s="7"/>
      <c r="E191" s="7"/>
      <c r="F191" s="7"/>
      <c r="G191" s="7"/>
      <c r="H191" s="7"/>
      <c r="I191" s="7"/>
      <c r="J191" s="7"/>
    </row>
    <row r="192" spans="3:10">
      <c r="C192" s="301"/>
      <c r="D192" s="7"/>
      <c r="E192" s="7"/>
      <c r="F192" s="7"/>
      <c r="G192" s="7"/>
      <c r="H192" s="7"/>
      <c r="I192" s="7"/>
      <c r="J192" s="7"/>
    </row>
    <row r="193" spans="3:10">
      <c r="C193" s="301"/>
      <c r="D193" s="7"/>
      <c r="E193" s="7"/>
      <c r="F193" s="7"/>
      <c r="G193" s="7"/>
      <c r="H193" s="7"/>
      <c r="I193" s="7"/>
      <c r="J193" s="7"/>
    </row>
    <row r="194" spans="3:10">
      <c r="C194" s="301"/>
      <c r="D194" s="7"/>
      <c r="E194" s="7"/>
      <c r="F194" s="7"/>
      <c r="G194" s="7"/>
      <c r="H194" s="7"/>
      <c r="I194" s="7"/>
      <c r="J194" s="7"/>
    </row>
    <row r="195" spans="3:10">
      <c r="C195" s="301"/>
      <c r="D195" s="7"/>
      <c r="E195" s="7"/>
      <c r="F195" s="7"/>
      <c r="G195" s="7"/>
      <c r="H195" s="7"/>
      <c r="I195" s="7"/>
      <c r="J195" s="7"/>
    </row>
    <row r="196" spans="3:10">
      <c r="C196" s="301"/>
      <c r="D196" s="7"/>
      <c r="E196" s="7"/>
      <c r="F196" s="7"/>
      <c r="G196" s="7"/>
      <c r="H196" s="7"/>
      <c r="I196" s="7"/>
      <c r="J196" s="7"/>
    </row>
    <row r="197" spans="3:10">
      <c r="C197" s="301"/>
      <c r="D197" s="7"/>
      <c r="E197" s="7"/>
      <c r="F197" s="7"/>
      <c r="G197" s="7"/>
      <c r="H197" s="7"/>
      <c r="I197" s="7"/>
      <c r="J197" s="7"/>
    </row>
    <row r="198" spans="3:10">
      <c r="C198" s="301"/>
      <c r="D198" s="7"/>
      <c r="E198" s="7"/>
      <c r="F198" s="7"/>
      <c r="G198" s="7"/>
      <c r="H198" s="7"/>
      <c r="I198" s="7"/>
      <c r="J198" s="7"/>
    </row>
    <row r="199" spans="3:10">
      <c r="C199" s="301"/>
      <c r="D199" s="7"/>
      <c r="E199" s="7"/>
      <c r="F199" s="7"/>
      <c r="G199" s="7"/>
      <c r="H199" s="7"/>
      <c r="I199" s="7"/>
      <c r="J199" s="7"/>
    </row>
    <row r="200" spans="3:10">
      <c r="C200" s="301"/>
      <c r="D200" s="7"/>
      <c r="E200" s="7"/>
      <c r="F200" s="7"/>
      <c r="G200" s="7"/>
      <c r="H200" s="7"/>
      <c r="I200" s="7"/>
      <c r="J200" s="7"/>
    </row>
    <row r="201" spans="3:10">
      <c r="C201" s="301"/>
      <c r="D201" s="7"/>
      <c r="E201" s="7"/>
      <c r="F201" s="7"/>
      <c r="G201" s="7"/>
      <c r="H201" s="7"/>
      <c r="I201" s="7"/>
      <c r="J201" s="7"/>
    </row>
    <row r="202" spans="3:10">
      <c r="C202" s="301"/>
      <c r="D202" s="7"/>
      <c r="E202" s="7"/>
      <c r="F202" s="7"/>
      <c r="G202" s="7"/>
      <c r="H202" s="7"/>
      <c r="I202" s="7"/>
      <c r="J202" s="7"/>
    </row>
    <row r="203" spans="3:10">
      <c r="C203" s="301"/>
      <c r="D203" s="7"/>
      <c r="E203" s="7"/>
      <c r="F203" s="7"/>
      <c r="G203" s="7"/>
      <c r="H203" s="7"/>
      <c r="I203" s="7"/>
      <c r="J203" s="7"/>
    </row>
    <row r="204" spans="3:10">
      <c r="C204" s="301"/>
      <c r="D204" s="7"/>
      <c r="E204" s="7"/>
      <c r="F204" s="7"/>
      <c r="G204" s="7"/>
      <c r="H204" s="7"/>
      <c r="I204" s="7"/>
      <c r="J204" s="7"/>
    </row>
    <row r="205" spans="3:10">
      <c r="C205" s="301"/>
      <c r="D205" s="7"/>
      <c r="E205" s="7"/>
      <c r="F205" s="7"/>
      <c r="G205" s="7"/>
      <c r="H205" s="7"/>
      <c r="I205" s="7"/>
      <c r="J205" s="7"/>
    </row>
    <row r="206" spans="3:10">
      <c r="C206" s="301"/>
      <c r="D206" s="7"/>
      <c r="E206" s="7"/>
      <c r="F206" s="7"/>
      <c r="G206" s="7"/>
      <c r="H206" s="7"/>
      <c r="I206" s="7"/>
      <c r="J206" s="7"/>
    </row>
    <row r="207" spans="3:10">
      <c r="C207" s="301"/>
      <c r="D207" s="7"/>
      <c r="E207" s="7"/>
      <c r="F207" s="7"/>
      <c r="G207" s="7"/>
      <c r="H207" s="7"/>
      <c r="I207" s="7"/>
      <c r="J207" s="7"/>
    </row>
    <row r="208" spans="3:10">
      <c r="C208" s="301"/>
      <c r="D208" s="7"/>
      <c r="E208" s="7"/>
      <c r="F208" s="7"/>
      <c r="G208" s="7"/>
      <c r="H208" s="7"/>
      <c r="I208" s="7"/>
      <c r="J208" s="7"/>
    </row>
    <row r="209" spans="3:10">
      <c r="C209" s="301"/>
      <c r="D209" s="7"/>
      <c r="E209" s="7"/>
      <c r="F209" s="7"/>
      <c r="G209" s="7"/>
      <c r="H209" s="7"/>
      <c r="I209" s="7"/>
      <c r="J209" s="7"/>
    </row>
    <row r="210" spans="3:10">
      <c r="C210" s="301"/>
      <c r="D210" s="7"/>
      <c r="E210" s="7"/>
      <c r="F210" s="7"/>
      <c r="G210" s="7"/>
      <c r="H210" s="7"/>
      <c r="I210" s="7"/>
      <c r="J210" s="7"/>
    </row>
    <row r="211" spans="3:10">
      <c r="C211" s="301"/>
      <c r="D211" s="7"/>
      <c r="E211" s="7"/>
      <c r="F211" s="7"/>
      <c r="G211" s="7"/>
      <c r="H211" s="7"/>
      <c r="I211" s="7"/>
      <c r="J211" s="7"/>
    </row>
    <row r="212" spans="3:10">
      <c r="C212" s="301"/>
      <c r="D212" s="7"/>
      <c r="E212" s="7"/>
      <c r="F212" s="7"/>
      <c r="G212" s="7"/>
      <c r="H212" s="7"/>
      <c r="I212" s="7"/>
      <c r="J212" s="7"/>
    </row>
    <row r="213" spans="3:10">
      <c r="C213" s="301"/>
      <c r="D213" s="7"/>
      <c r="E213" s="7"/>
      <c r="F213" s="7"/>
      <c r="G213" s="7"/>
      <c r="H213" s="7"/>
      <c r="I213" s="7"/>
      <c r="J213" s="7"/>
    </row>
    <row r="214" spans="3:10">
      <c r="C214" s="301"/>
      <c r="D214" s="7"/>
      <c r="E214" s="7"/>
      <c r="F214" s="7"/>
      <c r="G214" s="7"/>
      <c r="H214" s="7"/>
      <c r="I214" s="7"/>
      <c r="J214" s="7"/>
    </row>
    <row r="215" spans="3:10">
      <c r="C215" s="301"/>
      <c r="D215" s="7"/>
      <c r="E215" s="7"/>
      <c r="F215" s="7"/>
      <c r="G215" s="7"/>
      <c r="H215" s="7"/>
      <c r="I215" s="7"/>
      <c r="J215" s="7"/>
    </row>
    <row r="216" spans="3:10">
      <c r="C216" s="301"/>
      <c r="D216" s="7"/>
      <c r="E216" s="7"/>
      <c r="F216" s="7"/>
      <c r="G216" s="7"/>
      <c r="H216" s="7"/>
      <c r="I216" s="7"/>
      <c r="J216" s="7"/>
    </row>
    <row r="217" spans="3:10">
      <c r="C217" s="301"/>
      <c r="D217" s="7"/>
      <c r="E217" s="7"/>
      <c r="F217" s="7"/>
      <c r="G217" s="7"/>
      <c r="H217" s="7"/>
      <c r="I217" s="7"/>
      <c r="J217" s="7"/>
    </row>
    <row r="218" spans="3:10">
      <c r="C218" s="301"/>
      <c r="D218" s="7"/>
      <c r="E218" s="7"/>
      <c r="F218" s="7"/>
      <c r="G218" s="7"/>
      <c r="H218" s="7"/>
      <c r="I218" s="7"/>
      <c r="J218" s="7"/>
    </row>
    <row r="219" spans="3:10">
      <c r="C219" s="301"/>
      <c r="D219" s="7"/>
      <c r="E219" s="7"/>
      <c r="F219" s="7"/>
      <c r="G219" s="7"/>
      <c r="H219" s="7"/>
      <c r="I219" s="7"/>
      <c r="J219" s="7"/>
    </row>
    <row r="220" spans="3:10">
      <c r="C220" s="301"/>
      <c r="D220" s="7"/>
      <c r="E220" s="7"/>
      <c r="F220" s="7"/>
      <c r="G220" s="7"/>
      <c r="H220" s="7"/>
      <c r="I220" s="7"/>
      <c r="J220" s="7"/>
    </row>
    <row r="221" spans="3:10">
      <c r="C221" s="301"/>
      <c r="D221" s="7"/>
      <c r="E221" s="7"/>
      <c r="F221" s="7"/>
      <c r="G221" s="7"/>
      <c r="H221" s="7"/>
      <c r="I221" s="7"/>
      <c r="J221" s="7"/>
    </row>
    <row r="222" spans="3:10">
      <c r="C222" s="301"/>
      <c r="D222" s="7"/>
      <c r="E222" s="7"/>
      <c r="F222" s="7"/>
      <c r="G222" s="7"/>
      <c r="H222" s="7"/>
      <c r="I222" s="7"/>
      <c r="J222" s="7"/>
    </row>
    <row r="223" spans="3:10">
      <c r="C223" s="301"/>
      <c r="D223" s="7"/>
      <c r="E223" s="7"/>
      <c r="F223" s="7"/>
      <c r="G223" s="7"/>
      <c r="H223" s="7"/>
      <c r="I223" s="7"/>
      <c r="J223" s="7"/>
    </row>
    <row r="224" spans="3:10">
      <c r="C224" s="301"/>
      <c r="D224" s="7"/>
      <c r="E224" s="7"/>
      <c r="F224" s="7"/>
      <c r="G224" s="7"/>
      <c r="H224" s="7"/>
      <c r="I224" s="7"/>
      <c r="J224" s="7"/>
    </row>
    <row r="225" spans="3:10">
      <c r="C225" s="301"/>
      <c r="D225" s="7"/>
      <c r="E225" s="7"/>
      <c r="F225" s="7"/>
      <c r="G225" s="7"/>
      <c r="H225" s="7"/>
      <c r="I225" s="7"/>
      <c r="J225" s="7"/>
    </row>
    <row r="226" spans="3:10">
      <c r="C226" s="301"/>
      <c r="D226" s="7"/>
      <c r="E226" s="7"/>
      <c r="F226" s="7"/>
      <c r="G226" s="7"/>
      <c r="H226" s="7"/>
      <c r="I226" s="7"/>
      <c r="J226" s="7"/>
    </row>
    <row r="227" spans="3:10">
      <c r="C227" s="301"/>
      <c r="D227" s="7"/>
      <c r="E227" s="7"/>
      <c r="F227" s="7"/>
      <c r="G227" s="7"/>
      <c r="H227" s="7"/>
      <c r="I227" s="7"/>
      <c r="J227" s="7"/>
    </row>
    <row r="228" spans="3:10">
      <c r="C228" s="301"/>
      <c r="D228" s="7"/>
      <c r="E228" s="7"/>
      <c r="F228" s="7"/>
      <c r="G228" s="7"/>
      <c r="H228" s="7"/>
      <c r="I228" s="7"/>
      <c r="J228" s="7"/>
    </row>
    <row r="229" spans="3:10">
      <c r="C229" s="301"/>
      <c r="D229" s="7"/>
      <c r="E229" s="7"/>
      <c r="F229" s="7"/>
      <c r="G229" s="7"/>
      <c r="H229" s="7"/>
      <c r="I229" s="7"/>
      <c r="J229" s="7"/>
    </row>
    <row r="230" spans="3:10">
      <c r="C230" s="301"/>
      <c r="D230" s="7"/>
      <c r="E230" s="7"/>
      <c r="F230" s="7"/>
      <c r="G230" s="7"/>
      <c r="H230" s="7"/>
      <c r="I230" s="7"/>
      <c r="J230" s="7"/>
    </row>
    <row r="231" spans="3:10">
      <c r="C231" s="301"/>
      <c r="D231" s="7"/>
      <c r="E231" s="7"/>
      <c r="F231" s="7"/>
      <c r="G231" s="7"/>
      <c r="H231" s="7"/>
      <c r="I231" s="7"/>
      <c r="J231" s="7"/>
    </row>
    <row r="232" spans="3:10">
      <c r="C232" s="301"/>
      <c r="D232" s="7"/>
      <c r="E232" s="7"/>
      <c r="F232" s="7"/>
      <c r="G232" s="7"/>
      <c r="H232" s="7"/>
      <c r="I232" s="7"/>
      <c r="J232" s="103"/>
    </row>
    <row r="233" spans="3:10">
      <c r="C233" s="301"/>
      <c r="D233" s="7"/>
      <c r="E233" s="7"/>
      <c r="F233" s="7"/>
      <c r="G233" s="7"/>
      <c r="H233" s="7"/>
      <c r="I233" s="7"/>
      <c r="J233" s="103"/>
    </row>
    <row r="234" spans="3:10">
      <c r="C234" s="301"/>
      <c r="D234" s="7"/>
      <c r="E234" s="7"/>
      <c r="F234" s="7"/>
      <c r="G234" s="7"/>
      <c r="H234" s="7"/>
      <c r="I234" s="7"/>
      <c r="J234" s="103"/>
    </row>
    <row r="235" spans="3:10">
      <c r="C235" s="301"/>
      <c r="D235" s="7"/>
      <c r="E235" s="7"/>
      <c r="F235" s="7"/>
      <c r="G235" s="7"/>
      <c r="H235" s="7"/>
      <c r="I235" s="7"/>
      <c r="J235" s="103"/>
    </row>
    <row r="236" spans="3:10">
      <c r="C236" s="301"/>
      <c r="D236" s="7"/>
      <c r="E236" s="7"/>
      <c r="F236" s="7"/>
      <c r="G236" s="7"/>
      <c r="H236" s="7"/>
      <c r="I236" s="7"/>
      <c r="J236" s="103"/>
    </row>
    <row r="237" spans="3:10">
      <c r="C237" s="301"/>
      <c r="D237" s="7"/>
      <c r="E237" s="7"/>
      <c r="F237" s="7"/>
      <c r="G237" s="7"/>
      <c r="H237" s="7"/>
      <c r="I237" s="7"/>
      <c r="J237" s="103"/>
    </row>
    <row r="238" spans="3:10">
      <c r="C238" s="301"/>
      <c r="D238" s="7"/>
      <c r="E238" s="7"/>
      <c r="F238" s="7"/>
      <c r="G238" s="7"/>
      <c r="H238" s="7"/>
      <c r="I238" s="7"/>
      <c r="J238" s="103"/>
    </row>
    <row r="239" spans="3:10">
      <c r="C239" s="301"/>
      <c r="D239" s="7"/>
      <c r="E239" s="7"/>
      <c r="F239" s="7"/>
      <c r="G239" s="7"/>
      <c r="H239" s="7"/>
      <c r="I239" s="7"/>
      <c r="J239" s="103"/>
    </row>
    <row r="240" spans="3:10">
      <c r="C240" s="301"/>
      <c r="D240" s="7"/>
      <c r="E240" s="7"/>
      <c r="F240" s="7"/>
      <c r="G240" s="7"/>
      <c r="H240" s="7"/>
      <c r="I240" s="7"/>
      <c r="J240" s="103"/>
    </row>
    <row r="241" spans="3:10">
      <c r="C241" s="301"/>
      <c r="D241" s="7"/>
      <c r="E241" s="7"/>
      <c r="F241" s="7"/>
      <c r="G241" s="7"/>
      <c r="H241" s="7"/>
      <c r="I241" s="7"/>
      <c r="J241" s="103"/>
    </row>
    <row r="242" spans="3:10">
      <c r="C242" s="301"/>
      <c r="D242" s="7"/>
      <c r="E242" s="7"/>
      <c r="F242" s="7"/>
      <c r="G242" s="7"/>
      <c r="H242" s="7"/>
      <c r="I242" s="7"/>
      <c r="J242" s="103"/>
    </row>
    <row r="243" spans="3:10">
      <c r="C243" s="301"/>
      <c r="D243" s="7"/>
      <c r="E243" s="7"/>
      <c r="F243" s="7"/>
      <c r="G243" s="7"/>
      <c r="H243" s="7"/>
      <c r="I243" s="7"/>
      <c r="J243" s="103"/>
    </row>
    <row r="244" spans="3:10">
      <c r="C244" s="301"/>
      <c r="D244" s="7"/>
      <c r="E244" s="7"/>
      <c r="F244" s="7"/>
      <c r="G244" s="7"/>
      <c r="H244" s="7"/>
      <c r="I244" s="7"/>
      <c r="J244" s="103"/>
    </row>
    <row r="245" spans="3:10">
      <c r="C245" s="301"/>
      <c r="D245" s="7"/>
      <c r="E245" s="7"/>
      <c r="F245" s="7"/>
      <c r="G245" s="7"/>
      <c r="H245" s="7"/>
      <c r="I245" s="7"/>
      <c r="J245" s="103"/>
    </row>
    <row r="246" spans="3:10">
      <c r="C246" s="301"/>
      <c r="D246" s="7"/>
      <c r="E246" s="7"/>
      <c r="F246" s="7"/>
      <c r="G246" s="7"/>
      <c r="H246" s="7"/>
      <c r="I246" s="7"/>
      <c r="J246" s="103"/>
    </row>
    <row r="247" spans="3:10">
      <c r="C247" s="301"/>
      <c r="D247" s="7"/>
      <c r="E247" s="7"/>
      <c r="F247" s="7"/>
      <c r="G247" s="7"/>
      <c r="H247" s="7"/>
      <c r="I247" s="7"/>
      <c r="J247" s="103"/>
    </row>
    <row r="248" spans="3:10">
      <c r="C248" s="301"/>
      <c r="D248" s="7"/>
      <c r="E248" s="7"/>
      <c r="F248" s="7"/>
      <c r="G248" s="7"/>
      <c r="H248" s="7"/>
      <c r="I248" s="7"/>
      <c r="J248" s="103"/>
    </row>
    <row r="249" spans="3:10">
      <c r="C249" s="301"/>
      <c r="D249" s="7"/>
      <c r="E249" s="7"/>
      <c r="F249" s="7"/>
      <c r="G249" s="7"/>
      <c r="H249" s="7"/>
      <c r="I249" s="7"/>
      <c r="J249" s="103"/>
    </row>
    <row r="250" spans="3:10">
      <c r="C250" s="301"/>
      <c r="D250" s="7"/>
      <c r="E250" s="7"/>
      <c r="F250" s="7"/>
      <c r="G250" s="7"/>
      <c r="H250" s="7"/>
      <c r="I250" s="7"/>
      <c r="J250" s="103"/>
    </row>
    <row r="251" spans="3:10">
      <c r="C251" s="301"/>
      <c r="D251" s="7"/>
      <c r="E251" s="7"/>
      <c r="F251" s="7"/>
      <c r="G251" s="7"/>
      <c r="H251" s="7"/>
      <c r="I251" s="7"/>
      <c r="J251" s="103"/>
    </row>
    <row r="252" spans="3:10">
      <c r="C252" s="301"/>
      <c r="D252" s="7"/>
      <c r="E252" s="7"/>
      <c r="F252" s="7"/>
      <c r="G252" s="7"/>
      <c r="H252" s="7"/>
      <c r="I252" s="7"/>
      <c r="J252" s="103"/>
    </row>
    <row r="253" spans="3:10">
      <c r="C253" s="301"/>
      <c r="D253" s="7"/>
      <c r="E253" s="7"/>
      <c r="F253" s="7"/>
      <c r="G253" s="7"/>
      <c r="H253" s="7"/>
      <c r="I253" s="7"/>
      <c r="J253" s="103"/>
    </row>
    <row r="254" spans="3:10">
      <c r="C254" s="301"/>
      <c r="D254" s="7"/>
      <c r="E254" s="7"/>
      <c r="F254" s="7"/>
      <c r="G254" s="7"/>
      <c r="H254" s="7"/>
      <c r="I254" s="7"/>
      <c r="J254" s="103"/>
    </row>
    <row r="255" spans="3:10">
      <c r="C255" s="301"/>
      <c r="D255" s="7"/>
      <c r="E255" s="7"/>
      <c r="F255" s="7"/>
      <c r="G255" s="7"/>
      <c r="H255" s="7"/>
      <c r="I255" s="7"/>
      <c r="J255" s="103"/>
    </row>
    <row r="256" spans="3:10">
      <c r="C256" s="301"/>
      <c r="D256" s="7"/>
      <c r="E256" s="7"/>
      <c r="F256" s="7"/>
      <c r="G256" s="7"/>
      <c r="H256" s="7"/>
      <c r="I256" s="7"/>
      <c r="J256" s="103"/>
    </row>
    <row r="257" spans="2:10">
      <c r="C257" s="301"/>
      <c r="D257" s="7"/>
      <c r="E257" s="7"/>
      <c r="F257" s="7"/>
      <c r="G257" s="7"/>
      <c r="H257" s="7"/>
      <c r="I257" s="7"/>
      <c r="J257" s="103"/>
    </row>
    <row r="258" spans="2:10">
      <c r="C258" s="301"/>
      <c r="D258" s="7"/>
      <c r="E258" s="7"/>
      <c r="F258" s="7"/>
      <c r="G258" s="7"/>
      <c r="H258" s="7"/>
      <c r="I258" s="7"/>
      <c r="J258" s="103"/>
    </row>
    <row r="259" spans="2:10">
      <c r="C259" s="301"/>
      <c r="D259" s="7"/>
      <c r="E259" s="7"/>
      <c r="F259" s="7"/>
      <c r="G259" s="7"/>
      <c r="H259" s="7"/>
      <c r="I259" s="7"/>
      <c r="J259" s="103"/>
    </row>
    <row r="260" spans="2:10">
      <c r="C260" s="301"/>
      <c r="D260" s="7"/>
      <c r="E260" s="7"/>
      <c r="F260" s="7"/>
      <c r="G260" s="7"/>
      <c r="H260" s="7"/>
      <c r="I260" s="7"/>
      <c r="J260" s="103"/>
    </row>
    <row r="261" spans="2:10">
      <c r="C261" s="301"/>
      <c r="D261" s="7"/>
      <c r="E261" s="7"/>
      <c r="F261" s="7"/>
      <c r="G261" s="7"/>
      <c r="H261" s="7"/>
      <c r="I261" s="7"/>
      <c r="J261" s="103"/>
    </row>
    <row r="262" spans="2:10">
      <c r="C262" s="301"/>
      <c r="D262" s="7"/>
      <c r="E262" s="7"/>
      <c r="F262" s="7"/>
      <c r="G262" s="7"/>
      <c r="H262" s="7"/>
      <c r="I262" s="7"/>
      <c r="J262" s="103"/>
    </row>
    <row r="263" spans="2:10">
      <c r="C263" s="301"/>
      <c r="D263" s="7"/>
      <c r="E263" s="7"/>
      <c r="F263" s="7"/>
      <c r="G263" s="7"/>
      <c r="H263" s="7"/>
      <c r="I263" s="7"/>
      <c r="J263" s="103"/>
    </row>
    <row r="264" spans="2:10">
      <c r="C264" s="301"/>
      <c r="D264" s="7"/>
      <c r="E264" s="7"/>
      <c r="F264" s="7"/>
      <c r="G264" s="7"/>
      <c r="H264" s="7"/>
      <c r="I264" s="7"/>
      <c r="J264" s="103"/>
    </row>
    <row r="265" spans="2:10">
      <c r="C265" s="301"/>
      <c r="D265" s="7"/>
      <c r="E265" s="7"/>
      <c r="F265" s="7"/>
      <c r="G265" s="7"/>
      <c r="H265" s="7"/>
      <c r="I265" s="7"/>
      <c r="J265" s="103"/>
    </row>
    <row r="266" spans="2:10">
      <c r="C266" s="301"/>
      <c r="D266" s="7"/>
      <c r="E266" s="7"/>
      <c r="F266" s="7"/>
      <c r="G266" s="7"/>
      <c r="H266" s="7"/>
      <c r="I266" s="7"/>
      <c r="J266" s="103"/>
    </row>
    <row r="267" spans="2:10">
      <c r="B267" s="7"/>
      <c r="C267" s="301"/>
      <c r="D267" s="7"/>
      <c r="E267" s="7"/>
      <c r="F267" s="7"/>
      <c r="G267" s="7"/>
      <c r="H267" s="7"/>
      <c r="I267" s="7"/>
      <c r="J267" s="103"/>
    </row>
    <row r="268" spans="2:10">
      <c r="B268" s="7"/>
      <c r="C268" s="301"/>
      <c r="D268" s="7"/>
      <c r="E268" s="7"/>
      <c r="F268" s="7"/>
      <c r="G268" s="7"/>
      <c r="H268" s="7"/>
      <c r="I268" s="7"/>
      <c r="J268" s="103"/>
    </row>
    <row r="269" spans="2:10">
      <c r="B269" s="7"/>
      <c r="C269" s="301"/>
      <c r="D269" s="7"/>
      <c r="E269" s="7"/>
      <c r="F269" s="7"/>
      <c r="G269" s="7"/>
      <c r="H269" s="7"/>
      <c r="I269" s="7"/>
      <c r="J269" s="103"/>
    </row>
    <row r="270" spans="2:10">
      <c r="B270" s="7"/>
      <c r="C270" s="301"/>
      <c r="D270" s="7"/>
      <c r="E270" s="7"/>
      <c r="F270" s="7"/>
      <c r="G270" s="7"/>
      <c r="H270" s="7"/>
      <c r="I270" s="7"/>
      <c r="J270" s="103"/>
    </row>
    <row r="271" spans="2:10">
      <c r="B271" s="7"/>
      <c r="C271" s="301"/>
      <c r="D271" s="7"/>
      <c r="E271" s="7"/>
      <c r="F271" s="7"/>
      <c r="G271" s="7"/>
      <c r="H271" s="7"/>
      <c r="I271" s="7"/>
      <c r="J271" s="103"/>
    </row>
    <row r="272" spans="2:10">
      <c r="B272" s="7"/>
      <c r="C272" s="301"/>
      <c r="D272" s="7"/>
      <c r="E272" s="7"/>
      <c r="F272" s="7"/>
      <c r="G272" s="7"/>
      <c r="H272" s="7"/>
      <c r="I272" s="7"/>
      <c r="J272" s="103"/>
    </row>
    <row r="273" spans="2:10">
      <c r="B273" s="7"/>
      <c r="C273" s="301"/>
      <c r="D273" s="7"/>
      <c r="E273" s="7"/>
      <c r="F273" s="7"/>
      <c r="G273" s="7"/>
      <c r="H273" s="7"/>
      <c r="I273" s="7"/>
      <c r="J273" s="103"/>
    </row>
    <row r="274" spans="2:10">
      <c r="B274" s="7"/>
      <c r="C274" s="301"/>
      <c r="D274" s="7"/>
      <c r="E274" s="7"/>
      <c r="F274" s="7"/>
      <c r="G274" s="7"/>
      <c r="H274" s="7"/>
      <c r="I274" s="7"/>
      <c r="J274" s="103"/>
    </row>
    <row r="275" spans="2:10">
      <c r="B275" s="7"/>
      <c r="C275" s="301"/>
      <c r="D275" s="7"/>
      <c r="E275" s="7"/>
      <c r="F275" s="7"/>
      <c r="G275" s="7"/>
      <c r="H275" s="7"/>
      <c r="I275" s="7"/>
      <c r="J275" s="103"/>
    </row>
    <row r="276" spans="2:10">
      <c r="B276" s="7"/>
      <c r="C276" s="301"/>
      <c r="D276" s="7"/>
      <c r="E276" s="7"/>
      <c r="F276" s="7"/>
      <c r="G276" s="7"/>
      <c r="H276" s="7"/>
      <c r="I276" s="7"/>
      <c r="J276" s="103"/>
    </row>
    <row r="277" spans="2:10">
      <c r="B277" s="7"/>
      <c r="C277" s="301"/>
      <c r="D277" s="7"/>
      <c r="E277" s="7"/>
      <c r="F277" s="7"/>
      <c r="G277" s="7"/>
      <c r="H277" s="7"/>
      <c r="I277" s="7"/>
      <c r="J277" s="103"/>
    </row>
    <row r="278" spans="2:10">
      <c r="B278" s="7"/>
      <c r="C278" s="301"/>
      <c r="D278" s="7"/>
      <c r="E278" s="7"/>
      <c r="F278" s="7"/>
      <c r="G278" s="7"/>
      <c r="H278" s="7"/>
      <c r="I278" s="7"/>
      <c r="J278" s="103"/>
    </row>
    <row r="279" spans="2:10">
      <c r="B279" s="7"/>
      <c r="C279" s="301"/>
      <c r="D279" s="7"/>
      <c r="E279" s="7"/>
      <c r="F279" s="7"/>
      <c r="G279" s="7"/>
      <c r="H279" s="7"/>
      <c r="I279" s="7"/>
      <c r="J279" s="103"/>
    </row>
    <row r="280" spans="2:10">
      <c r="B280" s="7"/>
      <c r="C280" s="301"/>
      <c r="D280" s="7"/>
      <c r="E280" s="7"/>
      <c r="F280" s="7"/>
      <c r="G280" s="7"/>
      <c r="H280" s="7"/>
      <c r="I280" s="7"/>
      <c r="J280" s="103"/>
    </row>
    <row r="281" spans="2:10">
      <c r="B281" s="7"/>
      <c r="C281" s="301"/>
      <c r="D281" s="7"/>
      <c r="E281" s="7"/>
      <c r="F281" s="7"/>
      <c r="G281" s="7"/>
      <c r="H281" s="7"/>
      <c r="I281" s="7"/>
      <c r="J281" s="103"/>
    </row>
    <row r="282" spans="2:10">
      <c r="B282" s="7"/>
      <c r="C282" s="301"/>
      <c r="D282" s="7"/>
      <c r="E282" s="7"/>
      <c r="F282" s="7"/>
      <c r="G282" s="7"/>
      <c r="H282" s="7"/>
      <c r="I282" s="7"/>
      <c r="J282" s="103"/>
    </row>
    <row r="283" spans="2:10">
      <c r="B283" s="7"/>
      <c r="C283" s="301"/>
      <c r="D283" s="7"/>
      <c r="E283" s="7"/>
      <c r="F283" s="7"/>
      <c r="G283" s="7"/>
      <c r="H283" s="7"/>
      <c r="I283" s="7"/>
      <c r="J283" s="103"/>
    </row>
    <row r="284" spans="2:10">
      <c r="B284" s="7"/>
      <c r="C284" s="301"/>
      <c r="D284" s="7"/>
      <c r="E284" s="7"/>
      <c r="F284" s="7"/>
      <c r="G284" s="7"/>
      <c r="H284" s="7"/>
      <c r="I284" s="7"/>
      <c r="J284" s="103"/>
    </row>
    <row r="285" spans="2:10">
      <c r="B285" s="7"/>
      <c r="C285" s="301"/>
      <c r="D285" s="7"/>
      <c r="E285" s="7"/>
      <c r="F285" s="7"/>
      <c r="G285" s="7"/>
      <c r="H285" s="7"/>
      <c r="I285" s="7"/>
      <c r="J285" s="103"/>
    </row>
    <row r="286" spans="2:10">
      <c r="B286" s="7"/>
      <c r="C286" s="301"/>
      <c r="D286" s="7"/>
      <c r="E286" s="7"/>
      <c r="F286" s="7"/>
      <c r="G286" s="7"/>
      <c r="H286" s="7"/>
      <c r="I286" s="7"/>
      <c r="J286" s="103"/>
    </row>
    <row r="287" spans="2:10">
      <c r="B287" s="7"/>
      <c r="C287" s="301"/>
      <c r="D287" s="7"/>
      <c r="E287" s="7"/>
      <c r="F287" s="7"/>
      <c r="G287" s="7"/>
      <c r="H287" s="7"/>
      <c r="I287" s="7"/>
      <c r="J287" s="103"/>
    </row>
    <row r="288" spans="2:10">
      <c r="B288" s="7"/>
      <c r="C288" s="301"/>
      <c r="D288" s="7"/>
      <c r="E288" s="7"/>
      <c r="F288" s="7"/>
      <c r="G288" s="7"/>
      <c r="H288" s="7"/>
      <c r="I288" s="7"/>
      <c r="J288" s="103"/>
    </row>
    <row r="289" spans="2:10">
      <c r="B289" s="7"/>
      <c r="C289" s="301"/>
      <c r="D289" s="7"/>
      <c r="E289" s="7"/>
      <c r="F289" s="7"/>
      <c r="G289" s="7"/>
      <c r="H289" s="7"/>
      <c r="I289" s="7"/>
      <c r="J289" s="103"/>
    </row>
    <row r="290" spans="2:10">
      <c r="B290" s="7"/>
      <c r="C290" s="301"/>
      <c r="D290" s="7"/>
      <c r="E290" s="7"/>
      <c r="F290" s="7"/>
      <c r="G290" s="7"/>
      <c r="H290" s="7"/>
      <c r="I290" s="7"/>
      <c r="J290" s="103"/>
    </row>
    <row r="291" spans="2:10">
      <c r="B291" s="7"/>
      <c r="C291" s="301"/>
      <c r="D291" s="7"/>
      <c r="E291" s="7"/>
      <c r="F291" s="7"/>
      <c r="G291" s="7"/>
      <c r="H291" s="7"/>
      <c r="I291" s="7"/>
      <c r="J291" s="103"/>
    </row>
    <row r="292" spans="2:10">
      <c r="B292" s="7"/>
      <c r="C292" s="301"/>
      <c r="D292" s="7"/>
      <c r="E292" s="7"/>
      <c r="F292" s="7"/>
      <c r="G292" s="7"/>
      <c r="H292" s="7"/>
      <c r="I292" s="7"/>
      <c r="J292" s="103"/>
    </row>
    <row r="293" spans="2:10">
      <c r="B293" s="7"/>
      <c r="C293" s="301"/>
      <c r="D293" s="7"/>
      <c r="E293" s="7"/>
      <c r="F293" s="7"/>
      <c r="G293" s="7"/>
      <c r="H293" s="7"/>
      <c r="I293" s="7"/>
      <c r="J293" s="103"/>
    </row>
    <row r="294" spans="2:10">
      <c r="B294" s="7"/>
      <c r="C294" s="301"/>
      <c r="D294" s="7"/>
      <c r="E294" s="7"/>
      <c r="F294" s="7"/>
      <c r="G294" s="7"/>
      <c r="H294" s="7"/>
      <c r="I294" s="7"/>
      <c r="J294" s="103"/>
    </row>
    <row r="295" spans="2:10">
      <c r="B295" s="7"/>
      <c r="C295" s="301"/>
      <c r="D295" s="7"/>
      <c r="E295" s="7"/>
      <c r="F295" s="7"/>
      <c r="G295" s="7"/>
      <c r="H295" s="7"/>
      <c r="I295" s="7"/>
      <c r="J295" s="103"/>
    </row>
    <row r="296" spans="2:10">
      <c r="B296" s="7"/>
      <c r="C296" s="301"/>
      <c r="D296" s="7"/>
      <c r="E296" s="7"/>
      <c r="F296" s="7"/>
      <c r="G296" s="7"/>
      <c r="H296" s="7"/>
      <c r="I296" s="7"/>
      <c r="J296" s="103"/>
    </row>
    <row r="297" spans="2:10">
      <c r="B297" s="7"/>
      <c r="C297" s="301"/>
      <c r="D297" s="7"/>
      <c r="E297" s="7"/>
      <c r="F297" s="7"/>
      <c r="G297" s="7"/>
      <c r="H297" s="7"/>
      <c r="I297" s="7"/>
      <c r="J297" s="103"/>
    </row>
    <row r="298" spans="2:10">
      <c r="B298" s="7"/>
      <c r="C298" s="301"/>
      <c r="D298" s="7"/>
      <c r="E298" s="7"/>
      <c r="F298" s="7"/>
      <c r="G298" s="7"/>
      <c r="H298" s="7"/>
      <c r="I298" s="7"/>
      <c r="J298" s="103"/>
    </row>
    <row r="299" spans="2:10">
      <c r="B299" s="7"/>
      <c r="C299" s="301"/>
      <c r="D299" s="7"/>
      <c r="E299" s="7"/>
      <c r="F299" s="7"/>
      <c r="G299" s="7"/>
      <c r="H299" s="7"/>
      <c r="I299" s="7"/>
      <c r="J299" s="103"/>
    </row>
    <row r="300" spans="2:10">
      <c r="B300" s="7"/>
      <c r="C300" s="301"/>
      <c r="D300" s="7"/>
      <c r="E300" s="7"/>
      <c r="F300" s="7"/>
      <c r="G300" s="7"/>
      <c r="H300" s="7"/>
      <c r="I300" s="7"/>
      <c r="J300" s="103"/>
    </row>
    <row r="301" spans="2:10">
      <c r="B301" s="7"/>
      <c r="C301" s="301"/>
      <c r="D301" s="7"/>
      <c r="E301" s="7"/>
      <c r="F301" s="7"/>
      <c r="G301" s="7"/>
      <c r="H301" s="7"/>
      <c r="I301" s="7"/>
      <c r="J301" s="103"/>
    </row>
    <row r="302" spans="2:10">
      <c r="B302" s="7"/>
      <c r="C302" s="301"/>
      <c r="D302" s="7"/>
      <c r="E302" s="7"/>
      <c r="F302" s="7"/>
      <c r="G302" s="7"/>
      <c r="H302" s="7"/>
      <c r="I302" s="7"/>
      <c r="J302" s="103"/>
    </row>
    <row r="303" spans="2:10">
      <c r="B303" s="7"/>
      <c r="C303" s="301"/>
      <c r="D303" s="7"/>
      <c r="E303" s="7"/>
      <c r="F303" s="7"/>
      <c r="G303" s="7"/>
      <c r="H303" s="7"/>
      <c r="I303" s="7"/>
      <c r="J303" s="103"/>
    </row>
    <row r="304" spans="2:10">
      <c r="B304" s="7"/>
      <c r="C304" s="301"/>
      <c r="D304" s="7"/>
      <c r="E304" s="7"/>
      <c r="F304" s="7"/>
      <c r="G304" s="7"/>
      <c r="H304" s="7"/>
      <c r="I304" s="7"/>
      <c r="J304" s="103"/>
    </row>
    <row r="305" spans="2:10">
      <c r="B305" s="7"/>
      <c r="C305" s="301"/>
      <c r="D305" s="7"/>
      <c r="E305" s="7"/>
      <c r="F305" s="7"/>
      <c r="G305" s="7"/>
      <c r="H305" s="7"/>
      <c r="I305" s="7"/>
      <c r="J305" s="103"/>
    </row>
    <row r="306" spans="2:10">
      <c r="B306" s="7"/>
      <c r="C306" s="301"/>
      <c r="D306" s="7"/>
      <c r="E306" s="7"/>
      <c r="F306" s="7"/>
      <c r="G306" s="7"/>
      <c r="H306" s="7"/>
      <c r="I306" s="7"/>
      <c r="J306" s="103"/>
    </row>
    <row r="307" spans="2:10">
      <c r="B307" s="7"/>
      <c r="C307" s="301"/>
      <c r="D307" s="7"/>
      <c r="E307" s="7"/>
      <c r="F307" s="7"/>
      <c r="G307" s="7"/>
      <c r="H307" s="7"/>
      <c r="I307" s="7"/>
      <c r="J307" s="103"/>
    </row>
    <row r="308" spans="2:10">
      <c r="B308" s="7"/>
      <c r="C308" s="301"/>
      <c r="D308" s="7"/>
      <c r="E308" s="7"/>
      <c r="F308" s="7"/>
      <c r="G308" s="7"/>
      <c r="H308" s="7"/>
      <c r="I308" s="7"/>
      <c r="J308" s="103"/>
    </row>
    <row r="309" spans="2:10">
      <c r="B309" s="7"/>
      <c r="C309" s="301"/>
      <c r="D309" s="7"/>
      <c r="E309" s="7"/>
      <c r="F309" s="7"/>
      <c r="G309" s="7"/>
      <c r="H309" s="7"/>
      <c r="I309" s="7"/>
      <c r="J309" s="103"/>
    </row>
    <row r="310" spans="2:10">
      <c r="B310" s="7"/>
      <c r="C310" s="301"/>
      <c r="D310" s="7"/>
      <c r="E310" s="7"/>
      <c r="F310" s="7"/>
      <c r="G310" s="7"/>
      <c r="H310" s="7"/>
      <c r="I310" s="7"/>
      <c r="J310" s="103"/>
    </row>
    <row r="311" spans="2:10">
      <c r="B311" s="7"/>
      <c r="C311" s="301"/>
      <c r="D311" s="7"/>
      <c r="E311" s="7"/>
      <c r="F311" s="7"/>
      <c r="G311" s="7"/>
      <c r="H311" s="7"/>
      <c r="I311" s="7"/>
      <c r="J311" s="103"/>
    </row>
    <row r="312" spans="2:10">
      <c r="B312" s="7"/>
      <c r="C312" s="301"/>
      <c r="D312" s="7"/>
      <c r="E312" s="7"/>
      <c r="F312" s="7"/>
      <c r="G312" s="7"/>
      <c r="H312" s="7"/>
      <c r="I312" s="7"/>
      <c r="J312" s="103"/>
    </row>
    <row r="313" spans="2:10">
      <c r="B313" s="7"/>
      <c r="C313" s="301"/>
      <c r="D313" s="7"/>
      <c r="E313" s="7"/>
      <c r="F313" s="7"/>
      <c r="G313" s="7"/>
      <c r="H313" s="7"/>
      <c r="I313" s="7"/>
      <c r="J313" s="103"/>
    </row>
    <row r="314" spans="2:10">
      <c r="B314" s="7"/>
      <c r="C314" s="301"/>
      <c r="D314" s="7"/>
      <c r="E314" s="7"/>
      <c r="F314" s="7"/>
      <c r="G314" s="7"/>
      <c r="H314" s="7"/>
      <c r="I314" s="7"/>
      <c r="J314" s="103"/>
    </row>
    <row r="315" spans="2:10">
      <c r="B315" s="7"/>
      <c r="C315" s="301"/>
      <c r="D315" s="7"/>
      <c r="E315" s="7"/>
      <c r="F315" s="7"/>
      <c r="G315" s="7"/>
      <c r="H315" s="7"/>
      <c r="I315" s="7"/>
      <c r="J315" s="103"/>
    </row>
    <row r="316" spans="2:10">
      <c r="B316" s="7"/>
      <c r="C316" s="301"/>
      <c r="D316" s="7"/>
      <c r="E316" s="7"/>
      <c r="F316" s="7"/>
      <c r="G316" s="7"/>
      <c r="H316" s="7"/>
      <c r="I316" s="7"/>
      <c r="J316" s="103"/>
    </row>
    <row r="317" spans="2:10">
      <c r="B317" s="7"/>
      <c r="C317" s="301"/>
      <c r="D317" s="7"/>
      <c r="E317" s="7"/>
      <c r="F317" s="7"/>
      <c r="G317" s="7"/>
      <c r="H317" s="7"/>
      <c r="I317" s="7"/>
      <c r="J317" s="103"/>
    </row>
    <row r="318" spans="2:10">
      <c r="B318" s="7"/>
      <c r="C318" s="301"/>
      <c r="D318" s="7"/>
      <c r="E318" s="7"/>
      <c r="F318" s="7"/>
      <c r="G318" s="7"/>
      <c r="H318" s="7"/>
      <c r="I318" s="7"/>
      <c r="J318" s="103"/>
    </row>
    <row r="319" spans="2:10">
      <c r="B319" s="7"/>
      <c r="C319" s="301"/>
      <c r="D319" s="7"/>
      <c r="E319" s="7"/>
      <c r="F319" s="7"/>
      <c r="G319" s="7"/>
      <c r="H319" s="7"/>
      <c r="I319" s="7"/>
      <c r="J319" s="103"/>
    </row>
    <row r="320" spans="2:10">
      <c r="B320" s="7"/>
      <c r="C320" s="301"/>
      <c r="D320" s="7"/>
      <c r="E320" s="7"/>
      <c r="F320" s="7"/>
      <c r="G320" s="7"/>
      <c r="H320" s="7"/>
      <c r="I320" s="7"/>
      <c r="J320" s="103"/>
    </row>
    <row r="321" spans="2:10">
      <c r="B321" s="7"/>
      <c r="C321" s="301"/>
      <c r="D321" s="7"/>
      <c r="E321" s="7"/>
      <c r="F321" s="7"/>
      <c r="G321" s="7"/>
      <c r="H321" s="7"/>
      <c r="I321" s="7"/>
      <c r="J321" s="103"/>
    </row>
    <row r="322" spans="2:10">
      <c r="B322" s="7"/>
      <c r="C322" s="301"/>
      <c r="D322" s="7"/>
      <c r="E322" s="7"/>
      <c r="F322" s="7"/>
      <c r="G322" s="7"/>
      <c r="H322" s="7"/>
      <c r="I322" s="7"/>
      <c r="J322" s="103"/>
    </row>
    <row r="323" spans="2:10">
      <c r="B323" s="7"/>
      <c r="C323" s="301"/>
      <c r="D323" s="7"/>
      <c r="E323" s="7"/>
      <c r="F323" s="7"/>
      <c r="G323" s="7"/>
      <c r="H323" s="7"/>
      <c r="I323" s="7"/>
      <c r="J323" s="103"/>
    </row>
    <row r="324" spans="2:10">
      <c r="B324" s="7"/>
      <c r="C324" s="301"/>
      <c r="D324" s="7"/>
      <c r="E324" s="7"/>
      <c r="F324" s="7"/>
      <c r="G324" s="7"/>
      <c r="H324" s="7"/>
      <c r="I324" s="7"/>
      <c r="J324" s="103"/>
    </row>
    <row r="325" spans="2:10">
      <c r="B325" s="7"/>
      <c r="C325" s="301"/>
      <c r="D325" s="7"/>
      <c r="E325" s="7"/>
      <c r="F325" s="7"/>
      <c r="G325" s="7"/>
      <c r="H325" s="7"/>
      <c r="I325" s="7"/>
      <c r="J325" s="103"/>
    </row>
    <row r="326" spans="2:10">
      <c r="B326" s="7"/>
      <c r="C326" s="301"/>
      <c r="D326" s="7"/>
      <c r="E326" s="7"/>
      <c r="F326" s="7"/>
      <c r="G326" s="7"/>
      <c r="H326" s="7"/>
      <c r="I326" s="7"/>
      <c r="J326" s="103"/>
    </row>
    <row r="327" spans="2:10">
      <c r="B327" s="7"/>
      <c r="C327" s="301"/>
      <c r="D327" s="7"/>
      <c r="E327" s="7"/>
      <c r="F327" s="7"/>
      <c r="G327" s="7"/>
      <c r="H327" s="7"/>
      <c r="I327" s="7"/>
      <c r="J327" s="103"/>
    </row>
    <row r="328" spans="2:10">
      <c r="B328" s="7"/>
      <c r="C328" s="301"/>
      <c r="D328" s="7"/>
      <c r="E328" s="7"/>
      <c r="F328" s="7"/>
      <c r="G328" s="7"/>
      <c r="H328" s="7"/>
      <c r="I328" s="7"/>
      <c r="J328" s="103"/>
    </row>
    <row r="329" spans="2:10">
      <c r="B329" s="7"/>
      <c r="C329" s="301"/>
      <c r="D329" s="7"/>
      <c r="E329" s="7"/>
      <c r="F329" s="7"/>
      <c r="G329" s="7"/>
      <c r="H329" s="7"/>
      <c r="I329" s="7"/>
      <c r="J329" s="103"/>
    </row>
    <row r="330" spans="2:10">
      <c r="B330" s="7"/>
      <c r="C330" s="301"/>
      <c r="D330" s="7"/>
      <c r="E330" s="7"/>
      <c r="F330" s="7"/>
      <c r="G330" s="7"/>
      <c r="H330" s="7"/>
      <c r="I330" s="7"/>
      <c r="J330" s="103"/>
    </row>
    <row r="331" spans="2:10">
      <c r="B331" s="7"/>
      <c r="C331" s="301"/>
      <c r="D331" s="7"/>
      <c r="E331" s="7"/>
      <c r="F331" s="7"/>
      <c r="G331" s="7"/>
      <c r="H331" s="7"/>
      <c r="I331" s="7"/>
      <c r="J331" s="103"/>
    </row>
    <row r="332" spans="2:10">
      <c r="B332" s="7"/>
      <c r="C332" s="301"/>
      <c r="D332" s="7"/>
      <c r="E332" s="7"/>
      <c r="F332" s="7"/>
      <c r="G332" s="7"/>
      <c r="H332" s="7"/>
      <c r="I332" s="7"/>
      <c r="J332" s="103"/>
    </row>
    <row r="333" spans="2:10">
      <c r="B333" s="7"/>
      <c r="C333" s="301"/>
      <c r="D333" s="7"/>
      <c r="E333" s="7"/>
      <c r="F333" s="7"/>
      <c r="G333" s="7"/>
      <c r="H333" s="7"/>
      <c r="I333" s="7"/>
      <c r="J333" s="103"/>
    </row>
    <row r="334" spans="2:10">
      <c r="B334" s="7"/>
      <c r="C334" s="301"/>
      <c r="D334" s="7"/>
      <c r="E334" s="7"/>
      <c r="F334" s="7"/>
      <c r="G334" s="7"/>
      <c r="H334" s="7"/>
      <c r="I334" s="7"/>
      <c r="J334" s="103"/>
    </row>
    <row r="335" spans="2:10">
      <c r="B335" s="7"/>
      <c r="C335" s="301"/>
      <c r="D335" s="7"/>
      <c r="E335" s="7"/>
      <c r="F335" s="7"/>
      <c r="G335" s="7"/>
      <c r="H335" s="7"/>
      <c r="I335" s="7"/>
      <c r="J335" s="103"/>
    </row>
    <row r="336" spans="2:10">
      <c r="B336" s="7"/>
      <c r="C336" s="301"/>
      <c r="D336" s="7"/>
      <c r="E336" s="7"/>
      <c r="F336" s="7"/>
      <c r="G336" s="7"/>
      <c r="H336" s="7"/>
      <c r="I336" s="7"/>
      <c r="J336" s="103"/>
    </row>
    <row r="337" spans="2:10">
      <c r="B337" s="7"/>
      <c r="C337" s="301"/>
      <c r="D337" s="7"/>
      <c r="E337" s="7"/>
      <c r="F337" s="7"/>
      <c r="G337" s="7"/>
      <c r="H337" s="7"/>
      <c r="I337" s="7"/>
      <c r="J337" s="103"/>
    </row>
    <row r="338" spans="2:10">
      <c r="B338" s="7"/>
      <c r="C338" s="301"/>
      <c r="D338" s="7"/>
      <c r="E338" s="7"/>
      <c r="F338" s="7"/>
      <c r="G338" s="7"/>
      <c r="H338" s="7"/>
      <c r="I338" s="7"/>
      <c r="J338" s="103"/>
    </row>
    <row r="339" spans="2:10">
      <c r="B339" s="7"/>
      <c r="C339" s="301"/>
      <c r="D339" s="7"/>
      <c r="E339" s="7"/>
      <c r="F339" s="7"/>
      <c r="G339" s="7"/>
      <c r="H339" s="7"/>
      <c r="I339" s="7"/>
      <c r="J339" s="103"/>
    </row>
    <row r="340" spans="2:10">
      <c r="B340" s="7"/>
      <c r="C340" s="301"/>
      <c r="D340" s="7"/>
      <c r="E340" s="7"/>
      <c r="F340" s="7"/>
      <c r="G340" s="7"/>
      <c r="H340" s="7"/>
      <c r="I340" s="7"/>
      <c r="J340" s="103"/>
    </row>
    <row r="341" spans="2:10">
      <c r="B341" s="7"/>
      <c r="C341" s="301"/>
      <c r="D341" s="7"/>
      <c r="E341" s="7"/>
      <c r="F341" s="7"/>
      <c r="G341" s="7"/>
      <c r="H341" s="7"/>
      <c r="I341" s="7"/>
      <c r="J341" s="103"/>
    </row>
    <row r="342" spans="2:10">
      <c r="B342" s="7"/>
      <c r="C342" s="301"/>
      <c r="D342" s="7"/>
      <c r="E342" s="7"/>
      <c r="F342" s="7"/>
      <c r="G342" s="7"/>
      <c r="H342" s="7"/>
      <c r="I342" s="7"/>
      <c r="J342" s="103"/>
    </row>
    <row r="343" spans="2:10">
      <c r="B343" s="7"/>
      <c r="C343" s="301"/>
      <c r="D343" s="7"/>
      <c r="E343" s="7"/>
      <c r="F343" s="7"/>
      <c r="G343" s="7"/>
      <c r="H343" s="7"/>
      <c r="I343" s="7"/>
      <c r="J343" s="103"/>
    </row>
    <row r="344" spans="2:10">
      <c r="B344" s="7"/>
      <c r="C344" s="301"/>
      <c r="D344" s="7"/>
      <c r="E344" s="7"/>
      <c r="F344" s="7"/>
      <c r="G344" s="7"/>
      <c r="H344" s="7"/>
      <c r="I344" s="7"/>
      <c r="J344" s="103"/>
    </row>
    <row r="345" spans="2:10">
      <c r="B345" s="7"/>
      <c r="C345" s="301"/>
      <c r="D345" s="7"/>
      <c r="E345" s="7"/>
      <c r="F345" s="7"/>
      <c r="G345" s="7"/>
      <c r="H345" s="7"/>
      <c r="I345" s="7"/>
      <c r="J345" s="103"/>
    </row>
    <row r="346" spans="2:10">
      <c r="B346" s="7"/>
      <c r="C346" s="301"/>
      <c r="D346" s="7"/>
      <c r="E346" s="7"/>
      <c r="F346" s="7"/>
      <c r="G346" s="7"/>
      <c r="H346" s="7"/>
      <c r="I346" s="7"/>
      <c r="J346" s="103"/>
    </row>
    <row r="347" spans="2:10">
      <c r="B347" s="7"/>
      <c r="C347" s="301"/>
      <c r="D347" s="7"/>
      <c r="E347" s="7"/>
      <c r="F347" s="7"/>
      <c r="G347" s="7"/>
      <c r="H347" s="7"/>
      <c r="I347" s="7"/>
      <c r="J347" s="103"/>
    </row>
    <row r="348" spans="2:10">
      <c r="B348" s="7"/>
      <c r="C348" s="301"/>
      <c r="D348" s="7"/>
      <c r="E348" s="7"/>
      <c r="F348" s="7"/>
      <c r="G348" s="7"/>
      <c r="H348" s="7"/>
      <c r="I348" s="7"/>
      <c r="J348" s="103"/>
    </row>
    <row r="349" spans="2:10">
      <c r="B349" s="7"/>
      <c r="C349" s="301"/>
      <c r="D349" s="7"/>
      <c r="E349" s="7"/>
      <c r="F349" s="7"/>
      <c r="G349" s="7"/>
      <c r="H349" s="7"/>
      <c r="I349" s="7"/>
      <c r="J349" s="103"/>
    </row>
    <row r="350" spans="2:10">
      <c r="B350" s="7"/>
      <c r="C350" s="301"/>
      <c r="D350" s="7"/>
      <c r="E350" s="7"/>
      <c r="F350" s="7"/>
      <c r="G350" s="7"/>
      <c r="H350" s="7"/>
      <c r="I350" s="7"/>
      <c r="J350" s="103"/>
    </row>
    <row r="351" spans="2:10">
      <c r="B351" s="7"/>
      <c r="C351" s="301"/>
      <c r="D351" s="7"/>
      <c r="E351" s="7"/>
      <c r="F351" s="7"/>
      <c r="G351" s="7"/>
      <c r="H351" s="7"/>
      <c r="I351" s="7"/>
      <c r="J351" s="103"/>
    </row>
    <row r="352" spans="2:10">
      <c r="B352" s="7"/>
      <c r="C352" s="301"/>
      <c r="D352" s="7"/>
      <c r="E352" s="7"/>
      <c r="F352" s="7"/>
      <c r="G352" s="7"/>
      <c r="H352" s="7"/>
      <c r="I352" s="7"/>
      <c r="J352" s="103"/>
    </row>
    <row r="353" spans="2:10">
      <c r="B353" s="7"/>
      <c r="C353" s="301"/>
      <c r="D353" s="7"/>
      <c r="E353" s="7"/>
      <c r="F353" s="7"/>
      <c r="G353" s="7"/>
      <c r="H353" s="7"/>
      <c r="I353" s="7"/>
      <c r="J353" s="103"/>
    </row>
    <row r="354" spans="2:10">
      <c r="B354" s="7"/>
      <c r="C354" s="301"/>
      <c r="D354" s="7"/>
      <c r="E354" s="7"/>
      <c r="F354" s="7"/>
      <c r="G354" s="7"/>
      <c r="H354" s="7"/>
      <c r="I354" s="7"/>
      <c r="J354" s="103"/>
    </row>
    <row r="355" spans="2:10">
      <c r="B355" s="7"/>
      <c r="C355" s="301"/>
      <c r="D355" s="7"/>
      <c r="E355" s="7"/>
      <c r="F355" s="7"/>
      <c r="G355" s="7"/>
      <c r="H355" s="7"/>
      <c r="I355" s="7"/>
      <c r="J355" s="103"/>
    </row>
    <row r="356" spans="2:10">
      <c r="B356" s="7"/>
      <c r="C356" s="301"/>
      <c r="D356" s="7"/>
      <c r="E356" s="7"/>
      <c r="F356" s="7"/>
      <c r="G356" s="7"/>
      <c r="H356" s="7"/>
      <c r="I356" s="7"/>
      <c r="J356" s="103"/>
    </row>
    <row r="357" spans="2:10">
      <c r="B357" s="7"/>
      <c r="C357" s="301"/>
      <c r="D357" s="7"/>
      <c r="E357" s="7"/>
      <c r="F357" s="7"/>
      <c r="G357" s="7"/>
      <c r="H357" s="7"/>
      <c r="I357" s="7"/>
      <c r="J357" s="103"/>
    </row>
    <row r="358" spans="2:10">
      <c r="B358" s="7"/>
      <c r="C358" s="301"/>
      <c r="D358" s="7"/>
      <c r="E358" s="7"/>
      <c r="F358" s="7"/>
      <c r="G358" s="7"/>
      <c r="H358" s="7"/>
      <c r="I358" s="7"/>
      <c r="J358" s="103"/>
    </row>
    <row r="359" spans="2:10">
      <c r="B359" s="7"/>
      <c r="C359" s="301"/>
      <c r="D359" s="7"/>
      <c r="E359" s="7"/>
      <c r="F359" s="7"/>
      <c r="G359" s="7"/>
      <c r="H359" s="7"/>
      <c r="I359" s="7"/>
      <c r="J359" s="103"/>
    </row>
    <row r="360" spans="2:10">
      <c r="B360" s="7"/>
      <c r="C360" s="301"/>
      <c r="D360" s="7"/>
      <c r="E360" s="7"/>
      <c r="F360" s="7"/>
      <c r="G360" s="7"/>
      <c r="H360" s="7"/>
      <c r="I360" s="7"/>
      <c r="J360" s="103"/>
    </row>
    <row r="361" spans="2:10">
      <c r="B361" s="7"/>
      <c r="C361" s="301"/>
      <c r="D361" s="7"/>
      <c r="E361" s="7"/>
      <c r="F361" s="7"/>
      <c r="G361" s="7"/>
      <c r="H361" s="7"/>
      <c r="I361" s="7"/>
      <c r="J361" s="103"/>
    </row>
    <row r="362" spans="2:10">
      <c r="B362" s="7"/>
      <c r="C362" s="301"/>
      <c r="D362" s="7"/>
      <c r="E362" s="7"/>
      <c r="F362" s="7"/>
      <c r="G362" s="7"/>
      <c r="H362" s="7"/>
      <c r="I362" s="7"/>
      <c r="J362" s="103"/>
    </row>
    <row r="363" spans="2:10">
      <c r="B363" s="7"/>
      <c r="C363" s="301"/>
      <c r="D363" s="7"/>
      <c r="E363" s="7"/>
      <c r="F363" s="7"/>
      <c r="G363" s="7"/>
      <c r="H363" s="7"/>
      <c r="I363" s="7"/>
      <c r="J363" s="103"/>
    </row>
    <row r="364" spans="2:10">
      <c r="B364" s="7"/>
      <c r="C364" s="301"/>
      <c r="D364" s="7"/>
      <c r="E364" s="7"/>
      <c r="F364" s="7"/>
      <c r="G364" s="7"/>
      <c r="H364" s="7"/>
      <c r="I364" s="7"/>
      <c r="J364" s="103"/>
    </row>
    <row r="365" spans="2:10">
      <c r="B365" s="7"/>
      <c r="C365" s="301"/>
      <c r="D365" s="7"/>
      <c r="E365" s="7"/>
      <c r="F365" s="7"/>
      <c r="G365" s="7"/>
      <c r="H365" s="7"/>
      <c r="I365" s="7"/>
      <c r="J365" s="103"/>
    </row>
    <row r="366" spans="2:10">
      <c r="B366" s="7"/>
      <c r="C366" s="301"/>
      <c r="D366" s="7"/>
      <c r="E366" s="7"/>
      <c r="F366" s="7"/>
      <c r="G366" s="7"/>
      <c r="H366" s="7"/>
      <c r="I366" s="7"/>
      <c r="J366" s="103"/>
    </row>
    <row r="367" spans="2:10">
      <c r="B367" s="7"/>
      <c r="C367" s="301"/>
      <c r="D367" s="7"/>
      <c r="E367" s="7"/>
      <c r="F367" s="7"/>
      <c r="G367" s="7"/>
      <c r="H367" s="7"/>
      <c r="I367" s="7"/>
      <c r="J367" s="103"/>
    </row>
    <row r="368" spans="2:10">
      <c r="B368" s="7"/>
      <c r="C368" s="301"/>
      <c r="D368" s="7"/>
      <c r="E368" s="7"/>
      <c r="F368" s="7"/>
      <c r="G368" s="7"/>
      <c r="H368" s="7"/>
      <c r="I368" s="7"/>
      <c r="J368" s="103"/>
    </row>
    <row r="369" spans="2:10">
      <c r="B369" s="7"/>
      <c r="C369" s="301"/>
      <c r="D369" s="7"/>
      <c r="E369" s="7"/>
      <c r="F369" s="7"/>
      <c r="G369" s="7"/>
      <c r="H369" s="7"/>
      <c r="I369" s="7"/>
      <c r="J369" s="103"/>
    </row>
    <row r="370" spans="2:10">
      <c r="B370" s="7"/>
      <c r="C370" s="301"/>
      <c r="D370" s="7"/>
      <c r="E370" s="7"/>
      <c r="F370" s="7"/>
      <c r="G370" s="7"/>
      <c r="H370" s="7"/>
      <c r="I370" s="7"/>
      <c r="J370" s="103"/>
    </row>
    <row r="371" spans="2:10">
      <c r="B371" s="7"/>
      <c r="C371" s="301"/>
      <c r="D371" s="7"/>
      <c r="E371" s="7"/>
      <c r="F371" s="7"/>
      <c r="G371" s="7"/>
      <c r="H371" s="7"/>
      <c r="I371" s="7"/>
      <c r="J371" s="103"/>
    </row>
    <row r="372" spans="2:10">
      <c r="B372" s="7"/>
      <c r="C372" s="301"/>
      <c r="D372" s="7"/>
      <c r="E372" s="7"/>
      <c r="F372" s="7"/>
      <c r="G372" s="7"/>
      <c r="H372" s="7"/>
      <c r="I372" s="7"/>
      <c r="J372" s="103"/>
    </row>
    <row r="373" spans="2:10">
      <c r="B373" s="7"/>
      <c r="C373" s="301"/>
      <c r="D373" s="7"/>
      <c r="E373" s="7"/>
      <c r="F373" s="7"/>
      <c r="G373" s="7"/>
      <c r="H373" s="7"/>
      <c r="I373" s="7"/>
      <c r="J373" s="103"/>
    </row>
    <row r="374" spans="2:10">
      <c r="B374" s="7"/>
      <c r="C374" s="301"/>
      <c r="D374" s="7"/>
      <c r="E374" s="7"/>
      <c r="F374" s="7"/>
      <c r="G374" s="7"/>
      <c r="H374" s="7"/>
      <c r="I374" s="7"/>
      <c r="J374" s="103"/>
    </row>
    <row r="375" spans="2:10">
      <c r="B375" s="7"/>
      <c r="C375" s="301"/>
      <c r="D375" s="7"/>
      <c r="E375" s="7"/>
      <c r="F375" s="7"/>
      <c r="G375" s="7"/>
      <c r="H375" s="7"/>
      <c r="I375" s="7"/>
      <c r="J375" s="103"/>
    </row>
    <row r="376" spans="2:10">
      <c r="B376" s="7"/>
      <c r="C376" s="301"/>
      <c r="D376" s="7"/>
      <c r="E376" s="7"/>
      <c r="F376" s="7"/>
      <c r="G376" s="7"/>
      <c r="H376" s="7"/>
      <c r="I376" s="7"/>
      <c r="J376" s="103"/>
    </row>
    <row r="377" spans="2:10">
      <c r="B377" s="7"/>
      <c r="C377" s="301"/>
      <c r="D377" s="7"/>
      <c r="E377" s="7"/>
      <c r="F377" s="7"/>
      <c r="G377" s="7"/>
      <c r="H377" s="7"/>
      <c r="I377" s="7"/>
      <c r="J377" s="103"/>
    </row>
    <row r="378" spans="2:10">
      <c r="B378" s="7"/>
      <c r="C378" s="301"/>
      <c r="D378" s="7"/>
      <c r="E378" s="7"/>
      <c r="F378" s="7"/>
      <c r="G378" s="7"/>
      <c r="H378" s="7"/>
      <c r="I378" s="7"/>
      <c r="J378" s="103"/>
    </row>
    <row r="379" spans="2:10">
      <c r="B379" s="7"/>
      <c r="C379" s="301"/>
      <c r="D379" s="7"/>
      <c r="E379" s="7"/>
      <c r="F379" s="7"/>
      <c r="G379" s="7"/>
      <c r="H379" s="7"/>
      <c r="I379" s="7"/>
      <c r="J379" s="103"/>
    </row>
    <row r="380" spans="2:10">
      <c r="B380" s="7"/>
      <c r="C380" s="301"/>
      <c r="D380" s="7"/>
      <c r="E380" s="7"/>
      <c r="F380" s="7"/>
      <c r="G380" s="7"/>
      <c r="H380" s="7"/>
      <c r="I380" s="7"/>
      <c r="J380" s="103"/>
    </row>
    <row r="381" spans="2:10">
      <c r="B381" s="7"/>
      <c r="C381" s="301"/>
      <c r="D381" s="7"/>
      <c r="E381" s="7"/>
      <c r="F381" s="7"/>
      <c r="G381" s="7"/>
      <c r="H381" s="7"/>
      <c r="I381" s="7"/>
      <c r="J381" s="103"/>
    </row>
    <row r="382" spans="2:10">
      <c r="B382" s="7"/>
      <c r="C382" s="301"/>
      <c r="D382" s="7"/>
      <c r="E382" s="7"/>
      <c r="F382" s="7"/>
      <c r="G382" s="7"/>
      <c r="H382" s="7"/>
      <c r="I382" s="7"/>
      <c r="J382" s="103"/>
    </row>
    <row r="383" spans="2:10">
      <c r="B383" s="7"/>
      <c r="C383" s="301"/>
      <c r="D383" s="7"/>
      <c r="E383" s="7"/>
      <c r="F383" s="7"/>
      <c r="G383" s="7"/>
      <c r="H383" s="7"/>
      <c r="I383" s="7"/>
      <c r="J383" s="103"/>
    </row>
    <row r="384" spans="2:10">
      <c r="B384" s="7"/>
      <c r="C384" s="301"/>
      <c r="D384" s="7"/>
      <c r="E384" s="7"/>
      <c r="F384" s="7"/>
      <c r="G384" s="7"/>
      <c r="H384" s="7"/>
      <c r="I384" s="7"/>
      <c r="J384" s="103"/>
    </row>
    <row r="385" spans="2:10">
      <c r="B385" s="7"/>
      <c r="C385" s="301"/>
      <c r="D385" s="7"/>
      <c r="E385" s="7"/>
      <c r="F385" s="7"/>
      <c r="G385" s="7"/>
      <c r="H385" s="7"/>
      <c r="I385" s="7"/>
      <c r="J385" s="103"/>
    </row>
    <row r="386" spans="2:10">
      <c r="B386" s="7"/>
      <c r="C386" s="301"/>
      <c r="D386" s="7"/>
      <c r="E386" s="7"/>
      <c r="F386" s="7"/>
      <c r="G386" s="7"/>
      <c r="H386" s="7"/>
      <c r="I386" s="7"/>
      <c r="J386" s="103"/>
    </row>
    <row r="387" spans="2:10">
      <c r="B387" s="7"/>
      <c r="C387" s="301"/>
      <c r="D387" s="7"/>
      <c r="E387" s="7"/>
      <c r="F387" s="7"/>
      <c r="G387" s="7"/>
      <c r="H387" s="7"/>
      <c r="I387" s="7"/>
      <c r="J387" s="103"/>
    </row>
    <row r="388" spans="2:10">
      <c r="B388" s="7"/>
      <c r="C388" s="301"/>
      <c r="D388" s="7"/>
      <c r="E388" s="7"/>
      <c r="F388" s="7"/>
      <c r="G388" s="7"/>
      <c r="H388" s="7"/>
      <c r="I388" s="7"/>
      <c r="J388" s="103"/>
    </row>
    <row r="389" spans="2:10">
      <c r="B389" s="7"/>
      <c r="C389" s="301"/>
      <c r="D389" s="7"/>
      <c r="E389" s="7"/>
      <c r="F389" s="7"/>
      <c r="G389" s="7"/>
      <c r="H389" s="7"/>
      <c r="I389" s="7"/>
      <c r="J389" s="103"/>
    </row>
    <row r="390" spans="2:10">
      <c r="B390" s="7"/>
      <c r="C390" s="301"/>
      <c r="D390" s="7"/>
      <c r="E390" s="7"/>
      <c r="F390" s="7"/>
      <c r="G390" s="7"/>
      <c r="H390" s="7"/>
      <c r="I390" s="7"/>
      <c r="J390" s="103"/>
    </row>
    <row r="391" spans="2:10">
      <c r="B391" s="7"/>
      <c r="C391" s="301"/>
      <c r="D391" s="7"/>
      <c r="E391" s="7"/>
      <c r="F391" s="7"/>
      <c r="G391" s="7"/>
      <c r="H391" s="7"/>
      <c r="I391" s="7"/>
      <c r="J391" s="103"/>
    </row>
    <row r="392" spans="2:10">
      <c r="B392" s="7"/>
      <c r="C392" s="301"/>
      <c r="D392" s="7"/>
      <c r="E392" s="7"/>
      <c r="F392" s="7"/>
      <c r="G392" s="7"/>
      <c r="H392" s="7"/>
      <c r="I392" s="7"/>
      <c r="J392" s="103"/>
    </row>
    <row r="393" spans="2:10">
      <c r="B393" s="7"/>
      <c r="C393" s="301"/>
      <c r="D393" s="7"/>
      <c r="E393" s="7"/>
      <c r="F393" s="7"/>
      <c r="G393" s="7"/>
      <c r="H393" s="7"/>
      <c r="I393" s="7"/>
      <c r="J393" s="103"/>
    </row>
    <row r="394" spans="2:10">
      <c r="B394" s="7"/>
      <c r="C394" s="301"/>
      <c r="D394" s="7"/>
      <c r="E394" s="7"/>
      <c r="F394" s="7"/>
      <c r="G394" s="7"/>
      <c r="H394" s="7"/>
      <c r="I394" s="7"/>
      <c r="J394" s="103"/>
    </row>
    <row r="395" spans="2:10">
      <c r="B395" s="7"/>
      <c r="C395" s="301"/>
      <c r="D395" s="7"/>
      <c r="E395" s="7"/>
      <c r="F395" s="7"/>
      <c r="G395" s="7"/>
      <c r="H395" s="7"/>
      <c r="I395" s="7"/>
      <c r="J395" s="103"/>
    </row>
    <row r="396" spans="2:10">
      <c r="B396" s="7"/>
      <c r="C396" s="301"/>
      <c r="D396" s="7"/>
      <c r="E396" s="7"/>
      <c r="F396" s="7"/>
      <c r="G396" s="7"/>
      <c r="H396" s="7"/>
      <c r="I396" s="7"/>
      <c r="J396" s="103"/>
    </row>
    <row r="397" spans="2:10">
      <c r="B397" s="7"/>
      <c r="C397" s="301"/>
      <c r="D397" s="7"/>
      <c r="E397" s="7"/>
      <c r="F397" s="7"/>
      <c r="G397" s="7"/>
      <c r="H397" s="7"/>
      <c r="I397" s="7"/>
      <c r="J397" s="103"/>
    </row>
    <row r="398" spans="2:10">
      <c r="B398" s="7"/>
      <c r="C398" s="301"/>
      <c r="D398" s="7"/>
      <c r="E398" s="7"/>
      <c r="F398" s="7"/>
      <c r="G398" s="7"/>
      <c r="H398" s="7"/>
      <c r="I398" s="7"/>
      <c r="J398" s="103"/>
    </row>
    <row r="399" spans="2:10">
      <c r="B399" s="7"/>
      <c r="C399" s="301"/>
      <c r="D399" s="7"/>
      <c r="E399" s="7"/>
      <c r="F399" s="7"/>
      <c r="G399" s="7"/>
      <c r="H399" s="7"/>
      <c r="I399" s="7"/>
      <c r="J399" s="103"/>
    </row>
    <row r="400" spans="2:10">
      <c r="B400" s="7"/>
      <c r="C400" s="301"/>
      <c r="D400" s="7"/>
      <c r="E400" s="7"/>
      <c r="F400" s="7"/>
      <c r="G400" s="7"/>
      <c r="H400" s="7"/>
      <c r="I400" s="7"/>
      <c r="J400" s="103"/>
    </row>
    <row r="401" spans="2:10">
      <c r="B401" s="7"/>
      <c r="C401" s="301"/>
      <c r="D401" s="7"/>
      <c r="E401" s="7"/>
      <c r="F401" s="7"/>
      <c r="G401" s="7"/>
      <c r="H401" s="7"/>
      <c r="I401" s="7"/>
      <c r="J401" s="103"/>
    </row>
    <row r="402" spans="2:10">
      <c r="B402" s="7"/>
      <c r="C402" s="301"/>
      <c r="D402" s="7"/>
      <c r="E402" s="7"/>
      <c r="F402" s="7"/>
      <c r="G402" s="7"/>
      <c r="H402" s="7"/>
      <c r="I402" s="7"/>
      <c r="J402" s="103"/>
    </row>
    <row r="403" spans="2:10">
      <c r="B403" s="7"/>
      <c r="C403" s="301"/>
      <c r="D403" s="7"/>
      <c r="E403" s="7"/>
      <c r="F403" s="7"/>
      <c r="G403" s="7"/>
      <c r="H403" s="7"/>
      <c r="I403" s="7"/>
      <c r="J403" s="103"/>
    </row>
    <row r="404" spans="2:10">
      <c r="B404" s="7"/>
      <c r="C404" s="301"/>
      <c r="D404" s="7"/>
      <c r="E404" s="7"/>
      <c r="F404" s="7"/>
      <c r="G404" s="7"/>
      <c r="H404" s="7"/>
      <c r="I404" s="7"/>
      <c r="J404" s="103"/>
    </row>
    <row r="405" spans="2:10">
      <c r="B405" s="7"/>
      <c r="C405" s="301"/>
      <c r="D405" s="7"/>
      <c r="E405" s="7"/>
      <c r="F405" s="7"/>
      <c r="G405" s="7"/>
      <c r="H405" s="7"/>
      <c r="I405" s="7"/>
      <c r="J405" s="103"/>
    </row>
    <row r="406" spans="2:10">
      <c r="B406" s="7"/>
      <c r="C406" s="301"/>
      <c r="D406" s="7"/>
      <c r="E406" s="7"/>
      <c r="F406" s="7"/>
      <c r="G406" s="7"/>
      <c r="H406" s="7"/>
      <c r="I406" s="7"/>
      <c r="J406" s="103"/>
    </row>
    <row r="407" spans="2:10">
      <c r="B407" s="7"/>
      <c r="C407" s="301"/>
      <c r="D407" s="7"/>
      <c r="E407" s="7"/>
      <c r="F407" s="7"/>
      <c r="G407" s="7"/>
      <c r="H407" s="7"/>
      <c r="I407" s="7"/>
      <c r="J407" s="103"/>
    </row>
    <row r="408" spans="2:10">
      <c r="B408" s="7"/>
      <c r="C408" s="301"/>
      <c r="D408" s="7"/>
      <c r="E408" s="7"/>
      <c r="F408" s="7"/>
      <c r="G408" s="7"/>
      <c r="H408" s="7"/>
      <c r="I408" s="7"/>
      <c r="J408" s="103"/>
    </row>
    <row r="409" spans="2:10">
      <c r="B409" s="7"/>
      <c r="C409" s="301"/>
      <c r="D409" s="7"/>
      <c r="E409" s="7"/>
      <c r="F409" s="7"/>
      <c r="G409" s="7"/>
      <c r="H409" s="7"/>
      <c r="I409" s="7"/>
      <c r="J409" s="103"/>
    </row>
    <row r="410" spans="2:10">
      <c r="B410" s="7"/>
      <c r="C410" s="301"/>
      <c r="D410" s="7"/>
      <c r="E410" s="7"/>
      <c r="F410" s="7"/>
      <c r="G410" s="7"/>
      <c r="H410" s="7"/>
      <c r="I410" s="7"/>
      <c r="J410" s="103"/>
    </row>
    <row r="411" spans="2:10">
      <c r="B411" s="7"/>
      <c r="C411" s="301"/>
      <c r="D411" s="7"/>
      <c r="E411" s="7"/>
      <c r="F411" s="7"/>
      <c r="G411" s="7"/>
      <c r="H411" s="7"/>
      <c r="I411" s="7"/>
      <c r="J411" s="103"/>
    </row>
    <row r="412" spans="2:10">
      <c r="B412" s="7"/>
      <c r="C412" s="301"/>
      <c r="D412" s="7"/>
      <c r="E412" s="7"/>
      <c r="F412" s="7"/>
      <c r="G412" s="7"/>
      <c r="H412" s="7"/>
      <c r="I412" s="7"/>
      <c r="J412" s="103"/>
    </row>
    <row r="413" spans="2:10">
      <c r="B413" s="7"/>
      <c r="C413" s="301"/>
      <c r="D413" s="7"/>
      <c r="E413" s="7"/>
      <c r="F413" s="7"/>
      <c r="G413" s="7"/>
      <c r="H413" s="7"/>
      <c r="I413" s="7"/>
      <c r="J413" s="103"/>
    </row>
    <row r="414" spans="2:10">
      <c r="B414" s="7"/>
      <c r="C414" s="301"/>
      <c r="D414" s="7"/>
      <c r="E414" s="7"/>
      <c r="F414" s="7"/>
      <c r="G414" s="7"/>
      <c r="H414" s="7"/>
      <c r="I414" s="7"/>
      <c r="J414" s="103"/>
    </row>
    <row r="415" spans="2:10">
      <c r="B415" s="7"/>
      <c r="C415" s="301"/>
      <c r="D415" s="7"/>
      <c r="E415" s="7"/>
      <c r="F415" s="7"/>
      <c r="G415" s="7"/>
      <c r="H415" s="7"/>
      <c r="I415" s="7"/>
      <c r="J415" s="103"/>
    </row>
    <row r="416" spans="2:10">
      <c r="B416" s="7"/>
      <c r="C416" s="301"/>
      <c r="D416" s="7"/>
      <c r="E416" s="7"/>
      <c r="F416" s="7"/>
      <c r="G416" s="7"/>
      <c r="H416" s="7"/>
      <c r="I416" s="7"/>
      <c r="J416" s="103"/>
    </row>
    <row r="417" spans="2:10">
      <c r="B417" s="7"/>
      <c r="C417" s="301"/>
      <c r="D417" s="7"/>
      <c r="E417" s="7"/>
      <c r="F417" s="7"/>
      <c r="G417" s="7"/>
      <c r="H417" s="7"/>
      <c r="I417" s="7"/>
      <c r="J417" s="103"/>
    </row>
    <row r="418" spans="2:10">
      <c r="B418" s="7"/>
      <c r="C418" s="301"/>
      <c r="D418" s="7"/>
      <c r="E418" s="7"/>
      <c r="F418" s="7"/>
      <c r="G418" s="7"/>
      <c r="H418" s="7"/>
      <c r="I418" s="7"/>
      <c r="J418" s="103"/>
    </row>
    <row r="419" spans="2:10">
      <c r="B419" s="7"/>
      <c r="C419" s="301"/>
      <c r="D419" s="7"/>
      <c r="E419" s="7"/>
      <c r="F419" s="7"/>
      <c r="G419" s="7"/>
      <c r="H419" s="7"/>
      <c r="I419" s="7"/>
      <c r="J419" s="103"/>
    </row>
    <row r="420" spans="2:10">
      <c r="B420" s="7"/>
      <c r="C420" s="301"/>
      <c r="D420" s="7"/>
      <c r="E420" s="7"/>
      <c r="F420" s="7"/>
      <c r="G420" s="7"/>
      <c r="H420" s="7"/>
      <c r="I420" s="7"/>
      <c r="J420" s="103"/>
    </row>
    <row r="421" spans="2:10">
      <c r="B421" s="7"/>
      <c r="C421" s="301"/>
      <c r="D421" s="7"/>
      <c r="E421" s="7"/>
      <c r="F421" s="7"/>
      <c r="G421" s="7"/>
      <c r="H421" s="7"/>
      <c r="I421" s="7"/>
      <c r="J421" s="103"/>
    </row>
    <row r="422" spans="2:10">
      <c r="B422" s="7"/>
      <c r="C422" s="301"/>
      <c r="D422" s="7"/>
      <c r="E422" s="7"/>
      <c r="F422" s="7"/>
      <c r="G422" s="7"/>
      <c r="H422" s="7"/>
      <c r="I422" s="7"/>
      <c r="J422" s="103"/>
    </row>
    <row r="423" spans="2:10">
      <c r="B423" s="7"/>
      <c r="C423" s="301"/>
      <c r="D423" s="7"/>
      <c r="E423" s="7"/>
      <c r="F423" s="7"/>
      <c r="G423" s="7"/>
      <c r="H423" s="7"/>
      <c r="I423" s="7"/>
      <c r="J423" s="103"/>
    </row>
    <row r="424" spans="2:10">
      <c r="B424" s="7"/>
      <c r="C424" s="301"/>
      <c r="D424" s="7"/>
      <c r="E424" s="7"/>
      <c r="F424" s="7"/>
      <c r="G424" s="7"/>
      <c r="H424" s="7"/>
      <c r="I424" s="7"/>
      <c r="J424" s="103"/>
    </row>
    <row r="425" spans="2:10">
      <c r="B425" s="7"/>
      <c r="C425" s="301"/>
      <c r="D425" s="7"/>
      <c r="E425" s="7"/>
      <c r="F425" s="7"/>
      <c r="G425" s="7"/>
      <c r="H425" s="7"/>
      <c r="I425" s="7"/>
      <c r="J425" s="103"/>
    </row>
    <row r="426" spans="2:10">
      <c r="B426" s="7"/>
      <c r="C426" s="301"/>
      <c r="D426" s="7"/>
      <c r="E426" s="7"/>
      <c r="F426" s="7"/>
      <c r="G426" s="7"/>
      <c r="H426" s="7"/>
      <c r="I426" s="7"/>
      <c r="J426" s="103"/>
    </row>
    <row r="427" spans="2:10">
      <c r="B427" s="7"/>
      <c r="C427" s="301"/>
      <c r="D427" s="7"/>
      <c r="E427" s="7"/>
      <c r="F427" s="7"/>
      <c r="G427" s="7"/>
      <c r="H427" s="7"/>
      <c r="I427" s="7"/>
      <c r="J427" s="103"/>
    </row>
    <row r="428" spans="2:10">
      <c r="B428" s="7"/>
      <c r="C428" s="301"/>
      <c r="D428" s="7"/>
      <c r="E428" s="7"/>
      <c r="F428" s="7"/>
      <c r="G428" s="7"/>
      <c r="H428" s="7"/>
      <c r="I428" s="7"/>
      <c r="J428" s="103"/>
    </row>
    <row r="429" spans="2:10">
      <c r="B429" s="7"/>
      <c r="C429" s="301"/>
      <c r="D429" s="7"/>
      <c r="E429" s="7"/>
      <c r="F429" s="7"/>
      <c r="G429" s="7"/>
      <c r="H429" s="7"/>
      <c r="I429" s="7"/>
      <c r="J429" s="103"/>
    </row>
    <row r="430" spans="2:10">
      <c r="B430" s="7"/>
      <c r="C430" s="301"/>
      <c r="D430" s="7"/>
      <c r="E430" s="7"/>
      <c r="F430" s="7"/>
      <c r="G430" s="7"/>
      <c r="H430" s="7"/>
      <c r="I430" s="7"/>
      <c r="J430" s="103"/>
    </row>
    <row r="431" spans="2:10">
      <c r="B431" s="7"/>
      <c r="C431" s="301"/>
      <c r="D431" s="7"/>
      <c r="E431" s="7"/>
      <c r="F431" s="7"/>
      <c r="G431" s="7"/>
      <c r="H431" s="7"/>
      <c r="I431" s="7"/>
      <c r="J431" s="103"/>
    </row>
    <row r="432" spans="2:10">
      <c r="B432" s="7"/>
      <c r="C432" s="301"/>
      <c r="D432" s="7"/>
      <c r="E432" s="7"/>
      <c r="F432" s="7"/>
      <c r="G432" s="7"/>
      <c r="H432" s="7"/>
      <c r="I432" s="7"/>
      <c r="J432" s="103"/>
    </row>
    <row r="433" spans="2:10">
      <c r="B433" s="7"/>
      <c r="C433" s="301"/>
      <c r="D433" s="7"/>
      <c r="E433" s="7"/>
      <c r="F433" s="7"/>
      <c r="G433" s="7"/>
      <c r="H433" s="7"/>
      <c r="I433" s="7"/>
      <c r="J433" s="103"/>
    </row>
    <row r="434" spans="2:10">
      <c r="B434" s="7"/>
      <c r="C434" s="301"/>
      <c r="D434" s="7"/>
      <c r="E434" s="7"/>
      <c r="F434" s="7"/>
      <c r="G434" s="7"/>
      <c r="H434" s="7"/>
      <c r="I434" s="7"/>
      <c r="J434" s="103"/>
    </row>
    <row r="435" spans="2:10">
      <c r="B435" s="7"/>
      <c r="C435" s="301"/>
      <c r="D435" s="7"/>
      <c r="E435" s="7"/>
      <c r="F435" s="7"/>
      <c r="G435" s="7"/>
      <c r="H435" s="7"/>
      <c r="I435" s="7"/>
      <c r="J435" s="103"/>
    </row>
    <row r="436" spans="2:10">
      <c r="B436" s="7"/>
      <c r="C436" s="301"/>
      <c r="D436" s="7"/>
      <c r="E436" s="7"/>
      <c r="F436" s="7"/>
      <c r="G436" s="7"/>
      <c r="H436" s="7"/>
      <c r="I436" s="7"/>
      <c r="J436" s="103"/>
    </row>
    <row r="437" spans="2:10">
      <c r="B437" s="7"/>
      <c r="C437" s="301"/>
      <c r="D437" s="7"/>
      <c r="E437" s="7"/>
      <c r="F437" s="7"/>
      <c r="G437" s="7"/>
      <c r="H437" s="7"/>
      <c r="I437" s="7"/>
      <c r="J437" s="103"/>
    </row>
    <row r="438" spans="2:10">
      <c r="B438" s="7"/>
      <c r="C438" s="301"/>
      <c r="D438" s="7"/>
      <c r="E438" s="7"/>
      <c r="F438" s="7"/>
      <c r="G438" s="7"/>
      <c r="H438" s="7"/>
      <c r="I438" s="7"/>
      <c r="J438" s="103"/>
    </row>
    <row r="439" spans="2:10">
      <c r="B439" s="7"/>
      <c r="C439" s="301"/>
      <c r="D439" s="7"/>
      <c r="E439" s="7"/>
      <c r="F439" s="7"/>
      <c r="G439" s="7"/>
      <c r="H439" s="7"/>
      <c r="I439" s="7"/>
      <c r="J439" s="103"/>
    </row>
    <row r="440" spans="2:10">
      <c r="B440" s="7"/>
      <c r="C440" s="301"/>
      <c r="D440" s="7"/>
      <c r="E440" s="7"/>
      <c r="F440" s="7"/>
      <c r="G440" s="7"/>
      <c r="H440" s="7"/>
      <c r="I440" s="7"/>
      <c r="J440" s="103"/>
    </row>
    <row r="441" spans="2:10">
      <c r="B441" s="7"/>
      <c r="C441" s="301"/>
      <c r="D441" s="7"/>
      <c r="E441" s="7"/>
      <c r="F441" s="7"/>
      <c r="G441" s="7"/>
      <c r="H441" s="7"/>
      <c r="I441" s="7"/>
      <c r="J441" s="103"/>
    </row>
    <row r="442" spans="2:10">
      <c r="B442" s="7"/>
      <c r="C442" s="301"/>
      <c r="D442" s="7"/>
      <c r="E442" s="7"/>
      <c r="F442" s="7"/>
      <c r="G442" s="7"/>
      <c r="H442" s="7"/>
      <c r="I442" s="7"/>
      <c r="J442" s="103"/>
    </row>
    <row r="443" spans="2:10">
      <c r="B443" s="7"/>
      <c r="C443" s="301"/>
      <c r="D443" s="7"/>
      <c r="E443" s="7"/>
      <c r="F443" s="7"/>
      <c r="G443" s="7"/>
      <c r="H443" s="7"/>
      <c r="I443" s="7"/>
      <c r="J443" s="103"/>
    </row>
    <row r="444" spans="2:10">
      <c r="B444" s="7"/>
      <c r="C444" s="301"/>
      <c r="D444" s="7"/>
      <c r="E444" s="7"/>
      <c r="F444" s="7"/>
      <c r="G444" s="7"/>
      <c r="H444" s="7"/>
      <c r="I444" s="7"/>
      <c r="J444" s="103"/>
    </row>
    <row r="445" spans="2:10">
      <c r="B445" s="7"/>
      <c r="C445" s="301"/>
      <c r="D445" s="7"/>
      <c r="E445" s="7"/>
      <c r="F445" s="7"/>
      <c r="G445" s="7"/>
      <c r="H445" s="7"/>
      <c r="I445" s="7"/>
      <c r="J445" s="103"/>
    </row>
    <row r="446" spans="2:10">
      <c r="B446" s="7"/>
      <c r="C446" s="301"/>
      <c r="D446" s="7"/>
      <c r="E446" s="7"/>
      <c r="F446" s="7"/>
      <c r="G446" s="7"/>
      <c r="H446" s="7"/>
      <c r="I446" s="7"/>
      <c r="J446" s="103"/>
    </row>
    <row r="447" spans="2:10">
      <c r="B447" s="7"/>
      <c r="C447" s="301"/>
      <c r="D447" s="7"/>
      <c r="E447" s="7"/>
      <c r="F447" s="7"/>
      <c r="G447" s="7"/>
      <c r="H447" s="7"/>
      <c r="I447" s="7"/>
      <c r="J447" s="103"/>
    </row>
    <row r="448" spans="2:10">
      <c r="B448" s="7"/>
      <c r="C448" s="301"/>
      <c r="D448" s="7"/>
      <c r="E448" s="7"/>
      <c r="F448" s="7"/>
      <c r="G448" s="7"/>
      <c r="H448" s="7"/>
      <c r="I448" s="7"/>
      <c r="J448" s="103"/>
    </row>
    <row r="449" spans="2:10">
      <c r="B449" s="7"/>
      <c r="C449" s="301"/>
      <c r="D449" s="7"/>
      <c r="E449" s="7"/>
      <c r="F449" s="7"/>
      <c r="G449" s="7"/>
      <c r="H449" s="7"/>
      <c r="I449" s="7"/>
      <c r="J449" s="103"/>
    </row>
    <row r="450" spans="2:10">
      <c r="B450" s="7"/>
      <c r="C450" s="301"/>
      <c r="D450" s="7"/>
      <c r="E450" s="7"/>
      <c r="F450" s="7"/>
      <c r="G450" s="7"/>
      <c r="H450" s="7"/>
      <c r="I450" s="7"/>
      <c r="J450" s="103"/>
    </row>
    <row r="451" spans="2:10">
      <c r="B451" s="7"/>
      <c r="C451" s="301"/>
      <c r="D451" s="7"/>
      <c r="E451" s="7"/>
      <c r="F451" s="7"/>
      <c r="G451" s="7"/>
      <c r="H451" s="7"/>
      <c r="I451" s="7"/>
      <c r="J451" s="103"/>
    </row>
    <row r="452" spans="2:10">
      <c r="B452" s="7"/>
      <c r="C452" s="301"/>
      <c r="D452" s="7"/>
      <c r="E452" s="7"/>
      <c r="F452" s="7"/>
      <c r="G452" s="7"/>
      <c r="H452" s="7"/>
      <c r="I452" s="7"/>
      <c r="J452" s="103"/>
    </row>
    <row r="453" spans="2:10">
      <c r="B453" s="7"/>
      <c r="C453" s="301"/>
      <c r="D453" s="7"/>
      <c r="E453" s="7"/>
      <c r="F453" s="7"/>
      <c r="G453" s="7"/>
      <c r="H453" s="7"/>
      <c r="I453" s="7"/>
      <c r="J453" s="103"/>
    </row>
    <row r="454" spans="2:10">
      <c r="B454" s="7"/>
      <c r="C454" s="301"/>
      <c r="D454" s="7"/>
      <c r="E454" s="7"/>
      <c r="F454" s="7"/>
      <c r="G454" s="7"/>
      <c r="H454" s="7"/>
      <c r="I454" s="7"/>
      <c r="J454" s="103"/>
    </row>
    <row r="455" spans="2:10">
      <c r="B455" s="7"/>
      <c r="C455" s="301"/>
      <c r="D455" s="7"/>
      <c r="E455" s="7"/>
      <c r="F455" s="7"/>
      <c r="G455" s="7"/>
      <c r="H455" s="7"/>
      <c r="I455" s="7"/>
      <c r="J455" s="103"/>
    </row>
    <row r="456" spans="2:10">
      <c r="B456" s="7"/>
      <c r="C456" s="301"/>
      <c r="D456" s="7"/>
      <c r="E456" s="7"/>
      <c r="F456" s="7"/>
      <c r="G456" s="7"/>
      <c r="H456" s="7"/>
      <c r="I456" s="7"/>
      <c r="J456" s="103"/>
    </row>
    <row r="457" spans="2:10">
      <c r="B457" s="7"/>
      <c r="C457" s="301"/>
      <c r="D457" s="7"/>
      <c r="E457" s="7"/>
      <c r="F457" s="7"/>
      <c r="G457" s="7"/>
      <c r="H457" s="7"/>
      <c r="I457" s="7"/>
      <c r="J457" s="103"/>
    </row>
    <row r="458" spans="2:10">
      <c r="B458" s="7"/>
      <c r="C458" s="301"/>
      <c r="D458" s="7"/>
      <c r="E458" s="7"/>
      <c r="F458" s="7"/>
      <c r="G458" s="7"/>
      <c r="H458" s="7"/>
      <c r="I458" s="7"/>
      <c r="J458" s="103"/>
    </row>
    <row r="459" spans="2:10">
      <c r="B459" s="7"/>
      <c r="C459" s="301"/>
      <c r="D459" s="7"/>
      <c r="E459" s="7"/>
      <c r="F459" s="7"/>
      <c r="G459" s="7"/>
      <c r="H459" s="7"/>
      <c r="I459" s="7"/>
      <c r="J459" s="103"/>
    </row>
  </sheetData>
  <sheetProtection sheet="1" selectLockedCells="1"/>
  <mergeCells count="44">
    <mergeCell ref="C19:D19"/>
    <mergeCell ref="C39:D39"/>
    <mergeCell ref="C41:D41"/>
    <mergeCell ref="I61:J61"/>
    <mergeCell ref="I60:J60"/>
    <mergeCell ref="I59:J59"/>
    <mergeCell ref="I58:J58"/>
    <mergeCell ref="C59:D59"/>
    <mergeCell ref="C61:D61"/>
    <mergeCell ref="I21:J21"/>
    <mergeCell ref="I20:J20"/>
    <mergeCell ref="I19:J19"/>
    <mergeCell ref="H24:H25"/>
    <mergeCell ref="E24:E25"/>
    <mergeCell ref="I24:I25"/>
    <mergeCell ref="I44:I45"/>
    <mergeCell ref="H44:H45"/>
    <mergeCell ref="E44:E45"/>
    <mergeCell ref="B24:B25"/>
    <mergeCell ref="C24:C25"/>
    <mergeCell ref="D24:D25"/>
    <mergeCell ref="F24:F25"/>
    <mergeCell ref="G24:G25"/>
    <mergeCell ref="B44:B45"/>
    <mergeCell ref="C44:C45"/>
    <mergeCell ref="D44:D45"/>
    <mergeCell ref="F44:F45"/>
    <mergeCell ref="G44:G45"/>
    <mergeCell ref="I41:J41"/>
    <mergeCell ref="I40:J40"/>
    <mergeCell ref="I39:J39"/>
    <mergeCell ref="I38:J38"/>
    <mergeCell ref="B4:B5"/>
    <mergeCell ref="D4:D5"/>
    <mergeCell ref="I4:I5"/>
    <mergeCell ref="H4:H5"/>
    <mergeCell ref="G4:G5"/>
    <mergeCell ref="F4:F5"/>
    <mergeCell ref="C4:C5"/>
    <mergeCell ref="E4:E5"/>
    <mergeCell ref="I18:J18"/>
    <mergeCell ref="F21:G21"/>
    <mergeCell ref="F19:G19"/>
    <mergeCell ref="F18:G18"/>
  </mergeCells>
  <phoneticPr fontId="0" type="noConversion"/>
  <pageMargins left="0.66" right="0.68" top="1.01" bottom="0.984251969" header="0.56999999999999995" footer="0.4921259845"/>
  <pageSetup paperSize="9" scale="41" orientation="landscape" horizontalDpi="300" verticalDpi="300" r:id="rId1"/>
  <headerFooter alignWithMargins="0">
    <oddHeader>&amp;F</oddHeader>
    <oddFooter>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tabColor indexed="9"/>
  </sheetPr>
  <dimension ref="B2:U39"/>
  <sheetViews>
    <sheetView zoomScaleNormal="100" zoomScaleSheetLayoutView="115" zoomScalePageLayoutView="55" workbookViewId="0">
      <selection activeCell="C6" sqref="C6"/>
    </sheetView>
  </sheetViews>
  <sheetFormatPr baseColWidth="10" defaultRowHeight="12"/>
  <cols>
    <col min="1" max="1" width="4.85546875" style="8" customWidth="1"/>
    <col min="2" max="2" width="32.7109375" style="8" customWidth="1"/>
    <col min="3" max="3" width="16.85546875" style="8" customWidth="1"/>
    <col min="4" max="4" width="11.28515625" style="30" customWidth="1"/>
    <col min="5" max="5" width="13.140625" style="30" customWidth="1"/>
    <col min="6" max="6" width="14.85546875" style="30" customWidth="1"/>
    <col min="7" max="7" width="12" style="8" customWidth="1"/>
    <col min="8" max="8" width="0.7109375" style="8" hidden="1" customWidth="1"/>
    <col min="9" max="9" width="13.140625" style="8" customWidth="1"/>
    <col min="10" max="11" width="10.7109375" style="8" customWidth="1"/>
    <col min="12" max="12" width="3.5703125" style="8" customWidth="1"/>
    <col min="13" max="13" width="2.85546875" style="8" customWidth="1"/>
    <col min="14" max="14" width="22.7109375" style="8" customWidth="1"/>
    <col min="15" max="15" width="13" style="8" customWidth="1"/>
    <col min="16" max="16" width="19.5703125" style="8" customWidth="1"/>
    <col min="17" max="17" width="13.5703125" style="8" customWidth="1"/>
    <col min="18" max="18" width="11.42578125" style="8"/>
    <col min="19" max="19" width="12.7109375" style="8" bestFit="1" customWidth="1"/>
    <col min="20" max="16384" width="11.42578125" style="8"/>
  </cols>
  <sheetData>
    <row r="2" spans="2:21" ht="12.75">
      <c r="B2" s="173" t="s">
        <v>221</v>
      </c>
    </row>
    <row r="3" spans="2:21" ht="12.75" thickBot="1"/>
    <row r="4" spans="2:21" ht="19.5" customHeight="1" thickBot="1">
      <c r="B4" s="204"/>
      <c r="C4" s="18" t="s">
        <v>199</v>
      </c>
      <c r="D4" s="6" t="s">
        <v>191</v>
      </c>
      <c r="E4" s="6" t="s">
        <v>201</v>
      </c>
      <c r="F4" s="6" t="s">
        <v>198</v>
      </c>
      <c r="G4" s="18" t="s">
        <v>0</v>
      </c>
      <c r="H4" s="210" t="s">
        <v>107</v>
      </c>
      <c r="I4" s="18" t="s">
        <v>25</v>
      </c>
      <c r="J4" s="18" t="s">
        <v>26</v>
      </c>
      <c r="K4" s="18" t="s">
        <v>143</v>
      </c>
      <c r="L4" s="377"/>
      <c r="N4" s="339" t="s">
        <v>240</v>
      </c>
      <c r="O4" s="344" t="s">
        <v>33</v>
      </c>
      <c r="P4" s="340" t="s">
        <v>240</v>
      </c>
      <c r="Q4" s="344" t="s">
        <v>33</v>
      </c>
      <c r="R4" s="340" t="s">
        <v>240</v>
      </c>
      <c r="S4" s="344" t="s">
        <v>33</v>
      </c>
      <c r="T4" s="340" t="s">
        <v>240</v>
      </c>
      <c r="U4" s="344" t="s">
        <v>33</v>
      </c>
    </row>
    <row r="5" spans="2:21" ht="12.75" thickBot="1">
      <c r="B5" s="199" t="s">
        <v>32</v>
      </c>
      <c r="C5" s="16"/>
      <c r="D5" s="206"/>
      <c r="E5" s="206"/>
      <c r="F5" s="206"/>
      <c r="G5" s="16"/>
      <c r="H5" s="16"/>
      <c r="I5" s="16"/>
      <c r="J5" s="16"/>
      <c r="K5" s="57"/>
      <c r="L5" s="378"/>
      <c r="N5" s="337" t="s">
        <v>237</v>
      </c>
      <c r="O5" s="345">
        <f>SUM(O6:O30)</f>
        <v>0</v>
      </c>
      <c r="P5" s="338" t="s">
        <v>238</v>
      </c>
      <c r="Q5" s="345">
        <f>SUM(Q6:Q30)</f>
        <v>0</v>
      </c>
      <c r="R5" s="338" t="s">
        <v>239</v>
      </c>
      <c r="S5" s="345">
        <f>SUM(S6:S30)</f>
        <v>0</v>
      </c>
      <c r="T5" s="338" t="s">
        <v>241</v>
      </c>
      <c r="U5" s="345">
        <f>SUM(U6:U30)</f>
        <v>0</v>
      </c>
    </row>
    <row r="6" spans="2:21">
      <c r="B6" s="16" t="s">
        <v>248</v>
      </c>
      <c r="C6" s="252"/>
      <c r="D6" s="253">
        <v>0.21</v>
      </c>
      <c r="E6" s="1">
        <f>C6*(1+D6)</f>
        <v>0</v>
      </c>
      <c r="F6" s="253">
        <v>0.25</v>
      </c>
      <c r="G6" s="1">
        <f>C6*F6</f>
        <v>0</v>
      </c>
      <c r="H6" s="1"/>
      <c r="I6" s="1">
        <f>C6-G6</f>
        <v>0</v>
      </c>
      <c r="J6" s="1">
        <f>I6-G6</f>
        <v>0</v>
      </c>
      <c r="K6" s="57">
        <f>J6-G6</f>
        <v>0</v>
      </c>
      <c r="L6" s="378"/>
      <c r="M6" s="341"/>
      <c r="N6" s="346"/>
      <c r="O6" s="347">
        <v>0</v>
      </c>
      <c r="P6" s="346"/>
      <c r="Q6" s="349">
        <v>0</v>
      </c>
      <c r="R6" s="346"/>
      <c r="S6" s="349">
        <v>0</v>
      </c>
      <c r="T6" s="346"/>
      <c r="U6" s="349">
        <v>0</v>
      </c>
    </row>
    <row r="7" spans="2:21">
      <c r="B7" s="16" t="s">
        <v>249</v>
      </c>
      <c r="C7" s="252"/>
      <c r="D7" s="253">
        <v>0.21</v>
      </c>
      <c r="E7" s="1">
        <f t="shared" ref="E7:E24" si="0">C7*(1+D7)</f>
        <v>0</v>
      </c>
      <c r="F7" s="253">
        <v>0.2</v>
      </c>
      <c r="G7" s="1">
        <f>C7*F7</f>
        <v>0</v>
      </c>
      <c r="H7" s="1"/>
      <c r="I7" s="1">
        <f>C7-G7</f>
        <v>0</v>
      </c>
      <c r="J7" s="1">
        <f>I7-G7</f>
        <v>0</v>
      </c>
      <c r="K7" s="57">
        <f>J7-G7</f>
        <v>0</v>
      </c>
      <c r="L7" s="378"/>
      <c r="M7" s="341"/>
      <c r="N7" s="348"/>
      <c r="O7" s="347">
        <v>0</v>
      </c>
      <c r="P7" s="348"/>
      <c r="Q7" s="349">
        <v>0</v>
      </c>
      <c r="R7" s="348"/>
      <c r="S7" s="349">
        <v>0</v>
      </c>
      <c r="T7" s="348"/>
      <c r="U7" s="349">
        <v>0</v>
      </c>
    </row>
    <row r="8" spans="2:21">
      <c r="B8" s="200" t="s">
        <v>43</v>
      </c>
      <c r="C8" s="205">
        <f>SUM(C6:C7)</f>
        <v>0</v>
      </c>
      <c r="D8" s="207"/>
      <c r="E8" s="209"/>
      <c r="F8" s="207"/>
      <c r="G8" s="205">
        <f>SUM(G5:G7)</f>
        <v>0</v>
      </c>
      <c r="H8" s="205">
        <f>SUM(H6:H7)</f>
        <v>0</v>
      </c>
      <c r="I8" s="205">
        <f>SUM(I5:I7)</f>
        <v>0</v>
      </c>
      <c r="J8" s="205">
        <f>SUM(J5:J7)</f>
        <v>0</v>
      </c>
      <c r="K8" s="205">
        <f>SUM(K5:K7)</f>
        <v>0</v>
      </c>
      <c r="L8" s="378"/>
      <c r="M8" s="342"/>
      <c r="N8" s="348"/>
      <c r="O8" s="347">
        <v>0</v>
      </c>
      <c r="P8" s="348"/>
      <c r="Q8" s="349">
        <v>0</v>
      </c>
      <c r="R8" s="348"/>
      <c r="S8" s="349">
        <v>0</v>
      </c>
      <c r="T8" s="348"/>
      <c r="U8" s="349">
        <v>0</v>
      </c>
    </row>
    <row r="9" spans="2:21">
      <c r="B9" s="201"/>
      <c r="C9" s="1"/>
      <c r="D9" s="208"/>
      <c r="E9" s="1"/>
      <c r="F9" s="208"/>
      <c r="G9" s="1"/>
      <c r="H9" s="1"/>
      <c r="I9" s="1"/>
      <c r="J9" s="1"/>
      <c r="K9" s="57"/>
      <c r="L9" s="378"/>
      <c r="M9" s="341"/>
      <c r="N9" s="348"/>
      <c r="O9" s="347">
        <v>0</v>
      </c>
      <c r="P9" s="348"/>
      <c r="Q9" s="349">
        <v>0</v>
      </c>
      <c r="R9" s="348"/>
      <c r="S9" s="349">
        <v>0</v>
      </c>
      <c r="T9" s="348"/>
      <c r="U9" s="349">
        <v>0</v>
      </c>
    </row>
    <row r="10" spans="2:21">
      <c r="B10" s="199" t="s">
        <v>13</v>
      </c>
      <c r="C10" s="1"/>
      <c r="D10" s="208"/>
      <c r="E10" s="1"/>
      <c r="F10" s="208"/>
      <c r="G10" s="1"/>
      <c r="H10" s="1"/>
      <c r="I10" s="1"/>
      <c r="J10" s="1"/>
      <c r="K10" s="57"/>
      <c r="L10" s="378"/>
      <c r="M10" s="341"/>
      <c r="N10" s="348"/>
      <c r="O10" s="347">
        <v>0</v>
      </c>
      <c r="P10" s="348"/>
      <c r="Q10" s="349">
        <v>0</v>
      </c>
      <c r="R10" s="348"/>
      <c r="S10" s="349">
        <v>0</v>
      </c>
      <c r="T10" s="348"/>
      <c r="U10" s="349">
        <v>0</v>
      </c>
    </row>
    <row r="11" spans="2:21">
      <c r="B11" s="16" t="s">
        <v>250</v>
      </c>
      <c r="C11" s="252"/>
      <c r="D11" s="253">
        <v>0</v>
      </c>
      <c r="E11" s="1">
        <f t="shared" si="0"/>
        <v>0</v>
      </c>
      <c r="F11" s="253">
        <v>0.2</v>
      </c>
      <c r="G11" s="1">
        <f t="shared" ref="G11:G24" si="1">C11*F11</f>
        <v>0</v>
      </c>
      <c r="H11" s="1"/>
      <c r="I11" s="1">
        <f t="shared" ref="I11:I24" si="2">C11-G11</f>
        <v>0</v>
      </c>
      <c r="J11" s="1">
        <f>I11-G11</f>
        <v>0</v>
      </c>
      <c r="K11" s="57">
        <f>J11-G11</f>
        <v>0</v>
      </c>
      <c r="L11" s="378"/>
      <c r="M11" s="341"/>
      <c r="N11" s="348"/>
      <c r="O11" s="347">
        <v>0</v>
      </c>
      <c r="P11" s="348"/>
      <c r="Q11" s="349">
        <v>0</v>
      </c>
      <c r="R11" s="348"/>
      <c r="S11" s="349">
        <v>0</v>
      </c>
      <c r="T11" s="348"/>
      <c r="U11" s="349">
        <v>0</v>
      </c>
    </row>
    <row r="12" spans="2:21">
      <c r="B12" s="16" t="s">
        <v>249</v>
      </c>
      <c r="C12" s="252"/>
      <c r="D12" s="253">
        <v>0.21</v>
      </c>
      <c r="E12" s="1">
        <f t="shared" si="0"/>
        <v>0</v>
      </c>
      <c r="F12" s="253">
        <v>0.2</v>
      </c>
      <c r="G12" s="1">
        <f t="shared" si="1"/>
        <v>0</v>
      </c>
      <c r="H12" s="1"/>
      <c r="I12" s="1">
        <f t="shared" si="2"/>
        <v>0</v>
      </c>
      <c r="J12" s="1">
        <f>I12-G12</f>
        <v>0</v>
      </c>
      <c r="K12" s="57">
        <f>J12-G12</f>
        <v>0</v>
      </c>
      <c r="L12" s="378"/>
      <c r="M12" s="341"/>
      <c r="N12" s="348"/>
      <c r="O12" s="347">
        <v>0</v>
      </c>
      <c r="P12" s="348"/>
      <c r="Q12" s="349">
        <v>0</v>
      </c>
      <c r="R12" s="348"/>
      <c r="S12" s="349">
        <v>0</v>
      </c>
      <c r="T12" s="348"/>
      <c r="U12" s="349">
        <v>0</v>
      </c>
    </row>
    <row r="13" spans="2:21">
      <c r="B13" s="5"/>
      <c r="C13" s="1"/>
      <c r="D13" s="208"/>
      <c r="E13" s="1">
        <f t="shared" si="0"/>
        <v>0</v>
      </c>
      <c r="F13" s="208"/>
      <c r="G13" s="1"/>
      <c r="H13" s="1"/>
      <c r="I13" s="1"/>
      <c r="J13" s="1"/>
      <c r="K13" s="57"/>
      <c r="L13" s="378"/>
      <c r="M13" s="341"/>
      <c r="N13" s="348"/>
      <c r="O13" s="347">
        <v>0</v>
      </c>
      <c r="P13" s="348"/>
      <c r="Q13" s="349">
        <v>0</v>
      </c>
      <c r="R13" s="348"/>
      <c r="S13" s="349">
        <v>0</v>
      </c>
      <c r="T13" s="348"/>
      <c r="U13" s="349">
        <v>0</v>
      </c>
    </row>
    <row r="14" spans="2:21">
      <c r="B14" s="200" t="s">
        <v>42</v>
      </c>
      <c r="C14" s="205">
        <f>C11+C12</f>
        <v>0</v>
      </c>
      <c r="D14" s="207"/>
      <c r="E14" s="209"/>
      <c r="F14" s="207"/>
      <c r="G14" s="205">
        <f>SUM(G11:G13)</f>
        <v>0</v>
      </c>
      <c r="H14" s="205">
        <f>SUM(H11:H13)</f>
        <v>0</v>
      </c>
      <c r="I14" s="205">
        <f>SUM(I11:I13)</f>
        <v>0</v>
      </c>
      <c r="J14" s="205">
        <f>SUM(J11:J13)</f>
        <v>0</v>
      </c>
      <c r="K14" s="205">
        <f>SUM(K11:K13)</f>
        <v>0</v>
      </c>
      <c r="L14" s="378"/>
      <c r="M14" s="342"/>
      <c r="N14" s="350"/>
      <c r="O14" s="347">
        <v>0</v>
      </c>
      <c r="P14" s="348"/>
      <c r="Q14" s="349">
        <v>0</v>
      </c>
      <c r="R14" s="348"/>
      <c r="S14" s="349">
        <v>0</v>
      </c>
      <c r="T14" s="348"/>
      <c r="U14" s="349">
        <v>0</v>
      </c>
    </row>
    <row r="15" spans="2:21">
      <c r="B15" s="16"/>
      <c r="C15" s="1"/>
      <c r="D15" s="208"/>
      <c r="E15" s="1"/>
      <c r="F15" s="208"/>
      <c r="G15" s="1">
        <f t="shared" si="1"/>
        <v>0</v>
      </c>
      <c r="H15" s="1"/>
      <c r="I15" s="1">
        <f t="shared" si="2"/>
        <v>0</v>
      </c>
      <c r="J15" s="1">
        <f>I15-G15</f>
        <v>0</v>
      </c>
      <c r="K15" s="57">
        <f>J15-G15</f>
        <v>0</v>
      </c>
      <c r="L15" s="378"/>
      <c r="M15" s="341"/>
      <c r="N15" s="348"/>
      <c r="O15" s="347">
        <v>0</v>
      </c>
      <c r="P15" s="348"/>
      <c r="Q15" s="349">
        <v>0</v>
      </c>
      <c r="R15" s="348"/>
      <c r="S15" s="349">
        <v>0</v>
      </c>
      <c r="T15" s="348"/>
      <c r="U15" s="349">
        <v>0</v>
      </c>
    </row>
    <row r="16" spans="2:21">
      <c r="B16" s="199" t="s">
        <v>14</v>
      </c>
      <c r="C16" s="1"/>
      <c r="D16" s="208"/>
      <c r="E16" s="1"/>
      <c r="F16" s="208"/>
      <c r="G16" s="1"/>
      <c r="H16" s="1"/>
      <c r="I16" s="1"/>
      <c r="J16" s="1"/>
      <c r="K16" s="57"/>
      <c r="L16" s="378"/>
      <c r="M16" s="341"/>
      <c r="N16" s="348"/>
      <c r="O16" s="347">
        <v>0</v>
      </c>
      <c r="P16" s="348"/>
      <c r="Q16" s="349">
        <v>0</v>
      </c>
      <c r="R16" s="348"/>
      <c r="S16" s="349">
        <v>0</v>
      </c>
      <c r="T16" s="348"/>
      <c r="U16" s="349">
        <v>0</v>
      </c>
    </row>
    <row r="17" spans="2:21">
      <c r="B17" s="16" t="s">
        <v>251</v>
      </c>
      <c r="C17" s="252"/>
      <c r="D17" s="253">
        <v>0.21</v>
      </c>
      <c r="E17" s="1">
        <f t="shared" si="0"/>
        <v>0</v>
      </c>
      <c r="F17" s="253">
        <v>0.2</v>
      </c>
      <c r="G17" s="1">
        <f t="shared" si="1"/>
        <v>0</v>
      </c>
      <c r="H17" s="1"/>
      <c r="I17" s="1">
        <f t="shared" si="2"/>
        <v>0</v>
      </c>
      <c r="J17" s="1">
        <f t="shared" ref="J17:J24" si="3">I17-G17</f>
        <v>0</v>
      </c>
      <c r="K17" s="57">
        <f>J17-G17</f>
        <v>0</v>
      </c>
      <c r="L17" s="378"/>
      <c r="M17" s="341"/>
      <c r="N17" s="348"/>
      <c r="O17" s="347">
        <v>0</v>
      </c>
      <c r="P17" s="348"/>
      <c r="Q17" s="349">
        <v>0</v>
      </c>
      <c r="R17" s="348"/>
      <c r="S17" s="349">
        <v>0</v>
      </c>
      <c r="T17" s="348"/>
      <c r="U17" s="349">
        <v>0</v>
      </c>
    </row>
    <row r="18" spans="2:21">
      <c r="B18" s="16" t="s">
        <v>232</v>
      </c>
      <c r="C18" s="252"/>
      <c r="D18" s="253">
        <v>0</v>
      </c>
      <c r="E18" s="1">
        <f t="shared" si="0"/>
        <v>0</v>
      </c>
      <c r="F18" s="253">
        <v>0.2</v>
      </c>
      <c r="G18" s="1">
        <f t="shared" si="1"/>
        <v>0</v>
      </c>
      <c r="H18" s="1"/>
      <c r="I18" s="1">
        <f t="shared" si="2"/>
        <v>0</v>
      </c>
      <c r="J18" s="1">
        <f t="shared" si="3"/>
        <v>0</v>
      </c>
      <c r="K18" s="57">
        <f>J18-G18</f>
        <v>0</v>
      </c>
      <c r="L18" s="378"/>
      <c r="M18" s="341"/>
      <c r="N18" s="348"/>
      <c r="O18" s="347">
        <v>0</v>
      </c>
      <c r="P18" s="348"/>
      <c r="Q18" s="349">
        <v>0</v>
      </c>
      <c r="R18" s="348"/>
      <c r="S18" s="349">
        <v>0</v>
      </c>
      <c r="T18" s="348"/>
      <c r="U18" s="349">
        <v>0</v>
      </c>
    </row>
    <row r="19" spans="2:21">
      <c r="B19" s="202" t="s">
        <v>257</v>
      </c>
      <c r="C19" s="1">
        <f>O5</f>
        <v>0</v>
      </c>
      <c r="D19" s="253">
        <v>0.06</v>
      </c>
      <c r="E19" s="1">
        <f t="shared" si="0"/>
        <v>0</v>
      </c>
      <c r="F19" s="253">
        <v>0.2</v>
      </c>
      <c r="G19" s="1">
        <f>C19*F19</f>
        <v>0</v>
      </c>
      <c r="H19" s="1"/>
      <c r="I19" s="1">
        <f>C19-G19</f>
        <v>0</v>
      </c>
      <c r="J19" s="1">
        <f t="shared" si="3"/>
        <v>0</v>
      </c>
      <c r="K19" s="57">
        <f t="shared" ref="K19:K24" si="4">J19-G19</f>
        <v>0</v>
      </c>
      <c r="L19" s="378"/>
      <c r="M19" s="341"/>
      <c r="N19" s="348"/>
      <c r="O19" s="347">
        <v>0</v>
      </c>
      <c r="P19" s="348"/>
      <c r="Q19" s="349">
        <v>0</v>
      </c>
      <c r="R19" s="348"/>
      <c r="S19" s="349">
        <v>0</v>
      </c>
      <c r="T19" s="348"/>
      <c r="U19" s="349">
        <v>0</v>
      </c>
    </row>
    <row r="20" spans="2:21">
      <c r="B20" s="16" t="s">
        <v>252</v>
      </c>
      <c r="C20" s="1">
        <f>Q5</f>
        <v>0</v>
      </c>
      <c r="D20" s="253">
        <v>0.21</v>
      </c>
      <c r="E20" s="1">
        <f t="shared" si="0"/>
        <v>0</v>
      </c>
      <c r="F20" s="253">
        <v>0.25</v>
      </c>
      <c r="G20" s="1">
        <f t="shared" si="1"/>
        <v>0</v>
      </c>
      <c r="H20" s="1"/>
      <c r="I20" s="1">
        <f t="shared" si="2"/>
        <v>0</v>
      </c>
      <c r="J20" s="1">
        <f t="shared" si="3"/>
        <v>0</v>
      </c>
      <c r="K20" s="57">
        <f t="shared" si="4"/>
        <v>0</v>
      </c>
      <c r="L20" s="378"/>
      <c r="M20" s="341"/>
      <c r="N20" s="348"/>
      <c r="O20" s="347">
        <v>0</v>
      </c>
      <c r="P20" s="348"/>
      <c r="Q20" s="349">
        <v>0</v>
      </c>
      <c r="R20" s="348"/>
      <c r="S20" s="349">
        <v>0</v>
      </c>
      <c r="T20" s="348"/>
      <c r="U20" s="349">
        <v>0</v>
      </c>
    </row>
    <row r="21" spans="2:21">
      <c r="B21" s="16" t="s">
        <v>253</v>
      </c>
      <c r="C21" s="252"/>
      <c r="D21" s="253">
        <v>0.21</v>
      </c>
      <c r="E21" s="1">
        <f t="shared" si="0"/>
        <v>0</v>
      </c>
      <c r="F21" s="253">
        <v>0.2</v>
      </c>
      <c r="G21" s="1">
        <f t="shared" si="1"/>
        <v>0</v>
      </c>
      <c r="H21" s="1"/>
      <c r="I21" s="1">
        <f t="shared" si="2"/>
        <v>0</v>
      </c>
      <c r="J21" s="1">
        <f t="shared" si="3"/>
        <v>0</v>
      </c>
      <c r="K21" s="57">
        <f t="shared" si="4"/>
        <v>0</v>
      </c>
      <c r="L21" s="378"/>
      <c r="M21" s="341"/>
      <c r="N21" s="348"/>
      <c r="O21" s="347">
        <v>0</v>
      </c>
      <c r="P21" s="348"/>
      <c r="Q21" s="349">
        <v>0</v>
      </c>
      <c r="R21" s="348"/>
      <c r="S21" s="349">
        <v>0</v>
      </c>
      <c r="T21" s="348"/>
      <c r="U21" s="349">
        <v>0</v>
      </c>
    </row>
    <row r="22" spans="2:21">
      <c r="B22" s="16" t="s">
        <v>254</v>
      </c>
      <c r="C22" s="1">
        <f>S5</f>
        <v>0</v>
      </c>
      <c r="D22" s="253">
        <v>0.21</v>
      </c>
      <c r="E22" s="1">
        <f t="shared" si="0"/>
        <v>0</v>
      </c>
      <c r="F22" s="253">
        <v>0.2</v>
      </c>
      <c r="G22" s="1">
        <f>C22*F22</f>
        <v>0</v>
      </c>
      <c r="H22" s="1"/>
      <c r="I22" s="1">
        <f>C22-G22</f>
        <v>0</v>
      </c>
      <c r="J22" s="1">
        <f t="shared" si="3"/>
        <v>0</v>
      </c>
      <c r="K22" s="57">
        <f t="shared" si="4"/>
        <v>0</v>
      </c>
      <c r="L22" s="378"/>
      <c r="M22" s="341"/>
      <c r="N22" s="348"/>
      <c r="O22" s="347">
        <v>0</v>
      </c>
      <c r="P22" s="348"/>
      <c r="Q22" s="349">
        <v>0</v>
      </c>
      <c r="R22" s="348"/>
      <c r="S22" s="349">
        <v>0</v>
      </c>
      <c r="T22" s="348"/>
      <c r="U22" s="349">
        <v>0</v>
      </c>
    </row>
    <row r="23" spans="2:21" ht="14.25">
      <c r="B23" s="16" t="s">
        <v>255</v>
      </c>
      <c r="C23" s="1">
        <f>E23/(1+D23)</f>
        <v>0</v>
      </c>
      <c r="D23" s="253">
        <v>0.21</v>
      </c>
      <c r="E23" s="1">
        <f>'Amortissement leasing'!C1</f>
        <v>0</v>
      </c>
      <c r="F23" s="253">
        <v>0.25</v>
      </c>
      <c r="G23" s="1">
        <f t="shared" si="1"/>
        <v>0</v>
      </c>
      <c r="H23" s="1"/>
      <c r="I23" s="1">
        <f t="shared" si="2"/>
        <v>0</v>
      </c>
      <c r="J23" s="1">
        <f t="shared" si="3"/>
        <v>0</v>
      </c>
      <c r="K23" s="1">
        <f t="shared" si="4"/>
        <v>0</v>
      </c>
      <c r="L23" s="378"/>
      <c r="M23" s="343"/>
      <c r="N23" s="348"/>
      <c r="O23" s="347">
        <v>0</v>
      </c>
      <c r="P23" s="348"/>
      <c r="Q23" s="349">
        <v>0</v>
      </c>
      <c r="R23" s="348"/>
      <c r="S23" s="349">
        <v>0</v>
      </c>
      <c r="T23" s="348"/>
      <c r="U23" s="349">
        <v>0</v>
      </c>
    </row>
    <row r="24" spans="2:21">
      <c r="B24" s="16" t="s">
        <v>256</v>
      </c>
      <c r="C24" s="1">
        <f>U5</f>
        <v>0</v>
      </c>
      <c r="D24" s="253">
        <v>0.21</v>
      </c>
      <c r="E24" s="1">
        <f t="shared" si="0"/>
        <v>0</v>
      </c>
      <c r="F24" s="253">
        <v>0.33</v>
      </c>
      <c r="G24" s="1">
        <f t="shared" si="1"/>
        <v>0</v>
      </c>
      <c r="H24" s="1"/>
      <c r="I24" s="1">
        <f t="shared" si="2"/>
        <v>0</v>
      </c>
      <c r="J24" s="1">
        <f t="shared" si="3"/>
        <v>0</v>
      </c>
      <c r="K24" s="57">
        <f t="shared" si="4"/>
        <v>0</v>
      </c>
      <c r="L24" s="378"/>
      <c r="M24" s="341"/>
      <c r="N24" s="348"/>
      <c r="O24" s="347">
        <v>0</v>
      </c>
      <c r="P24" s="348"/>
      <c r="Q24" s="349">
        <v>0</v>
      </c>
      <c r="R24" s="348"/>
      <c r="S24" s="349">
        <v>0</v>
      </c>
      <c r="T24" s="348"/>
      <c r="U24" s="349">
        <v>0</v>
      </c>
    </row>
    <row r="25" spans="2:21">
      <c r="B25" s="2"/>
      <c r="C25" s="1"/>
      <c r="D25" s="208"/>
      <c r="E25" s="208"/>
      <c r="F25" s="208"/>
      <c r="G25" s="1"/>
      <c r="H25" s="1"/>
      <c r="I25" s="1"/>
      <c r="J25" s="1"/>
      <c r="K25" s="57"/>
      <c r="L25" s="378"/>
      <c r="M25" s="341"/>
      <c r="N25" s="348"/>
      <c r="O25" s="347">
        <v>0</v>
      </c>
      <c r="P25" s="348"/>
      <c r="Q25" s="349">
        <v>0</v>
      </c>
      <c r="R25" s="348"/>
      <c r="S25" s="349">
        <v>0</v>
      </c>
      <c r="T25" s="348"/>
      <c r="U25" s="349">
        <v>0</v>
      </c>
    </row>
    <row r="26" spans="2:21">
      <c r="B26" s="16"/>
      <c r="C26" s="1"/>
      <c r="D26" s="208"/>
      <c r="E26" s="208"/>
      <c r="F26" s="208"/>
      <c r="G26" s="1"/>
      <c r="H26" s="1"/>
      <c r="I26" s="1"/>
      <c r="J26" s="1"/>
      <c r="K26" s="57"/>
      <c r="L26" s="378"/>
      <c r="M26" s="341"/>
      <c r="N26" s="348"/>
      <c r="O26" s="347">
        <v>0</v>
      </c>
      <c r="P26" s="348"/>
      <c r="Q26" s="349">
        <v>0</v>
      </c>
      <c r="R26" s="348"/>
      <c r="S26" s="349">
        <v>0</v>
      </c>
      <c r="T26" s="348"/>
      <c r="U26" s="349">
        <v>0</v>
      </c>
    </row>
    <row r="27" spans="2:21">
      <c r="B27" s="200" t="s">
        <v>41</v>
      </c>
      <c r="C27" s="205">
        <f>SUM(C17:C26)</f>
        <v>0</v>
      </c>
      <c r="D27" s="207"/>
      <c r="E27" s="207"/>
      <c r="F27" s="207"/>
      <c r="G27" s="205">
        <f>SUM(G17:G26)</f>
        <v>0</v>
      </c>
      <c r="H27" s="205">
        <f>SUM(H21:H26)</f>
        <v>0</v>
      </c>
      <c r="I27" s="205">
        <f>SUM(I17:I26)</f>
        <v>0</v>
      </c>
      <c r="J27" s="205">
        <f>SUM(J17:J26)</f>
        <v>0</v>
      </c>
      <c r="K27" s="190">
        <f>SUM(K17:K26)</f>
        <v>0</v>
      </c>
      <c r="L27" s="378"/>
      <c r="M27" s="341"/>
      <c r="N27" s="348"/>
      <c r="O27" s="347">
        <v>0</v>
      </c>
      <c r="P27" s="348"/>
      <c r="Q27" s="349">
        <v>0</v>
      </c>
      <c r="R27" s="348"/>
      <c r="S27" s="349">
        <v>0</v>
      </c>
      <c r="T27" s="348"/>
      <c r="U27" s="349">
        <v>0</v>
      </c>
    </row>
    <row r="28" spans="2:21">
      <c r="B28" s="203"/>
      <c r="C28" s="1"/>
      <c r="D28" s="51"/>
      <c r="E28" s="51"/>
      <c r="F28" s="51"/>
      <c r="G28" s="1"/>
      <c r="H28" s="1"/>
      <c r="I28" s="1"/>
      <c r="J28" s="1"/>
      <c r="K28" s="57"/>
      <c r="L28" s="378"/>
      <c r="M28" s="341"/>
      <c r="N28" s="348"/>
      <c r="O28" s="347">
        <v>0</v>
      </c>
      <c r="P28" s="348"/>
      <c r="Q28" s="349">
        <v>0</v>
      </c>
      <c r="R28" s="348"/>
      <c r="S28" s="349">
        <v>0</v>
      </c>
      <c r="T28" s="348"/>
      <c r="U28" s="349">
        <v>0</v>
      </c>
    </row>
    <row r="29" spans="2:21">
      <c r="B29" s="201"/>
      <c r="C29" s="1"/>
      <c r="D29" s="51"/>
      <c r="E29" s="51"/>
      <c r="F29" s="51"/>
      <c r="G29" s="1"/>
      <c r="H29" s="1"/>
      <c r="I29" s="1"/>
      <c r="J29" s="1"/>
      <c r="K29" s="57"/>
      <c r="L29" s="378"/>
      <c r="M29" s="341"/>
      <c r="N29" s="348"/>
      <c r="O29" s="347">
        <v>0</v>
      </c>
      <c r="P29" s="348"/>
      <c r="Q29" s="349">
        <v>0</v>
      </c>
      <c r="R29" s="348"/>
      <c r="S29" s="349">
        <v>0</v>
      </c>
      <c r="T29" s="348"/>
      <c r="U29" s="349">
        <v>0</v>
      </c>
    </row>
    <row r="30" spans="2:21" ht="12.75" thickBot="1">
      <c r="B30" s="195" t="s">
        <v>24</v>
      </c>
      <c r="C30" s="196">
        <f>C8+C14+C27+C28</f>
        <v>0</v>
      </c>
      <c r="D30" s="198"/>
      <c r="E30" s="198"/>
      <c r="F30" s="198"/>
      <c r="G30" s="196">
        <f>G8+G14+G27+G28</f>
        <v>0</v>
      </c>
      <c r="H30" s="196">
        <f>H8+H14+H27+H28</f>
        <v>0</v>
      </c>
      <c r="I30" s="196">
        <f>I8+I14+I27+I28</f>
        <v>0</v>
      </c>
      <c r="J30" s="196">
        <f>J8+J14+J27+J28</f>
        <v>0</v>
      </c>
      <c r="K30" s="192">
        <f>K8+K14+K27+K28</f>
        <v>0</v>
      </c>
      <c r="L30" s="378"/>
      <c r="M30" s="341"/>
      <c r="N30" s="351"/>
      <c r="O30" s="352"/>
      <c r="P30" s="353"/>
      <c r="Q30" s="349">
        <v>0</v>
      </c>
      <c r="R30" s="353"/>
      <c r="S30" s="349">
        <v>0</v>
      </c>
      <c r="T30" s="353"/>
      <c r="U30" s="349">
        <v>0</v>
      </c>
    </row>
    <row r="31" spans="2:21">
      <c r="B31" s="9"/>
      <c r="C31" s="194"/>
      <c r="D31" s="50"/>
      <c r="E31" s="193"/>
      <c r="F31" s="193"/>
      <c r="G31" s="13"/>
      <c r="H31" s="13"/>
      <c r="I31" s="13"/>
      <c r="J31" s="13"/>
      <c r="K31" s="13"/>
      <c r="L31" s="378"/>
    </row>
    <row r="32" spans="2:21">
      <c r="B32" s="195" t="s">
        <v>200</v>
      </c>
      <c r="C32" s="196">
        <f>SUM(E6:E24)</f>
        <v>0</v>
      </c>
      <c r="D32" s="50"/>
      <c r="E32" s="198" t="s">
        <v>204</v>
      </c>
      <c r="F32" s="197">
        <f>C32-C30</f>
        <v>0</v>
      </c>
      <c r="G32" s="13"/>
      <c r="H32" s="13"/>
      <c r="I32" s="13"/>
      <c r="J32" s="13"/>
      <c r="K32" s="13"/>
      <c r="L32" s="13"/>
    </row>
    <row r="33" spans="2:12">
      <c r="B33" s="33"/>
      <c r="C33" s="52"/>
      <c r="D33" s="50"/>
      <c r="E33" s="50"/>
      <c r="F33" s="50"/>
      <c r="I33" s="12"/>
      <c r="J33" s="12"/>
      <c r="K33" s="12"/>
      <c r="L33" s="12"/>
    </row>
    <row r="34" spans="2:12">
      <c r="B34" s="4"/>
      <c r="C34" s="12"/>
      <c r="D34" s="50"/>
      <c r="E34" s="50"/>
      <c r="F34" s="50"/>
      <c r="G34" s="12"/>
      <c r="H34" s="12"/>
      <c r="I34" s="12"/>
      <c r="J34" s="12"/>
      <c r="K34" s="12"/>
      <c r="L34" s="12"/>
    </row>
    <row r="35" spans="2:12">
      <c r="B35" s="4"/>
      <c r="C35" s="12"/>
      <c r="D35" s="50"/>
      <c r="E35" s="50"/>
      <c r="F35" s="50"/>
      <c r="G35" s="12"/>
      <c r="H35" s="12"/>
      <c r="I35" s="12"/>
      <c r="J35" s="12"/>
      <c r="K35" s="12"/>
      <c r="L35" s="12"/>
    </row>
    <row r="36" spans="2:12">
      <c r="B36" s="4"/>
      <c r="C36" s="12"/>
      <c r="D36" s="50"/>
      <c r="E36" s="50"/>
      <c r="F36" s="50"/>
      <c r="G36" s="12"/>
      <c r="H36" s="12"/>
      <c r="I36" s="12"/>
      <c r="J36" s="12"/>
      <c r="K36" s="12"/>
      <c r="L36" s="12"/>
    </row>
    <row r="37" spans="2:12">
      <c r="B37" s="4"/>
      <c r="C37" s="12"/>
      <c r="D37" s="50"/>
      <c r="E37" s="50"/>
      <c r="F37" s="50"/>
      <c r="G37" s="12"/>
      <c r="H37" s="12"/>
      <c r="I37" s="12"/>
      <c r="J37" s="12"/>
      <c r="K37" s="12"/>
      <c r="L37" s="12"/>
    </row>
    <row r="38" spans="2:12">
      <c r="B38" s="4"/>
      <c r="C38" s="12"/>
      <c r="D38" s="50"/>
      <c r="E38" s="50"/>
      <c r="F38" s="50"/>
      <c r="G38" s="12"/>
      <c r="H38" s="12"/>
      <c r="I38" s="12"/>
      <c r="J38" s="12"/>
      <c r="K38" s="12"/>
      <c r="L38" s="12"/>
    </row>
    <row r="39" spans="2:12">
      <c r="B39" s="4"/>
      <c r="C39" s="7"/>
      <c r="D39" s="50"/>
      <c r="E39" s="50"/>
      <c r="F39" s="50"/>
      <c r="G39" s="12"/>
      <c r="H39" s="12"/>
      <c r="I39" s="12"/>
      <c r="J39" s="12"/>
      <c r="K39" s="12"/>
      <c r="L39" s="12"/>
    </row>
  </sheetData>
  <sheetProtection sheet="1" selectLockedCells="1"/>
  <phoneticPr fontId="0" type="noConversion"/>
  <pageMargins left="0.78740157499999996" right="0.78740157499999996" top="0.984251969" bottom="0.984251969" header="0.4921259845" footer="0.4921259845"/>
  <pageSetup paperSize="9" scale="86" orientation="landscape" horizontalDpi="300" verticalDpi="300" r:id="rId1"/>
  <headerFooter alignWithMargins="0">
    <oddHeader>&amp;F</oddHeader>
    <oddFooter>&amp;A</oddFooter>
  </headerFooter>
  <colBreaks count="1" manualBreakCount="1">
    <brk id="12" max="3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tabColor indexed="9"/>
    <pageSetUpPr fitToPage="1"/>
  </sheetPr>
  <dimension ref="C1:P3141"/>
  <sheetViews>
    <sheetView zoomScaleNormal="100" workbookViewId="0">
      <selection activeCell="F25" sqref="F25"/>
    </sheetView>
  </sheetViews>
  <sheetFormatPr baseColWidth="10" defaultRowHeight="12.75"/>
  <cols>
    <col min="1" max="1" width="11.42578125" style="62"/>
    <col min="2" max="2" width="4" style="62" customWidth="1"/>
    <col min="3" max="3" width="34.140625" style="385" customWidth="1"/>
    <col min="4" max="12" width="11.85546875" style="379" customWidth="1"/>
    <col min="13" max="13" width="14.85546875" style="380" customWidth="1"/>
    <col min="14" max="16" width="11.42578125" style="62"/>
    <col min="17" max="17" width="5.7109375" style="62" customWidth="1"/>
    <col min="18" max="16384" width="11.42578125" style="62"/>
  </cols>
  <sheetData>
    <row r="1" spans="3:16" ht="13.5" thickBot="1">
      <c r="C1" s="379"/>
    </row>
    <row r="2" spans="3:16" ht="13.5" thickBot="1">
      <c r="C2" s="381"/>
      <c r="D2" s="408" t="s">
        <v>224</v>
      </c>
      <c r="E2" s="409"/>
      <c r="F2" s="409"/>
      <c r="G2" s="409"/>
      <c r="H2" s="409"/>
      <c r="I2" s="409"/>
      <c r="J2" s="409"/>
      <c r="K2" s="409"/>
      <c r="L2" s="409"/>
      <c r="M2" s="409"/>
      <c r="N2" s="409"/>
      <c r="O2" s="409"/>
      <c r="P2" s="410"/>
    </row>
    <row r="3" spans="3:16" ht="13.5" thickBot="1">
      <c r="C3" s="382" t="s">
        <v>258</v>
      </c>
      <c r="D3" s="382" t="s">
        <v>149</v>
      </c>
      <c r="E3" s="382" t="s">
        <v>150</v>
      </c>
      <c r="F3" s="382" t="s">
        <v>151</v>
      </c>
      <c r="G3" s="382" t="s">
        <v>157</v>
      </c>
      <c r="H3" s="382" t="s">
        <v>244</v>
      </c>
      <c r="I3" s="382" t="s">
        <v>245</v>
      </c>
      <c r="J3" s="382" t="s">
        <v>114</v>
      </c>
      <c r="K3" s="382" t="s">
        <v>154</v>
      </c>
      <c r="L3" s="382" t="s">
        <v>246</v>
      </c>
      <c r="M3" s="382" t="s">
        <v>115</v>
      </c>
      <c r="N3" s="382" t="s">
        <v>116</v>
      </c>
      <c r="O3" s="382" t="s">
        <v>117</v>
      </c>
      <c r="P3" s="383" t="s">
        <v>247</v>
      </c>
    </row>
    <row r="4" spans="3:16" ht="13.5" thickBot="1">
      <c r="C4" s="386">
        <v>1</v>
      </c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384">
        <f>SUM(D4:O4)</f>
        <v>0</v>
      </c>
    </row>
    <row r="5" spans="3:16" ht="13.5" thickBot="1">
      <c r="C5" s="387">
        <v>2</v>
      </c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384">
        <f t="shared" ref="P5:P13" si="0">SUM(D5:O5)</f>
        <v>0</v>
      </c>
    </row>
    <row r="6" spans="3:16" ht="13.5" thickBot="1">
      <c r="C6" s="387">
        <v>3</v>
      </c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384">
        <f t="shared" si="0"/>
        <v>0</v>
      </c>
    </row>
    <row r="7" spans="3:16" ht="13.5" thickBot="1">
      <c r="C7" s="387">
        <v>4</v>
      </c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384">
        <f t="shared" si="0"/>
        <v>0</v>
      </c>
    </row>
    <row r="8" spans="3:16" ht="13.5" thickBot="1">
      <c r="C8" s="387">
        <v>5</v>
      </c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384">
        <f t="shared" si="0"/>
        <v>0</v>
      </c>
    </row>
    <row r="9" spans="3:16" ht="13.5" thickBot="1">
      <c r="C9" s="387">
        <v>6</v>
      </c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384">
        <f t="shared" si="0"/>
        <v>0</v>
      </c>
    </row>
    <row r="10" spans="3:16" ht="13.5" thickBot="1">
      <c r="C10" s="387">
        <v>7</v>
      </c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384">
        <f t="shared" si="0"/>
        <v>0</v>
      </c>
    </row>
    <row r="11" spans="3:16" ht="13.5" thickBot="1">
      <c r="C11" s="387">
        <v>8</v>
      </c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384">
        <f t="shared" si="0"/>
        <v>0</v>
      </c>
    </row>
    <row r="12" spans="3:16" ht="13.5" thickBot="1">
      <c r="C12" s="387">
        <v>9</v>
      </c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384">
        <f t="shared" si="0"/>
        <v>0</v>
      </c>
    </row>
    <row r="13" spans="3:16" ht="13.5" thickBot="1">
      <c r="C13" s="382" t="s">
        <v>247</v>
      </c>
      <c r="D13" s="382">
        <f>SUM(D4:D12)</f>
        <v>0</v>
      </c>
      <c r="E13" s="382">
        <f t="shared" ref="E13:N13" si="1">SUM(E4:E12)</f>
        <v>0</v>
      </c>
      <c r="F13" s="382">
        <f t="shared" si="1"/>
        <v>0</v>
      </c>
      <c r="G13" s="382">
        <f t="shared" si="1"/>
        <v>0</v>
      </c>
      <c r="H13" s="382">
        <f t="shared" si="1"/>
        <v>0</v>
      </c>
      <c r="I13" s="382">
        <f t="shared" si="1"/>
        <v>0</v>
      </c>
      <c r="J13" s="382">
        <f t="shared" si="1"/>
        <v>0</v>
      </c>
      <c r="K13" s="382">
        <f t="shared" si="1"/>
        <v>0</v>
      </c>
      <c r="L13" s="382">
        <f t="shared" si="1"/>
        <v>0</v>
      </c>
      <c r="M13" s="382">
        <f t="shared" si="1"/>
        <v>0</v>
      </c>
      <c r="N13" s="382">
        <f t="shared" si="1"/>
        <v>0</v>
      </c>
      <c r="O13" s="382">
        <f>SUM(O4:O12)</f>
        <v>0</v>
      </c>
      <c r="P13" s="384">
        <f t="shared" si="0"/>
        <v>0</v>
      </c>
    </row>
    <row r="14" spans="3:16"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</row>
    <row r="15" spans="3:16" ht="13.5" thickBot="1"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</row>
    <row r="16" spans="3:16" ht="13.5" thickBot="1">
      <c r="C16" s="381"/>
      <c r="D16" s="408" t="s">
        <v>225</v>
      </c>
      <c r="E16" s="409"/>
      <c r="F16" s="409"/>
      <c r="G16" s="409"/>
      <c r="H16" s="409"/>
      <c r="I16" s="409"/>
      <c r="J16" s="409"/>
      <c r="K16" s="409"/>
      <c r="L16" s="409"/>
      <c r="M16" s="409"/>
      <c r="N16" s="409"/>
      <c r="O16" s="409"/>
      <c r="P16" s="410"/>
    </row>
    <row r="17" spans="3:16" ht="13.5" thickBot="1">
      <c r="C17" s="382" t="s">
        <v>258</v>
      </c>
      <c r="D17" s="382" t="s">
        <v>149</v>
      </c>
      <c r="E17" s="382" t="s">
        <v>150</v>
      </c>
      <c r="F17" s="382" t="s">
        <v>151</v>
      </c>
      <c r="G17" s="382" t="s">
        <v>157</v>
      </c>
      <c r="H17" s="382" t="s">
        <v>244</v>
      </c>
      <c r="I17" s="382" t="s">
        <v>245</v>
      </c>
      <c r="J17" s="382" t="s">
        <v>114</v>
      </c>
      <c r="K17" s="382" t="s">
        <v>154</v>
      </c>
      <c r="L17" s="382" t="s">
        <v>246</v>
      </c>
      <c r="M17" s="382" t="s">
        <v>115</v>
      </c>
      <c r="N17" s="382" t="s">
        <v>116</v>
      </c>
      <c r="O17" s="382" t="s">
        <v>117</v>
      </c>
      <c r="P17" s="383" t="s">
        <v>247</v>
      </c>
    </row>
    <row r="18" spans="3:16" ht="13.5" thickBot="1">
      <c r="C18" s="386">
        <v>1</v>
      </c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384">
        <f>SUM(D18:O18)</f>
        <v>0</v>
      </c>
    </row>
    <row r="19" spans="3:16" ht="13.5" thickBot="1">
      <c r="C19" s="387">
        <v>2</v>
      </c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384">
        <f t="shared" ref="P19:P27" si="2">SUM(D19:O19)</f>
        <v>0</v>
      </c>
    </row>
    <row r="20" spans="3:16" ht="13.5" thickBot="1">
      <c r="C20" s="387">
        <v>3</v>
      </c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384">
        <f t="shared" si="2"/>
        <v>0</v>
      </c>
    </row>
    <row r="21" spans="3:16" ht="13.5" thickBot="1">
      <c r="C21" s="387">
        <v>4</v>
      </c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384">
        <f t="shared" si="2"/>
        <v>0</v>
      </c>
    </row>
    <row r="22" spans="3:16" ht="13.5" thickBot="1">
      <c r="C22" s="387">
        <v>5</v>
      </c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384">
        <f t="shared" si="2"/>
        <v>0</v>
      </c>
    </row>
    <row r="23" spans="3:16" ht="13.5" thickBot="1">
      <c r="C23" s="387">
        <v>6</v>
      </c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384">
        <f t="shared" si="2"/>
        <v>0</v>
      </c>
    </row>
    <row r="24" spans="3:16" ht="13.5" thickBot="1">
      <c r="C24" s="387">
        <v>7</v>
      </c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384">
        <f t="shared" si="2"/>
        <v>0</v>
      </c>
    </row>
    <row r="25" spans="3:16" ht="13.5" thickBot="1">
      <c r="C25" s="387">
        <v>8</v>
      </c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384">
        <f t="shared" si="2"/>
        <v>0</v>
      </c>
    </row>
    <row r="26" spans="3:16" ht="13.5" thickBot="1">
      <c r="C26" s="387">
        <v>9</v>
      </c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384">
        <f t="shared" si="2"/>
        <v>0</v>
      </c>
    </row>
    <row r="27" spans="3:16" ht="13.5" thickBot="1">
      <c r="C27" s="382" t="s">
        <v>247</v>
      </c>
      <c r="D27" s="382">
        <f>SUM(D18:D26)</f>
        <v>0</v>
      </c>
      <c r="E27" s="382">
        <f t="shared" ref="E27" si="3">SUM(E18:E26)</f>
        <v>0</v>
      </c>
      <c r="F27" s="382">
        <f t="shared" ref="F27" si="4">SUM(F18:F26)</f>
        <v>0</v>
      </c>
      <c r="G27" s="382">
        <f t="shared" ref="G27" si="5">SUM(G18:G26)</f>
        <v>0</v>
      </c>
      <c r="H27" s="382">
        <f t="shared" ref="H27" si="6">SUM(H18:H26)</f>
        <v>0</v>
      </c>
      <c r="I27" s="382">
        <f t="shared" ref="I27" si="7">SUM(I18:I26)</f>
        <v>0</v>
      </c>
      <c r="J27" s="382">
        <f t="shared" ref="J27" si="8">SUM(J18:J26)</f>
        <v>0</v>
      </c>
      <c r="K27" s="382">
        <f t="shared" ref="K27" si="9">SUM(K18:K26)</f>
        <v>0</v>
      </c>
      <c r="L27" s="382">
        <f t="shared" ref="L27" si="10">SUM(L18:L26)</f>
        <v>0</v>
      </c>
      <c r="M27" s="382">
        <f t="shared" ref="M27" si="11">SUM(M18:M26)</f>
        <v>0</v>
      </c>
      <c r="N27" s="382">
        <f t="shared" ref="N27" si="12">SUM(N18:N26)</f>
        <v>0</v>
      </c>
      <c r="O27" s="382">
        <f>SUM(O18:O26)</f>
        <v>0</v>
      </c>
      <c r="P27" s="384">
        <f t="shared" si="2"/>
        <v>0</v>
      </c>
    </row>
    <row r="28" spans="3:16"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</row>
    <row r="29" spans="3:16" ht="13.5" thickBot="1"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</row>
    <row r="30" spans="3:16" ht="13.5" thickBot="1">
      <c r="C30" s="381"/>
      <c r="D30" s="408" t="s">
        <v>226</v>
      </c>
      <c r="E30" s="409"/>
      <c r="F30" s="409"/>
      <c r="G30" s="409"/>
      <c r="H30" s="409"/>
      <c r="I30" s="409"/>
      <c r="J30" s="409"/>
      <c r="K30" s="409"/>
      <c r="L30" s="409"/>
      <c r="M30" s="409"/>
      <c r="N30" s="409"/>
      <c r="O30" s="409"/>
      <c r="P30" s="410"/>
    </row>
    <row r="31" spans="3:16" ht="13.5" thickBot="1">
      <c r="C31" s="382" t="s">
        <v>258</v>
      </c>
      <c r="D31" s="382" t="s">
        <v>149</v>
      </c>
      <c r="E31" s="382" t="s">
        <v>150</v>
      </c>
      <c r="F31" s="382" t="s">
        <v>151</v>
      </c>
      <c r="G31" s="382" t="s">
        <v>157</v>
      </c>
      <c r="H31" s="382" t="s">
        <v>244</v>
      </c>
      <c r="I31" s="382" t="s">
        <v>245</v>
      </c>
      <c r="J31" s="382" t="s">
        <v>114</v>
      </c>
      <c r="K31" s="382" t="s">
        <v>154</v>
      </c>
      <c r="L31" s="382" t="s">
        <v>246</v>
      </c>
      <c r="M31" s="382" t="s">
        <v>115</v>
      </c>
      <c r="N31" s="382" t="s">
        <v>116</v>
      </c>
      <c r="O31" s="382" t="s">
        <v>117</v>
      </c>
      <c r="P31" s="383" t="s">
        <v>247</v>
      </c>
    </row>
    <row r="32" spans="3:16" ht="13.5" thickBot="1">
      <c r="C32" s="386">
        <v>1</v>
      </c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4">
        <f>SUM(D32:O32)</f>
        <v>0</v>
      </c>
    </row>
    <row r="33" spans="3:16" ht="13.5" thickBot="1">
      <c r="C33" s="387">
        <v>2</v>
      </c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4">
        <f t="shared" ref="P33:P41" si="13">SUM(D33:O33)</f>
        <v>0</v>
      </c>
    </row>
    <row r="34" spans="3:16" ht="13.5" thickBot="1">
      <c r="C34" s="387">
        <v>3</v>
      </c>
      <c r="D34" s="388"/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4">
        <f t="shared" si="13"/>
        <v>0</v>
      </c>
    </row>
    <row r="35" spans="3:16" ht="13.5" thickBot="1">
      <c r="C35" s="387">
        <v>4</v>
      </c>
      <c r="D35" s="388"/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4">
        <f t="shared" si="13"/>
        <v>0</v>
      </c>
    </row>
    <row r="36" spans="3:16" ht="13.5" thickBot="1">
      <c r="C36" s="387">
        <v>5</v>
      </c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4">
        <f t="shared" si="13"/>
        <v>0</v>
      </c>
    </row>
    <row r="37" spans="3:16" ht="13.5" thickBot="1">
      <c r="C37" s="387">
        <v>6</v>
      </c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4">
        <f t="shared" si="13"/>
        <v>0</v>
      </c>
    </row>
    <row r="38" spans="3:16" ht="13.5" thickBot="1">
      <c r="C38" s="387">
        <v>7</v>
      </c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4">
        <f t="shared" si="13"/>
        <v>0</v>
      </c>
    </row>
    <row r="39" spans="3:16" ht="13.5" thickBot="1">
      <c r="C39" s="387">
        <v>8</v>
      </c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4">
        <f t="shared" si="13"/>
        <v>0</v>
      </c>
    </row>
    <row r="40" spans="3:16" ht="13.5" thickBot="1">
      <c r="C40" s="387">
        <v>9</v>
      </c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4">
        <f t="shared" si="13"/>
        <v>0</v>
      </c>
    </row>
    <row r="41" spans="3:16" ht="13.5" thickBot="1">
      <c r="C41" s="382" t="s">
        <v>247</v>
      </c>
      <c r="D41" s="382">
        <f>SUM(D32:D40)</f>
        <v>0</v>
      </c>
      <c r="E41" s="382">
        <f t="shared" ref="E41" si="14">SUM(E32:E40)</f>
        <v>0</v>
      </c>
      <c r="F41" s="382">
        <f t="shared" ref="F41" si="15">SUM(F32:F40)</f>
        <v>0</v>
      </c>
      <c r="G41" s="382">
        <f t="shared" ref="G41" si="16">SUM(G32:G40)</f>
        <v>0</v>
      </c>
      <c r="H41" s="382">
        <f t="shared" ref="H41" si="17">SUM(H32:H40)</f>
        <v>0</v>
      </c>
      <c r="I41" s="382">
        <f t="shared" ref="I41" si="18">SUM(I32:I40)</f>
        <v>0</v>
      </c>
      <c r="J41" s="382">
        <f t="shared" ref="J41" si="19">SUM(J32:J40)</f>
        <v>0</v>
      </c>
      <c r="K41" s="382">
        <f t="shared" ref="K41" si="20">SUM(K32:K40)</f>
        <v>0</v>
      </c>
      <c r="L41" s="382">
        <f t="shared" ref="L41" si="21">SUM(L32:L40)</f>
        <v>0</v>
      </c>
      <c r="M41" s="382">
        <f t="shared" ref="M41" si="22">SUM(M32:M40)</f>
        <v>0</v>
      </c>
      <c r="N41" s="382">
        <f t="shared" ref="N41" si="23">SUM(N32:N40)</f>
        <v>0</v>
      </c>
      <c r="O41" s="382">
        <f>SUM(O32:O40)</f>
        <v>0</v>
      </c>
      <c r="P41" s="384">
        <f t="shared" si="13"/>
        <v>0</v>
      </c>
    </row>
    <row r="42" spans="3:16"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</row>
    <row r="43" spans="3:16"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</row>
    <row r="44" spans="3:16"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</row>
    <row r="45" spans="3:16"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</row>
    <row r="46" spans="3:16"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</row>
    <row r="47" spans="3:16"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</row>
    <row r="48" spans="3:16"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</row>
    <row r="49" s="62" customFormat="1"/>
    <row r="50" s="62" customFormat="1"/>
    <row r="51" s="62" customFormat="1"/>
    <row r="52" s="62" customFormat="1"/>
    <row r="53" s="62" customFormat="1"/>
    <row r="54" s="62" customFormat="1"/>
    <row r="55" s="62" customFormat="1"/>
    <row r="56" s="62" customFormat="1"/>
    <row r="57" s="62" customFormat="1"/>
    <row r="58" s="62" customFormat="1"/>
    <row r="59" s="62" customFormat="1"/>
    <row r="60" s="62" customFormat="1"/>
    <row r="61" s="62" customFormat="1"/>
    <row r="62" s="62" customFormat="1"/>
    <row r="63" s="62" customFormat="1"/>
    <row r="64" s="62" customFormat="1"/>
    <row r="65" s="62" customFormat="1"/>
    <row r="66" s="62" customFormat="1"/>
    <row r="67" s="62" customFormat="1"/>
    <row r="68" s="62" customFormat="1"/>
    <row r="69" s="62" customFormat="1"/>
    <row r="70" s="62" customFormat="1"/>
    <row r="71" s="62" customFormat="1"/>
    <row r="72" s="62" customFormat="1"/>
    <row r="73" s="62" customFormat="1"/>
    <row r="74" s="62" customFormat="1"/>
    <row r="75" s="62" customFormat="1"/>
    <row r="76" s="62" customFormat="1"/>
    <row r="77" s="62" customFormat="1"/>
    <row r="78" s="62" customFormat="1"/>
    <row r="79" s="62" customFormat="1"/>
    <row r="80" s="62" customFormat="1"/>
    <row r="81" s="62" customFormat="1"/>
    <row r="82" s="62" customFormat="1"/>
    <row r="83" s="62" customFormat="1"/>
    <row r="84" s="62" customFormat="1"/>
    <row r="85" s="62" customFormat="1"/>
    <row r="86" s="62" customFormat="1"/>
    <row r="87" s="62" customFormat="1"/>
    <row r="88" s="62" customFormat="1"/>
    <row r="89" s="62" customFormat="1"/>
    <row r="90" s="62" customFormat="1"/>
    <row r="91" s="62" customFormat="1"/>
    <row r="92" s="62" customFormat="1"/>
    <row r="93" s="62" customFormat="1"/>
    <row r="94" s="62" customFormat="1"/>
    <row r="95" s="62" customFormat="1"/>
    <row r="96" s="62" customFormat="1"/>
    <row r="97" s="62" customFormat="1"/>
    <row r="98" s="62" customFormat="1"/>
    <row r="99" s="62" customFormat="1"/>
    <row r="100" s="62" customFormat="1"/>
    <row r="101" s="62" customFormat="1"/>
    <row r="102" s="62" customFormat="1"/>
    <row r="103" s="62" customFormat="1"/>
    <row r="104" s="62" customFormat="1"/>
    <row r="105" s="62" customFormat="1"/>
    <row r="106" s="62" customFormat="1"/>
    <row r="107" s="62" customFormat="1"/>
    <row r="108" s="62" customFormat="1"/>
    <row r="109" s="62" customFormat="1"/>
    <row r="110" s="62" customFormat="1"/>
    <row r="111" s="62" customFormat="1"/>
    <row r="112" s="62" customFormat="1"/>
    <row r="113" s="62" customFormat="1"/>
    <row r="114" s="62" customFormat="1"/>
    <row r="115" s="62" customFormat="1"/>
    <row r="116" s="62" customFormat="1"/>
    <row r="117" s="62" customFormat="1"/>
    <row r="118" s="62" customFormat="1"/>
    <row r="119" s="62" customFormat="1"/>
    <row r="120" s="62" customFormat="1"/>
    <row r="121" s="62" customFormat="1"/>
    <row r="122" s="62" customFormat="1"/>
    <row r="123" s="62" customFormat="1"/>
    <row r="124" s="62" customFormat="1"/>
    <row r="125" s="62" customFormat="1"/>
    <row r="126" s="62" customFormat="1"/>
    <row r="127" s="62" customFormat="1"/>
    <row r="128" s="62" customFormat="1"/>
    <row r="129" s="62" customFormat="1"/>
    <row r="130" s="62" customFormat="1"/>
    <row r="131" s="62" customFormat="1"/>
    <row r="132" s="62" customFormat="1"/>
    <row r="133" s="62" customFormat="1"/>
    <row r="134" s="62" customFormat="1"/>
    <row r="135" s="62" customFormat="1"/>
    <row r="136" s="62" customFormat="1"/>
    <row r="137" s="62" customFormat="1"/>
    <row r="138" s="62" customFormat="1"/>
    <row r="139" s="62" customFormat="1"/>
    <row r="140" s="62" customFormat="1"/>
    <row r="141" s="62" customFormat="1"/>
    <row r="142" s="62" customFormat="1"/>
    <row r="143" s="62" customFormat="1"/>
    <row r="144" s="62" customFormat="1"/>
    <row r="145" s="62" customFormat="1"/>
    <row r="146" s="62" customFormat="1"/>
    <row r="147" s="62" customFormat="1"/>
    <row r="148" s="62" customFormat="1"/>
    <row r="149" s="62" customFormat="1"/>
    <row r="150" s="62" customFormat="1"/>
    <row r="151" s="62" customFormat="1"/>
    <row r="152" s="62" customFormat="1"/>
    <row r="153" s="62" customFormat="1"/>
    <row r="154" s="62" customFormat="1"/>
    <row r="155" s="62" customFormat="1"/>
    <row r="156" s="62" customFormat="1"/>
    <row r="157" s="62" customFormat="1"/>
    <row r="158" s="62" customFormat="1"/>
    <row r="159" s="62" customFormat="1"/>
    <row r="160" s="62" customFormat="1"/>
    <row r="161" s="62" customFormat="1"/>
    <row r="162" s="62" customFormat="1"/>
    <row r="163" s="62" customFormat="1"/>
    <row r="164" s="62" customFormat="1"/>
    <row r="165" s="62" customFormat="1"/>
    <row r="166" s="62" customFormat="1"/>
    <row r="167" s="62" customFormat="1"/>
    <row r="168" s="62" customFormat="1"/>
    <row r="169" s="62" customFormat="1"/>
    <row r="170" s="62" customFormat="1"/>
    <row r="171" s="62" customFormat="1"/>
    <row r="172" s="62" customFormat="1"/>
    <row r="173" s="62" customFormat="1"/>
    <row r="174" s="62" customFormat="1"/>
    <row r="175" s="62" customFormat="1"/>
    <row r="176" s="62" customFormat="1"/>
    <row r="177" s="62" customFormat="1"/>
    <row r="178" s="62" customFormat="1"/>
    <row r="179" s="62" customFormat="1"/>
    <row r="180" s="62" customFormat="1"/>
    <row r="181" s="62" customFormat="1"/>
    <row r="182" s="62" customFormat="1"/>
    <row r="183" s="62" customFormat="1"/>
    <row r="184" s="62" customFormat="1"/>
    <row r="185" s="62" customFormat="1"/>
    <row r="186" s="62" customFormat="1"/>
    <row r="187" s="62" customFormat="1"/>
    <row r="188" s="62" customFormat="1"/>
    <row r="189" s="62" customFormat="1"/>
    <row r="190" s="62" customFormat="1"/>
    <row r="191" s="62" customFormat="1"/>
    <row r="192" s="62" customFormat="1"/>
    <row r="193" s="62" customFormat="1"/>
    <row r="194" s="62" customFormat="1"/>
    <row r="195" s="62" customFormat="1"/>
    <row r="196" s="62" customFormat="1"/>
    <row r="197" s="62" customFormat="1"/>
    <row r="198" s="62" customFormat="1"/>
    <row r="199" s="62" customFormat="1"/>
    <row r="200" s="62" customFormat="1"/>
    <row r="201" s="62" customFormat="1"/>
    <row r="202" s="62" customFormat="1"/>
    <row r="203" s="62" customFormat="1"/>
    <row r="204" s="62" customFormat="1"/>
    <row r="205" s="62" customFormat="1"/>
    <row r="206" s="62" customFormat="1"/>
    <row r="207" s="62" customFormat="1"/>
    <row r="208" s="62" customFormat="1"/>
    <row r="209" s="62" customFormat="1"/>
    <row r="210" s="62" customFormat="1"/>
    <row r="211" s="62" customFormat="1"/>
    <row r="212" s="62" customFormat="1"/>
    <row r="213" s="62" customFormat="1"/>
    <row r="214" s="62" customFormat="1"/>
    <row r="215" s="62" customFormat="1"/>
    <row r="216" s="62" customFormat="1"/>
    <row r="217" s="62" customFormat="1"/>
    <row r="218" s="62" customFormat="1"/>
    <row r="219" s="62" customFormat="1"/>
    <row r="220" s="62" customFormat="1"/>
    <row r="221" s="62" customFormat="1"/>
    <row r="222" s="62" customFormat="1"/>
    <row r="223" s="62" customFormat="1"/>
    <row r="224" s="62" customFormat="1"/>
    <row r="225" s="62" customFormat="1"/>
    <row r="226" s="62" customFormat="1"/>
    <row r="227" s="62" customFormat="1"/>
    <row r="228" s="62" customFormat="1"/>
    <row r="229" s="62" customFormat="1"/>
    <row r="230" s="62" customFormat="1"/>
    <row r="231" s="62" customFormat="1"/>
    <row r="232" s="62" customFormat="1"/>
    <row r="233" s="62" customFormat="1"/>
    <row r="234" s="62" customFormat="1"/>
    <row r="235" s="62" customFormat="1"/>
    <row r="236" s="62" customFormat="1"/>
    <row r="237" s="62" customFormat="1"/>
    <row r="238" s="62" customFormat="1"/>
    <row r="239" s="62" customFormat="1"/>
    <row r="240" s="62" customFormat="1"/>
    <row r="241" s="62" customFormat="1"/>
    <row r="242" s="62" customFormat="1"/>
    <row r="243" s="62" customFormat="1"/>
    <row r="244" s="62" customFormat="1"/>
    <row r="245" s="62" customFormat="1"/>
    <row r="246" s="62" customFormat="1"/>
    <row r="247" s="62" customFormat="1"/>
    <row r="248" s="62" customFormat="1"/>
    <row r="249" s="62" customFormat="1"/>
    <row r="250" s="62" customFormat="1"/>
    <row r="251" s="62" customFormat="1"/>
    <row r="252" s="62" customFormat="1"/>
    <row r="253" s="62" customFormat="1"/>
    <row r="254" s="62" customFormat="1"/>
    <row r="255" s="62" customFormat="1"/>
    <row r="256" s="62" customFormat="1"/>
    <row r="257" s="62" customFormat="1"/>
    <row r="258" s="62" customFormat="1"/>
    <row r="259" s="62" customFormat="1"/>
    <row r="260" s="62" customFormat="1"/>
    <row r="261" s="62" customFormat="1"/>
    <row r="262" s="62" customFormat="1"/>
    <row r="263" s="62" customFormat="1"/>
    <row r="264" s="62" customFormat="1"/>
    <row r="265" s="62" customFormat="1"/>
    <row r="266" s="62" customFormat="1"/>
    <row r="267" s="62" customFormat="1"/>
    <row r="268" s="62" customFormat="1"/>
    <row r="269" s="62" customFormat="1"/>
    <row r="270" s="62" customFormat="1"/>
    <row r="271" s="62" customFormat="1"/>
    <row r="272" s="62" customFormat="1"/>
    <row r="273" s="62" customFormat="1"/>
    <row r="274" s="62" customFormat="1"/>
    <row r="275" s="62" customFormat="1"/>
    <row r="276" s="62" customFormat="1"/>
    <row r="277" s="62" customFormat="1"/>
    <row r="278" s="62" customFormat="1"/>
    <row r="279" s="62" customFormat="1"/>
    <row r="280" s="62" customFormat="1"/>
    <row r="281" s="62" customFormat="1"/>
    <row r="282" s="62" customFormat="1"/>
    <row r="283" s="62" customFormat="1"/>
    <row r="284" s="62" customFormat="1"/>
    <row r="285" s="62" customFormat="1"/>
    <row r="286" s="62" customFormat="1"/>
    <row r="287" s="62" customFormat="1"/>
    <row r="288" s="62" customFormat="1"/>
    <row r="289" s="62" customFormat="1"/>
    <row r="290" s="62" customFormat="1"/>
    <row r="291" s="62" customFormat="1"/>
    <row r="292" s="62" customFormat="1"/>
    <row r="293" s="62" customFormat="1"/>
    <row r="294" s="62" customFormat="1"/>
    <row r="295" s="62" customFormat="1"/>
    <row r="296" s="62" customFormat="1"/>
    <row r="297" s="62" customFormat="1"/>
    <row r="298" s="62" customFormat="1"/>
    <row r="299" s="62" customFormat="1"/>
    <row r="300" s="62" customFormat="1"/>
    <row r="301" s="62" customFormat="1"/>
    <row r="302" s="62" customFormat="1"/>
    <row r="303" s="62" customFormat="1"/>
    <row r="304" s="62" customFormat="1"/>
    <row r="305" s="62" customFormat="1"/>
    <row r="306" s="62" customFormat="1"/>
    <row r="307" s="62" customFormat="1"/>
    <row r="308" s="62" customFormat="1"/>
    <row r="309" s="62" customFormat="1"/>
    <row r="310" s="62" customFormat="1"/>
    <row r="311" s="62" customFormat="1"/>
    <row r="312" s="62" customFormat="1"/>
    <row r="313" s="62" customFormat="1"/>
    <row r="314" s="62" customFormat="1"/>
    <row r="315" s="62" customFormat="1"/>
    <row r="316" s="62" customFormat="1"/>
    <row r="317" s="62" customFormat="1"/>
    <row r="318" s="62" customFormat="1"/>
    <row r="319" s="62" customFormat="1"/>
    <row r="320" s="62" customFormat="1"/>
    <row r="321" s="62" customFormat="1"/>
    <row r="322" s="62" customFormat="1"/>
    <row r="323" s="62" customFormat="1"/>
    <row r="324" s="62" customFormat="1"/>
    <row r="325" s="62" customFormat="1"/>
    <row r="326" s="62" customFormat="1"/>
    <row r="327" s="62" customFormat="1"/>
    <row r="328" s="62" customFormat="1"/>
    <row r="329" s="62" customFormat="1"/>
    <row r="330" s="62" customFormat="1"/>
    <row r="331" s="62" customFormat="1"/>
    <row r="332" s="62" customFormat="1"/>
    <row r="333" s="62" customFormat="1"/>
    <row r="334" s="62" customFormat="1"/>
    <row r="335" s="62" customFormat="1"/>
    <row r="336" s="62" customFormat="1"/>
    <row r="337" s="62" customFormat="1"/>
    <row r="338" s="62" customFormat="1"/>
    <row r="339" s="62" customFormat="1"/>
    <row r="340" s="62" customFormat="1"/>
    <row r="341" s="62" customFormat="1"/>
    <row r="342" s="62" customFormat="1"/>
    <row r="343" s="62" customFormat="1"/>
    <row r="344" s="62" customFormat="1"/>
    <row r="345" s="62" customFormat="1"/>
    <row r="346" s="62" customFormat="1"/>
    <row r="347" s="62" customFormat="1"/>
    <row r="348" s="62" customFormat="1"/>
    <row r="349" s="62" customFormat="1"/>
    <row r="350" s="62" customFormat="1"/>
    <row r="351" s="62" customFormat="1"/>
    <row r="352" s="62" customFormat="1"/>
    <row r="353" s="62" customFormat="1"/>
    <row r="354" s="62" customFormat="1"/>
    <row r="355" s="62" customFormat="1"/>
    <row r="356" s="62" customFormat="1"/>
    <row r="357" s="62" customFormat="1"/>
    <row r="358" s="62" customFormat="1"/>
    <row r="359" s="62" customFormat="1"/>
    <row r="360" s="62" customFormat="1"/>
    <row r="361" s="62" customFormat="1"/>
    <row r="362" s="62" customFormat="1"/>
    <row r="363" s="62" customFormat="1"/>
    <row r="364" s="62" customFormat="1"/>
    <row r="365" s="62" customFormat="1"/>
    <row r="366" s="62" customFormat="1"/>
    <row r="367" s="62" customFormat="1"/>
    <row r="368" s="62" customFormat="1"/>
    <row r="369" s="62" customFormat="1"/>
    <row r="370" s="62" customFormat="1"/>
    <row r="371" s="62" customFormat="1"/>
    <row r="372" s="62" customFormat="1"/>
    <row r="373" s="62" customFormat="1"/>
    <row r="374" s="62" customFormat="1"/>
    <row r="375" s="62" customFormat="1"/>
    <row r="376" s="62" customFormat="1"/>
    <row r="377" s="62" customFormat="1"/>
    <row r="378" s="62" customFormat="1"/>
    <row r="379" s="62" customFormat="1"/>
    <row r="380" s="62" customFormat="1"/>
    <row r="381" s="62" customFormat="1"/>
    <row r="382" s="62" customFormat="1"/>
    <row r="383" s="62" customFormat="1"/>
    <row r="384" s="62" customFormat="1"/>
    <row r="385" s="62" customFormat="1"/>
    <row r="386" s="62" customFormat="1"/>
    <row r="387" s="62" customFormat="1"/>
    <row r="388" s="62" customFormat="1"/>
    <row r="389" s="62" customFormat="1"/>
    <row r="390" s="62" customFormat="1"/>
    <row r="391" s="62" customFormat="1"/>
    <row r="392" s="62" customFormat="1"/>
    <row r="393" s="62" customFormat="1"/>
    <row r="394" s="62" customFormat="1"/>
    <row r="395" s="62" customFormat="1"/>
    <row r="396" s="62" customFormat="1"/>
    <row r="397" s="62" customFormat="1"/>
    <row r="398" s="62" customFormat="1"/>
    <row r="399" s="62" customFormat="1"/>
    <row r="400" s="62" customFormat="1"/>
    <row r="401" s="62" customFormat="1"/>
    <row r="402" s="62" customFormat="1"/>
    <row r="403" s="62" customFormat="1"/>
    <row r="404" s="62" customFormat="1"/>
    <row r="405" s="62" customFormat="1"/>
    <row r="406" s="62" customFormat="1"/>
    <row r="407" s="62" customFormat="1"/>
    <row r="408" s="62" customFormat="1"/>
    <row r="409" s="62" customFormat="1"/>
    <row r="410" s="62" customFormat="1"/>
    <row r="411" s="62" customFormat="1"/>
    <row r="412" s="62" customFormat="1"/>
    <row r="413" s="62" customFormat="1"/>
    <row r="414" s="62" customFormat="1"/>
    <row r="415" s="62" customFormat="1"/>
    <row r="416" s="62" customFormat="1"/>
    <row r="417" s="62" customFormat="1"/>
    <row r="418" s="62" customFormat="1"/>
    <row r="419" s="62" customFormat="1"/>
    <row r="420" s="62" customFormat="1"/>
    <row r="421" s="62" customFormat="1"/>
    <row r="422" s="62" customFormat="1"/>
    <row r="423" s="62" customFormat="1"/>
    <row r="424" s="62" customFormat="1"/>
    <row r="425" s="62" customFormat="1"/>
    <row r="426" s="62" customFormat="1"/>
    <row r="427" s="62" customFormat="1"/>
    <row r="428" s="62" customFormat="1"/>
    <row r="429" s="62" customFormat="1"/>
    <row r="430" s="62" customFormat="1"/>
    <row r="431" s="62" customFormat="1"/>
    <row r="432" s="62" customFormat="1"/>
    <row r="433" s="62" customFormat="1"/>
    <row r="434" s="62" customFormat="1"/>
    <row r="435" s="62" customFormat="1"/>
    <row r="436" s="62" customFormat="1"/>
    <row r="437" s="62" customFormat="1"/>
    <row r="438" s="62" customFormat="1"/>
    <row r="439" s="62" customFormat="1"/>
    <row r="440" s="62" customFormat="1"/>
    <row r="441" s="62" customFormat="1"/>
    <row r="442" s="62" customFormat="1"/>
    <row r="443" s="62" customFormat="1"/>
    <row r="444" s="62" customFormat="1"/>
    <row r="445" s="62" customFormat="1"/>
    <row r="446" s="62" customFormat="1"/>
    <row r="447" s="62" customFormat="1"/>
    <row r="448" s="62" customFormat="1"/>
    <row r="449" s="62" customFormat="1"/>
    <row r="450" s="62" customFormat="1"/>
    <row r="451" s="62" customFormat="1"/>
    <row r="452" s="62" customFormat="1"/>
    <row r="453" s="62" customFormat="1"/>
    <row r="454" s="62" customFormat="1"/>
    <row r="455" s="62" customFormat="1"/>
    <row r="456" s="62" customFormat="1"/>
    <row r="457" s="62" customFormat="1"/>
    <row r="458" s="62" customFormat="1"/>
    <row r="459" s="62" customFormat="1"/>
    <row r="460" s="62" customFormat="1"/>
    <row r="461" s="62" customFormat="1"/>
    <row r="462" s="62" customFormat="1"/>
    <row r="463" s="62" customFormat="1"/>
    <row r="464" s="62" customFormat="1"/>
    <row r="465" s="62" customFormat="1"/>
    <row r="466" s="62" customFormat="1"/>
    <row r="467" s="62" customFormat="1"/>
    <row r="468" s="62" customFormat="1"/>
    <row r="469" s="62" customFormat="1"/>
    <row r="470" s="62" customFormat="1"/>
    <row r="471" s="62" customFormat="1"/>
    <row r="472" s="62" customFormat="1"/>
    <row r="473" s="62" customFormat="1"/>
    <row r="474" s="62" customFormat="1"/>
    <row r="475" s="62" customFormat="1"/>
    <row r="476" s="62" customFormat="1"/>
    <row r="477" s="62" customFormat="1"/>
    <row r="478" s="62" customFormat="1"/>
    <row r="479" s="62" customFormat="1"/>
    <row r="480" s="62" customFormat="1"/>
    <row r="481" s="62" customFormat="1"/>
    <row r="482" s="62" customFormat="1"/>
    <row r="483" s="62" customFormat="1"/>
    <row r="484" s="62" customFormat="1"/>
    <row r="485" s="62" customFormat="1"/>
    <row r="486" s="62" customFormat="1"/>
    <row r="487" s="62" customFormat="1"/>
    <row r="488" s="62" customFormat="1"/>
    <row r="489" s="62" customFormat="1"/>
    <row r="490" s="62" customFormat="1"/>
    <row r="491" s="62" customFormat="1"/>
    <row r="492" s="62" customFormat="1"/>
    <row r="493" s="62" customFormat="1"/>
    <row r="494" s="62" customFormat="1"/>
    <row r="495" s="62" customFormat="1"/>
    <row r="496" s="62" customFormat="1"/>
    <row r="497" s="62" customFormat="1"/>
    <row r="498" s="62" customFormat="1"/>
    <row r="499" s="62" customFormat="1"/>
    <row r="500" s="62" customFormat="1"/>
    <row r="501" s="62" customFormat="1"/>
    <row r="502" s="62" customFormat="1"/>
    <row r="503" s="62" customFormat="1"/>
    <row r="504" s="62" customFormat="1"/>
    <row r="505" s="62" customFormat="1"/>
    <row r="506" s="62" customFormat="1"/>
    <row r="507" s="62" customFormat="1"/>
    <row r="508" s="62" customFormat="1"/>
    <row r="509" s="62" customFormat="1"/>
    <row r="510" s="62" customFormat="1"/>
    <row r="511" s="62" customFormat="1"/>
    <row r="512" s="62" customFormat="1"/>
    <row r="513" s="62" customFormat="1"/>
    <row r="514" s="62" customFormat="1"/>
    <row r="515" s="62" customFormat="1"/>
    <row r="516" s="62" customFormat="1"/>
    <row r="517" s="62" customFormat="1"/>
    <row r="518" s="62" customFormat="1"/>
    <row r="519" s="62" customFormat="1"/>
    <row r="520" s="62" customFormat="1"/>
    <row r="521" s="62" customFormat="1"/>
    <row r="522" s="62" customFormat="1"/>
    <row r="523" s="62" customFormat="1"/>
    <row r="524" s="62" customFormat="1"/>
    <row r="525" s="62" customFormat="1"/>
    <row r="526" s="62" customFormat="1"/>
    <row r="527" s="62" customFormat="1"/>
    <row r="528" s="62" customFormat="1"/>
    <row r="529" s="62" customFormat="1"/>
    <row r="530" s="62" customFormat="1"/>
    <row r="531" s="62" customFormat="1"/>
    <row r="532" s="62" customFormat="1"/>
    <row r="533" s="62" customFormat="1"/>
    <row r="534" s="62" customFormat="1"/>
    <row r="535" s="62" customFormat="1"/>
    <row r="536" s="62" customFormat="1"/>
    <row r="537" s="62" customFormat="1"/>
    <row r="538" s="62" customFormat="1"/>
    <row r="539" s="62" customFormat="1"/>
    <row r="540" s="62" customFormat="1"/>
    <row r="541" s="62" customFormat="1"/>
    <row r="542" s="62" customFormat="1"/>
    <row r="543" s="62" customFormat="1"/>
    <row r="544" s="62" customFormat="1"/>
    <row r="545" s="62" customFormat="1"/>
    <row r="546" s="62" customFormat="1"/>
    <row r="547" s="62" customFormat="1"/>
    <row r="548" s="62" customFormat="1"/>
    <row r="549" s="62" customFormat="1"/>
    <row r="550" s="62" customFormat="1"/>
    <row r="551" s="62" customFormat="1"/>
    <row r="552" s="62" customFormat="1"/>
    <row r="553" s="62" customFormat="1"/>
    <row r="554" s="62" customFormat="1"/>
    <row r="555" s="62" customFormat="1"/>
    <row r="556" s="62" customFormat="1"/>
    <row r="557" s="62" customFormat="1"/>
    <row r="558" s="62" customFormat="1"/>
    <row r="559" s="62" customFormat="1"/>
    <row r="560" s="62" customFormat="1"/>
    <row r="561" s="62" customFormat="1"/>
    <row r="562" s="62" customFormat="1"/>
    <row r="563" s="62" customFormat="1"/>
    <row r="564" s="62" customFormat="1"/>
    <row r="565" s="62" customFormat="1"/>
    <row r="566" s="62" customFormat="1"/>
    <row r="567" s="62" customFormat="1"/>
    <row r="568" s="62" customFormat="1"/>
    <row r="569" s="62" customFormat="1"/>
    <row r="570" s="62" customFormat="1"/>
    <row r="571" s="62" customFormat="1"/>
    <row r="572" s="62" customFormat="1"/>
    <row r="573" s="62" customFormat="1"/>
    <row r="574" s="62" customFormat="1"/>
    <row r="575" s="62" customFormat="1"/>
    <row r="576" s="62" customFormat="1"/>
    <row r="577" s="62" customFormat="1"/>
    <row r="578" s="62" customFormat="1"/>
    <row r="579" s="62" customFormat="1"/>
    <row r="580" s="62" customFormat="1"/>
    <row r="581" s="62" customFormat="1"/>
    <row r="582" s="62" customFormat="1"/>
    <row r="583" s="62" customFormat="1"/>
    <row r="584" s="62" customFormat="1"/>
    <row r="585" s="62" customFormat="1"/>
    <row r="586" s="62" customFormat="1"/>
    <row r="587" s="62" customFormat="1"/>
    <row r="588" s="62" customFormat="1"/>
    <row r="589" s="62" customFormat="1"/>
    <row r="590" s="62" customFormat="1"/>
    <row r="591" s="62" customFormat="1"/>
    <row r="592" s="62" customFormat="1"/>
    <row r="593" s="62" customFormat="1"/>
    <row r="594" s="62" customFormat="1"/>
    <row r="595" s="62" customFormat="1"/>
    <row r="596" s="62" customFormat="1"/>
    <row r="597" s="62" customFormat="1"/>
    <row r="598" s="62" customFormat="1"/>
    <row r="599" s="62" customFormat="1"/>
    <row r="600" s="62" customFormat="1"/>
    <row r="601" s="62" customFormat="1"/>
    <row r="602" s="62" customFormat="1"/>
    <row r="603" s="62" customFormat="1"/>
    <row r="604" s="62" customFormat="1"/>
    <row r="605" s="62" customFormat="1"/>
    <row r="606" s="62" customFormat="1"/>
    <row r="607" s="62" customFormat="1"/>
    <row r="608" s="62" customFormat="1"/>
    <row r="609" s="62" customFormat="1"/>
    <row r="610" s="62" customFormat="1"/>
    <row r="611" s="62" customFormat="1"/>
    <row r="612" s="62" customFormat="1"/>
    <row r="613" s="62" customFormat="1"/>
    <row r="614" s="62" customFormat="1"/>
    <row r="615" s="62" customFormat="1"/>
    <row r="616" s="62" customFormat="1"/>
    <row r="617" s="62" customFormat="1"/>
    <row r="618" s="62" customFormat="1"/>
    <row r="619" s="62" customFormat="1"/>
    <row r="620" s="62" customFormat="1"/>
    <row r="621" s="62" customFormat="1"/>
    <row r="622" s="62" customFormat="1"/>
    <row r="623" s="62" customFormat="1"/>
    <row r="624" s="62" customFormat="1"/>
    <row r="625" s="62" customFormat="1"/>
    <row r="626" s="62" customFormat="1"/>
    <row r="627" s="62" customFormat="1"/>
    <row r="628" s="62" customFormat="1"/>
    <row r="629" s="62" customFormat="1"/>
    <row r="630" s="62" customFormat="1"/>
    <row r="631" s="62" customFormat="1"/>
    <row r="632" s="62" customFormat="1"/>
    <row r="633" s="62" customFormat="1"/>
    <row r="634" s="62" customFormat="1"/>
    <row r="635" s="62" customFormat="1"/>
    <row r="636" s="62" customFormat="1"/>
    <row r="637" s="62" customFormat="1"/>
    <row r="638" s="62" customFormat="1"/>
    <row r="639" s="62" customFormat="1"/>
    <row r="640" s="62" customFormat="1"/>
    <row r="641" s="62" customFormat="1"/>
    <row r="642" s="62" customFormat="1"/>
    <row r="643" s="62" customFormat="1"/>
    <row r="644" s="62" customFormat="1"/>
    <row r="645" s="62" customFormat="1"/>
    <row r="646" s="62" customFormat="1"/>
    <row r="647" s="62" customFormat="1"/>
    <row r="648" s="62" customFormat="1"/>
    <row r="649" s="62" customFormat="1"/>
    <row r="650" s="62" customFormat="1"/>
    <row r="651" s="62" customFormat="1"/>
    <row r="652" s="62" customFormat="1"/>
    <row r="653" s="62" customFormat="1"/>
    <row r="654" s="62" customFormat="1"/>
    <row r="655" s="62" customFormat="1"/>
    <row r="656" s="62" customFormat="1"/>
    <row r="657" s="62" customFormat="1"/>
    <row r="658" s="62" customFormat="1"/>
    <row r="659" s="62" customFormat="1"/>
    <row r="660" s="62" customFormat="1"/>
    <row r="661" s="62" customFormat="1"/>
    <row r="662" s="62" customFormat="1"/>
    <row r="663" s="62" customFormat="1"/>
    <row r="664" s="62" customFormat="1"/>
    <row r="665" s="62" customFormat="1"/>
    <row r="666" s="62" customFormat="1"/>
    <row r="667" s="62" customFormat="1"/>
    <row r="668" s="62" customFormat="1"/>
    <row r="669" s="62" customFormat="1"/>
    <row r="670" s="62" customFormat="1"/>
    <row r="671" s="62" customFormat="1"/>
    <row r="672" s="62" customFormat="1"/>
    <row r="673" s="62" customFormat="1"/>
    <row r="674" s="62" customFormat="1"/>
    <row r="675" s="62" customFormat="1"/>
    <row r="676" s="62" customFormat="1"/>
    <row r="677" s="62" customFormat="1"/>
    <row r="678" s="62" customFormat="1"/>
    <row r="679" s="62" customFormat="1"/>
    <row r="680" s="62" customFormat="1"/>
    <row r="681" s="62" customFormat="1"/>
    <row r="682" s="62" customFormat="1"/>
    <row r="683" s="62" customFormat="1"/>
    <row r="684" s="62" customFormat="1"/>
    <row r="685" s="62" customFormat="1"/>
    <row r="686" s="62" customFormat="1"/>
    <row r="687" s="62" customFormat="1"/>
    <row r="688" s="62" customFormat="1"/>
    <row r="689" s="62" customFormat="1"/>
    <row r="690" s="62" customFormat="1"/>
    <row r="691" s="62" customFormat="1"/>
    <row r="692" s="62" customFormat="1"/>
    <row r="693" s="62" customFormat="1"/>
    <row r="694" s="62" customFormat="1"/>
    <row r="695" s="62" customFormat="1"/>
    <row r="696" s="62" customFormat="1"/>
    <row r="697" s="62" customFormat="1"/>
    <row r="698" s="62" customFormat="1"/>
    <row r="699" s="62" customFormat="1"/>
    <row r="700" s="62" customFormat="1"/>
    <row r="701" s="62" customFormat="1"/>
    <row r="702" s="62" customFormat="1"/>
    <row r="703" s="62" customFormat="1"/>
    <row r="704" s="62" customFormat="1"/>
    <row r="705" s="62" customFormat="1"/>
    <row r="706" s="62" customFormat="1"/>
    <row r="707" s="62" customFormat="1"/>
    <row r="708" s="62" customFormat="1"/>
    <row r="709" s="62" customFormat="1"/>
    <row r="710" s="62" customFormat="1"/>
    <row r="711" s="62" customFormat="1"/>
    <row r="712" s="62" customFormat="1"/>
    <row r="713" s="62" customFormat="1"/>
    <row r="714" s="62" customFormat="1"/>
    <row r="715" s="62" customFormat="1"/>
    <row r="716" s="62" customFormat="1"/>
    <row r="717" s="62" customFormat="1"/>
    <row r="718" s="62" customFormat="1"/>
    <row r="719" s="62" customFormat="1"/>
    <row r="720" s="62" customFormat="1"/>
    <row r="721" s="62" customFormat="1"/>
    <row r="722" s="62" customFormat="1"/>
    <row r="723" s="62" customFormat="1"/>
    <row r="724" s="62" customFormat="1"/>
    <row r="725" s="62" customFormat="1"/>
    <row r="726" s="62" customFormat="1"/>
    <row r="727" s="62" customFormat="1"/>
    <row r="728" s="62" customFormat="1"/>
    <row r="729" s="62" customFormat="1"/>
    <row r="730" s="62" customFormat="1"/>
    <row r="731" s="62" customFormat="1"/>
    <row r="732" s="62" customFormat="1"/>
    <row r="733" s="62" customFormat="1"/>
    <row r="734" s="62" customFormat="1"/>
    <row r="735" s="62" customFormat="1"/>
    <row r="736" s="62" customFormat="1"/>
    <row r="737" s="62" customFormat="1"/>
    <row r="738" s="62" customFormat="1"/>
    <row r="739" s="62" customFormat="1"/>
    <row r="740" s="62" customFormat="1"/>
    <row r="741" s="62" customFormat="1"/>
    <row r="742" s="62" customFormat="1"/>
    <row r="743" s="62" customFormat="1"/>
    <row r="744" s="62" customFormat="1"/>
    <row r="745" s="62" customFormat="1"/>
    <row r="746" s="62" customFormat="1"/>
    <row r="747" s="62" customFormat="1"/>
    <row r="748" s="62" customFormat="1"/>
    <row r="749" s="62" customFormat="1"/>
    <row r="750" s="62" customFormat="1"/>
    <row r="751" s="62" customFormat="1"/>
    <row r="752" s="62" customFormat="1"/>
    <row r="753" s="62" customFormat="1"/>
    <row r="754" s="62" customFormat="1"/>
    <row r="755" s="62" customFormat="1"/>
    <row r="756" s="62" customFormat="1"/>
    <row r="757" s="62" customFormat="1"/>
    <row r="758" s="62" customFormat="1"/>
    <row r="759" s="62" customFormat="1"/>
    <row r="760" s="62" customFormat="1"/>
    <row r="761" s="62" customFormat="1"/>
    <row r="762" s="62" customFormat="1"/>
    <row r="763" s="62" customFormat="1"/>
    <row r="764" s="62" customFormat="1"/>
    <row r="765" s="62" customFormat="1"/>
    <row r="766" s="62" customFormat="1"/>
    <row r="767" s="62" customFormat="1"/>
    <row r="768" s="62" customFormat="1"/>
    <row r="769" s="62" customFormat="1"/>
    <row r="770" s="62" customFormat="1"/>
    <row r="771" s="62" customFormat="1"/>
    <row r="772" s="62" customFormat="1"/>
    <row r="773" s="62" customFormat="1"/>
    <row r="774" s="62" customFormat="1"/>
    <row r="775" s="62" customFormat="1"/>
    <row r="776" s="62" customFormat="1"/>
    <row r="777" s="62" customFormat="1"/>
    <row r="778" s="62" customFormat="1"/>
    <row r="779" s="62" customFormat="1"/>
    <row r="780" s="62" customFormat="1"/>
    <row r="781" s="62" customFormat="1"/>
    <row r="782" s="62" customFormat="1"/>
    <row r="783" s="62" customFormat="1"/>
    <row r="784" s="62" customFormat="1"/>
    <row r="785" s="62" customFormat="1"/>
    <row r="786" s="62" customFormat="1"/>
    <row r="787" s="62" customFormat="1"/>
    <row r="788" s="62" customFormat="1"/>
    <row r="789" s="62" customFormat="1"/>
    <row r="790" s="62" customFormat="1"/>
    <row r="791" s="62" customFormat="1"/>
    <row r="792" s="62" customFormat="1"/>
    <row r="793" s="62" customFormat="1"/>
    <row r="794" s="62" customFormat="1"/>
    <row r="795" s="62" customFormat="1"/>
    <row r="796" s="62" customFormat="1"/>
    <row r="797" s="62" customFormat="1"/>
    <row r="798" s="62" customFormat="1"/>
    <row r="799" s="62" customFormat="1"/>
    <row r="800" s="62" customFormat="1"/>
    <row r="801" s="62" customFormat="1"/>
    <row r="802" s="62" customFormat="1"/>
    <row r="803" s="62" customFormat="1"/>
    <row r="804" s="62" customFormat="1"/>
    <row r="805" s="62" customFormat="1"/>
    <row r="806" s="62" customFormat="1"/>
    <row r="807" s="62" customFormat="1"/>
    <row r="808" s="62" customFormat="1"/>
    <row r="809" s="62" customFormat="1"/>
    <row r="810" s="62" customFormat="1"/>
    <row r="811" s="62" customFormat="1"/>
    <row r="812" s="62" customFormat="1"/>
    <row r="813" s="62" customFormat="1"/>
    <row r="814" s="62" customFormat="1"/>
    <row r="815" s="62" customFormat="1"/>
    <row r="816" s="62" customFormat="1"/>
    <row r="817" s="62" customFormat="1"/>
    <row r="818" s="62" customFormat="1"/>
    <row r="819" s="62" customFormat="1"/>
    <row r="820" s="62" customFormat="1"/>
    <row r="821" s="62" customFormat="1"/>
    <row r="822" s="62" customFormat="1"/>
    <row r="823" s="62" customFormat="1"/>
    <row r="824" s="62" customFormat="1"/>
    <row r="825" s="62" customFormat="1"/>
    <row r="826" s="62" customFormat="1"/>
    <row r="827" s="62" customFormat="1"/>
    <row r="828" s="62" customFormat="1"/>
    <row r="829" s="62" customFormat="1"/>
    <row r="830" s="62" customFormat="1"/>
    <row r="831" s="62" customFormat="1"/>
    <row r="832" s="62" customFormat="1"/>
    <row r="833" s="62" customFormat="1"/>
    <row r="834" s="62" customFormat="1"/>
    <row r="835" s="62" customFormat="1"/>
    <row r="836" s="62" customFormat="1"/>
    <row r="837" s="62" customFormat="1"/>
    <row r="838" s="62" customFormat="1"/>
    <row r="839" s="62" customFormat="1"/>
    <row r="840" s="62" customFormat="1"/>
    <row r="841" s="62" customFormat="1"/>
    <row r="842" s="62" customFormat="1"/>
    <row r="843" s="62" customFormat="1"/>
    <row r="844" s="62" customFormat="1"/>
    <row r="845" s="62" customFormat="1"/>
    <row r="846" s="62" customFormat="1"/>
    <row r="847" s="62" customFormat="1"/>
    <row r="848" s="62" customFormat="1"/>
    <row r="849" s="62" customFormat="1"/>
    <row r="850" s="62" customFormat="1"/>
    <row r="851" s="62" customFormat="1"/>
    <row r="852" s="62" customFormat="1"/>
    <row r="853" s="62" customFormat="1"/>
    <row r="854" s="62" customFormat="1"/>
    <row r="855" s="62" customFormat="1"/>
    <row r="856" s="62" customFormat="1"/>
    <row r="857" s="62" customFormat="1"/>
    <row r="858" s="62" customFormat="1"/>
    <row r="859" s="62" customFormat="1"/>
    <row r="860" s="62" customFormat="1"/>
    <row r="861" s="62" customFormat="1"/>
    <row r="862" s="62" customFormat="1"/>
    <row r="863" s="62" customFormat="1"/>
    <row r="864" s="62" customFormat="1"/>
    <row r="865" s="62" customFormat="1"/>
    <row r="866" s="62" customFormat="1"/>
    <row r="867" s="62" customFormat="1"/>
    <row r="868" s="62" customFormat="1"/>
    <row r="869" s="62" customFormat="1"/>
    <row r="870" s="62" customFormat="1"/>
    <row r="871" s="62" customFormat="1"/>
    <row r="872" s="62" customFormat="1"/>
    <row r="873" s="62" customFormat="1"/>
    <row r="874" s="62" customFormat="1"/>
    <row r="875" s="62" customFormat="1"/>
    <row r="876" s="62" customFormat="1"/>
    <row r="877" s="62" customFormat="1"/>
    <row r="878" s="62" customFormat="1"/>
    <row r="879" s="62" customFormat="1"/>
    <row r="880" s="62" customFormat="1"/>
    <row r="881" s="62" customFormat="1"/>
    <row r="882" s="62" customFormat="1"/>
    <row r="883" s="62" customFormat="1"/>
    <row r="884" s="62" customFormat="1"/>
    <row r="885" s="62" customFormat="1"/>
    <row r="886" s="62" customFormat="1"/>
    <row r="887" s="62" customFormat="1"/>
    <row r="888" s="62" customFormat="1"/>
    <row r="889" s="62" customFormat="1"/>
    <row r="890" s="62" customFormat="1"/>
    <row r="891" s="62" customFormat="1"/>
    <row r="892" s="62" customFormat="1"/>
    <row r="893" s="62" customFormat="1"/>
    <row r="894" s="62" customFormat="1"/>
    <row r="895" s="62" customFormat="1"/>
    <row r="896" s="62" customFormat="1"/>
    <row r="897" s="62" customFormat="1"/>
    <row r="898" s="62" customFormat="1"/>
    <row r="899" s="62" customFormat="1"/>
    <row r="900" s="62" customFormat="1"/>
    <row r="901" s="62" customFormat="1"/>
    <row r="902" s="62" customFormat="1"/>
    <row r="903" s="62" customFormat="1"/>
    <row r="904" s="62" customFormat="1"/>
    <row r="905" s="62" customFormat="1"/>
    <row r="906" s="62" customFormat="1"/>
    <row r="907" s="62" customFormat="1"/>
    <row r="908" s="62" customFormat="1"/>
    <row r="909" s="62" customFormat="1"/>
    <row r="910" s="62" customFormat="1"/>
    <row r="911" s="62" customFormat="1"/>
    <row r="912" s="62" customFormat="1"/>
    <row r="913" s="62" customFormat="1"/>
    <row r="914" s="62" customFormat="1"/>
    <row r="915" s="62" customFormat="1"/>
    <row r="916" s="62" customFormat="1"/>
    <row r="917" s="62" customFormat="1"/>
    <row r="918" s="62" customFormat="1"/>
    <row r="919" s="62" customFormat="1"/>
    <row r="920" s="62" customFormat="1"/>
    <row r="921" s="62" customFormat="1"/>
    <row r="922" s="62" customFormat="1"/>
    <row r="923" s="62" customFormat="1"/>
    <row r="924" s="62" customFormat="1"/>
    <row r="925" s="62" customFormat="1"/>
    <row r="926" s="62" customFormat="1"/>
    <row r="927" s="62" customFormat="1"/>
    <row r="928" s="62" customFormat="1"/>
    <row r="929" s="62" customFormat="1"/>
    <row r="930" s="62" customFormat="1"/>
    <row r="931" s="62" customFormat="1"/>
    <row r="932" s="62" customFormat="1"/>
    <row r="933" s="62" customFormat="1"/>
    <row r="934" s="62" customFormat="1"/>
    <row r="935" s="62" customFormat="1"/>
    <row r="936" s="62" customFormat="1"/>
    <row r="937" s="62" customFormat="1"/>
    <row r="938" s="62" customFormat="1"/>
    <row r="939" s="62" customFormat="1"/>
    <row r="940" s="62" customFormat="1"/>
    <row r="941" s="62" customFormat="1"/>
    <row r="942" s="62" customFormat="1"/>
    <row r="943" s="62" customFormat="1"/>
    <row r="944" s="62" customFormat="1"/>
    <row r="945" s="62" customFormat="1"/>
    <row r="946" s="62" customFormat="1"/>
    <row r="947" s="62" customFormat="1"/>
    <row r="948" s="62" customFormat="1"/>
    <row r="949" s="62" customFormat="1"/>
    <row r="950" s="62" customFormat="1"/>
    <row r="951" s="62" customFormat="1"/>
    <row r="952" s="62" customFormat="1"/>
    <row r="953" s="62" customFormat="1"/>
    <row r="954" s="62" customFormat="1"/>
    <row r="955" s="62" customFormat="1"/>
    <row r="956" s="62" customFormat="1"/>
    <row r="957" s="62" customFormat="1"/>
    <row r="958" s="62" customFormat="1"/>
    <row r="959" s="62" customFormat="1"/>
    <row r="960" s="62" customFormat="1"/>
    <row r="961" s="62" customFormat="1"/>
    <row r="962" s="62" customFormat="1"/>
    <row r="963" s="62" customFormat="1"/>
    <row r="964" s="62" customFormat="1"/>
    <row r="965" s="62" customFormat="1"/>
    <row r="966" s="62" customFormat="1"/>
    <row r="967" s="62" customFormat="1"/>
    <row r="968" s="62" customFormat="1"/>
    <row r="969" s="62" customFormat="1"/>
    <row r="970" s="62" customFormat="1"/>
    <row r="971" s="62" customFormat="1"/>
    <row r="972" s="62" customFormat="1"/>
    <row r="973" s="62" customFormat="1"/>
    <row r="974" s="62" customFormat="1"/>
    <row r="975" s="62" customFormat="1"/>
    <row r="976" s="62" customFormat="1"/>
    <row r="977" s="62" customFormat="1"/>
    <row r="978" s="62" customFormat="1"/>
    <row r="979" s="62" customFormat="1"/>
    <row r="980" s="62" customFormat="1"/>
    <row r="981" s="62" customFormat="1"/>
    <row r="982" s="62" customFormat="1"/>
    <row r="983" s="62" customFormat="1"/>
    <row r="984" s="62" customFormat="1"/>
    <row r="985" s="62" customFormat="1"/>
    <row r="986" s="62" customFormat="1"/>
    <row r="987" s="62" customFormat="1"/>
    <row r="988" s="62" customFormat="1"/>
    <row r="989" s="62" customFormat="1"/>
    <row r="990" s="62" customFormat="1"/>
    <row r="991" s="62" customFormat="1"/>
    <row r="992" s="62" customFormat="1"/>
    <row r="993" s="62" customFormat="1"/>
    <row r="994" s="62" customFormat="1"/>
    <row r="995" s="62" customFormat="1"/>
    <row r="996" s="62" customFormat="1"/>
    <row r="997" s="62" customFormat="1"/>
    <row r="998" s="62" customFormat="1"/>
    <row r="999" s="62" customFormat="1"/>
    <row r="1000" s="62" customFormat="1"/>
    <row r="1001" s="62" customFormat="1"/>
    <row r="1002" s="62" customFormat="1"/>
    <row r="1003" s="62" customFormat="1"/>
    <row r="1004" s="62" customFormat="1"/>
    <row r="1005" s="62" customFormat="1"/>
    <row r="1006" s="62" customFormat="1"/>
    <row r="1007" s="62" customFormat="1"/>
    <row r="1008" s="62" customFormat="1"/>
    <row r="1009" s="62" customFormat="1"/>
    <row r="1010" s="62" customFormat="1"/>
    <row r="1011" s="62" customFormat="1"/>
    <row r="1012" s="62" customFormat="1"/>
    <row r="1013" s="62" customFormat="1"/>
    <row r="1014" s="62" customFormat="1"/>
    <row r="1015" s="62" customFormat="1"/>
    <row r="1016" s="62" customFormat="1"/>
    <row r="1017" s="62" customFormat="1"/>
    <row r="1018" s="62" customFormat="1"/>
    <row r="1019" s="62" customFormat="1"/>
    <row r="1020" s="62" customFormat="1"/>
    <row r="1021" s="62" customFormat="1"/>
    <row r="1022" s="62" customFormat="1"/>
    <row r="1023" s="62" customFormat="1"/>
    <row r="1024" s="62" customFormat="1"/>
    <row r="1025" s="62" customFormat="1"/>
    <row r="1026" s="62" customFormat="1"/>
    <row r="1027" s="62" customFormat="1"/>
    <row r="1028" s="62" customFormat="1"/>
    <row r="1029" s="62" customFormat="1"/>
    <row r="1030" s="62" customFormat="1"/>
    <row r="1031" s="62" customFormat="1"/>
    <row r="1032" s="62" customFormat="1"/>
    <row r="1033" s="62" customFormat="1"/>
    <row r="1034" s="62" customFormat="1"/>
    <row r="1035" s="62" customFormat="1"/>
    <row r="1036" s="62" customFormat="1"/>
    <row r="1037" s="62" customFormat="1"/>
    <row r="1038" s="62" customFormat="1"/>
    <row r="1039" s="62" customFormat="1"/>
    <row r="1040" s="62" customFormat="1"/>
    <row r="1041" s="62" customFormat="1"/>
    <row r="1042" s="62" customFormat="1"/>
    <row r="1043" s="62" customFormat="1"/>
    <row r="1044" s="62" customFormat="1"/>
    <row r="1045" s="62" customFormat="1"/>
    <row r="1046" s="62" customFormat="1"/>
    <row r="1047" s="62" customFormat="1"/>
    <row r="1048" s="62" customFormat="1"/>
    <row r="1049" s="62" customFormat="1"/>
    <row r="1050" s="62" customFormat="1"/>
    <row r="1051" s="62" customFormat="1"/>
    <row r="1052" s="62" customFormat="1"/>
    <row r="1053" s="62" customFormat="1"/>
    <row r="1054" s="62" customFormat="1"/>
    <row r="1055" s="62" customFormat="1"/>
    <row r="1056" s="62" customFormat="1"/>
    <row r="1057" s="62" customFormat="1"/>
    <row r="1058" s="62" customFormat="1"/>
    <row r="1059" s="62" customFormat="1"/>
    <row r="1060" s="62" customFormat="1"/>
    <row r="1061" s="62" customFormat="1"/>
    <row r="1062" s="62" customFormat="1"/>
    <row r="1063" s="62" customFormat="1"/>
    <row r="1064" s="62" customFormat="1"/>
    <row r="1065" s="62" customFormat="1"/>
    <row r="1066" s="62" customFormat="1"/>
    <row r="1067" s="62" customFormat="1"/>
    <row r="1068" s="62" customFormat="1"/>
    <row r="1069" s="62" customFormat="1"/>
    <row r="1070" s="62" customFormat="1"/>
    <row r="1071" s="62" customFormat="1"/>
    <row r="1072" s="62" customFormat="1"/>
    <row r="1073" s="62" customFormat="1"/>
    <row r="1074" s="62" customFormat="1"/>
    <row r="1075" s="62" customFormat="1"/>
    <row r="1076" s="62" customFormat="1"/>
    <row r="1077" s="62" customFormat="1"/>
    <row r="1078" s="62" customFormat="1"/>
    <row r="1079" s="62" customFormat="1"/>
    <row r="1080" s="62" customFormat="1"/>
    <row r="1081" s="62" customFormat="1"/>
    <row r="1082" s="62" customFormat="1"/>
    <row r="1083" s="62" customFormat="1"/>
    <row r="1084" s="62" customFormat="1"/>
    <row r="1085" s="62" customFormat="1"/>
    <row r="1086" s="62" customFormat="1"/>
    <row r="1087" s="62" customFormat="1"/>
    <row r="1088" s="62" customFormat="1"/>
    <row r="1089" s="62" customFormat="1"/>
    <row r="1090" s="62" customFormat="1"/>
    <row r="1091" s="62" customFormat="1"/>
    <row r="1092" s="62" customFormat="1"/>
    <row r="1093" s="62" customFormat="1"/>
    <row r="1094" s="62" customFormat="1"/>
    <row r="1095" s="62" customFormat="1"/>
    <row r="1096" s="62" customFormat="1"/>
    <row r="1097" s="62" customFormat="1"/>
    <row r="1098" s="62" customFormat="1"/>
    <row r="1099" s="62" customFormat="1"/>
    <row r="1100" s="62" customFormat="1"/>
    <row r="1101" s="62" customFormat="1"/>
    <row r="1102" s="62" customFormat="1"/>
    <row r="1103" s="62" customFormat="1"/>
    <row r="1104" s="62" customFormat="1"/>
    <row r="1105" s="62" customFormat="1"/>
    <row r="1106" s="62" customFormat="1"/>
    <row r="1107" s="62" customFormat="1"/>
    <row r="1108" s="62" customFormat="1"/>
    <row r="1109" s="62" customFormat="1"/>
    <row r="1110" s="62" customFormat="1"/>
    <row r="1111" s="62" customFormat="1"/>
    <row r="1112" s="62" customFormat="1"/>
    <row r="1113" s="62" customFormat="1"/>
    <row r="1114" s="62" customFormat="1"/>
    <row r="1115" s="62" customFormat="1"/>
    <row r="1116" s="62" customFormat="1"/>
    <row r="1117" s="62" customFormat="1"/>
    <row r="1118" s="62" customFormat="1"/>
    <row r="1119" s="62" customFormat="1"/>
    <row r="1120" s="62" customFormat="1"/>
    <row r="1121" s="62" customFormat="1"/>
    <row r="1122" s="62" customFormat="1"/>
    <row r="1123" s="62" customFormat="1"/>
    <row r="1124" s="62" customFormat="1"/>
    <row r="1125" s="62" customFormat="1"/>
    <row r="1126" s="62" customFormat="1"/>
    <row r="1127" s="62" customFormat="1"/>
    <row r="1128" s="62" customFormat="1"/>
    <row r="1129" s="62" customFormat="1"/>
    <row r="1130" s="62" customFormat="1"/>
    <row r="1131" s="62" customFormat="1"/>
    <row r="1132" s="62" customFormat="1"/>
    <row r="1133" s="62" customFormat="1"/>
    <row r="1134" s="62" customFormat="1"/>
    <row r="1135" s="62" customFormat="1"/>
    <row r="1136" s="62" customFormat="1"/>
    <row r="1137" s="62" customFormat="1"/>
    <row r="1138" s="62" customFormat="1"/>
    <row r="1139" s="62" customFormat="1"/>
    <row r="1140" s="62" customFormat="1"/>
    <row r="1141" s="62" customFormat="1"/>
    <row r="1142" s="62" customFormat="1"/>
    <row r="1143" s="62" customFormat="1"/>
    <row r="1144" s="62" customFormat="1"/>
    <row r="1145" s="62" customFormat="1"/>
    <row r="1146" s="62" customFormat="1"/>
    <row r="1147" s="62" customFormat="1"/>
    <row r="1148" s="62" customFormat="1"/>
    <row r="1149" s="62" customFormat="1"/>
    <row r="1150" s="62" customFormat="1"/>
    <row r="1151" s="62" customFormat="1"/>
    <row r="1152" s="62" customFormat="1"/>
    <row r="1153" s="62" customFormat="1"/>
    <row r="1154" s="62" customFormat="1"/>
    <row r="1155" s="62" customFormat="1"/>
    <row r="1156" s="62" customFormat="1"/>
    <row r="1157" s="62" customFormat="1"/>
    <row r="1158" s="62" customFormat="1"/>
    <row r="1159" s="62" customFormat="1"/>
    <row r="1160" s="62" customFormat="1"/>
    <row r="1161" s="62" customFormat="1"/>
    <row r="1162" s="62" customFormat="1"/>
    <row r="1163" s="62" customFormat="1"/>
    <row r="1164" s="62" customFormat="1"/>
    <row r="1165" s="62" customFormat="1"/>
    <row r="1166" s="62" customFormat="1"/>
    <row r="1167" s="62" customFormat="1"/>
    <row r="1168" s="62" customFormat="1"/>
    <row r="1169" s="62" customFormat="1"/>
    <row r="1170" s="62" customFormat="1"/>
    <row r="1171" s="62" customFormat="1"/>
    <row r="1172" s="62" customFormat="1"/>
    <row r="1173" s="62" customFormat="1"/>
    <row r="1174" s="62" customFormat="1"/>
    <row r="1175" s="62" customFormat="1"/>
    <row r="1176" s="62" customFormat="1"/>
    <row r="1177" s="62" customFormat="1"/>
    <row r="1178" s="62" customFormat="1"/>
    <row r="1179" s="62" customFormat="1"/>
    <row r="1180" s="62" customFormat="1"/>
    <row r="1181" s="62" customFormat="1"/>
    <row r="1182" s="62" customFormat="1"/>
    <row r="1183" s="62" customFormat="1"/>
    <row r="1184" s="62" customFormat="1"/>
    <row r="1185" s="62" customFormat="1"/>
    <row r="1186" s="62" customFormat="1"/>
    <row r="1187" s="62" customFormat="1"/>
    <row r="1188" s="62" customFormat="1"/>
    <row r="1189" s="62" customFormat="1"/>
    <row r="1190" s="62" customFormat="1"/>
    <row r="1191" s="62" customFormat="1"/>
    <row r="1192" s="62" customFormat="1"/>
    <row r="1193" s="62" customFormat="1"/>
    <row r="1194" s="62" customFormat="1"/>
    <row r="1195" s="62" customFormat="1"/>
    <row r="1196" s="62" customFormat="1"/>
    <row r="1197" s="62" customFormat="1"/>
    <row r="1198" s="62" customFormat="1"/>
    <row r="1199" s="62" customFormat="1"/>
    <row r="1200" s="62" customFormat="1"/>
    <row r="1201" s="62" customFormat="1"/>
    <row r="1202" s="62" customFormat="1"/>
    <row r="1203" s="62" customFormat="1"/>
    <row r="1204" s="62" customFormat="1"/>
    <row r="1205" s="62" customFormat="1"/>
    <row r="1206" s="62" customFormat="1"/>
    <row r="1207" s="62" customFormat="1"/>
    <row r="1208" s="62" customFormat="1"/>
    <row r="1209" s="62" customFormat="1"/>
    <row r="1210" s="62" customFormat="1"/>
    <row r="1211" s="62" customFormat="1"/>
    <row r="1212" s="62" customFormat="1"/>
    <row r="1213" s="62" customFormat="1"/>
    <row r="1214" s="62" customFormat="1"/>
    <row r="1215" s="62" customFormat="1"/>
    <row r="1216" s="62" customFormat="1"/>
    <row r="1217" s="62" customFormat="1"/>
    <row r="1218" s="62" customFormat="1"/>
    <row r="1219" s="62" customFormat="1"/>
    <row r="1220" s="62" customFormat="1"/>
    <row r="1221" s="62" customFormat="1"/>
    <row r="1222" s="62" customFormat="1"/>
    <row r="1223" s="62" customFormat="1"/>
    <row r="1224" s="62" customFormat="1"/>
    <row r="1225" s="62" customFormat="1"/>
    <row r="1226" s="62" customFormat="1"/>
    <row r="1227" s="62" customFormat="1"/>
    <row r="1228" s="62" customFormat="1"/>
    <row r="1229" s="62" customFormat="1"/>
    <row r="1230" s="62" customFormat="1"/>
    <row r="1231" s="62" customFormat="1"/>
    <row r="1232" s="62" customFormat="1"/>
    <row r="1233" s="62" customFormat="1"/>
    <row r="1234" s="62" customFormat="1"/>
    <row r="1235" s="62" customFormat="1"/>
    <row r="1236" s="62" customFormat="1"/>
    <row r="1237" s="62" customFormat="1"/>
    <row r="1238" s="62" customFormat="1"/>
    <row r="1239" s="62" customFormat="1"/>
    <row r="1240" s="62" customFormat="1"/>
    <row r="1241" s="62" customFormat="1"/>
    <row r="1242" s="62" customFormat="1"/>
    <row r="1243" s="62" customFormat="1"/>
    <row r="1244" s="62" customFormat="1"/>
    <row r="1245" s="62" customFormat="1"/>
    <row r="1246" s="62" customFormat="1"/>
    <row r="1247" s="62" customFormat="1"/>
    <row r="1248" s="62" customFormat="1"/>
    <row r="1249" s="62" customFormat="1"/>
    <row r="1250" s="62" customFormat="1"/>
    <row r="1251" s="62" customFormat="1"/>
    <row r="1252" s="62" customFormat="1"/>
    <row r="1253" s="62" customFormat="1"/>
    <row r="1254" s="62" customFormat="1"/>
    <row r="1255" s="62" customFormat="1"/>
    <row r="1256" s="62" customFormat="1"/>
    <row r="1257" s="62" customFormat="1"/>
    <row r="1258" s="62" customFormat="1"/>
    <row r="1259" s="62" customFormat="1"/>
    <row r="1260" s="62" customFormat="1"/>
    <row r="1261" s="62" customFormat="1"/>
    <row r="1262" s="62" customFormat="1"/>
    <row r="1263" s="62" customFormat="1"/>
    <row r="1264" s="62" customFormat="1"/>
    <row r="1265" s="62" customFormat="1"/>
    <row r="1266" s="62" customFormat="1"/>
    <row r="1267" s="62" customFormat="1"/>
    <row r="1268" s="62" customFormat="1"/>
    <row r="1269" s="62" customFormat="1"/>
    <row r="1270" s="62" customFormat="1"/>
    <row r="1271" s="62" customFormat="1"/>
    <row r="1272" s="62" customFormat="1"/>
    <row r="1273" s="62" customFormat="1"/>
    <row r="1274" s="62" customFormat="1"/>
    <row r="1275" s="62" customFormat="1"/>
    <row r="1276" s="62" customFormat="1"/>
    <row r="1277" s="62" customFormat="1"/>
    <row r="1278" s="62" customFormat="1"/>
    <row r="1279" s="62" customFormat="1"/>
    <row r="1280" s="62" customFormat="1"/>
    <row r="1281" s="62" customFormat="1"/>
    <row r="1282" s="62" customFormat="1"/>
    <row r="1283" s="62" customFormat="1"/>
    <row r="1284" s="62" customFormat="1"/>
    <row r="1285" s="62" customFormat="1"/>
    <row r="1286" s="62" customFormat="1"/>
    <row r="1287" s="62" customFormat="1"/>
    <row r="1288" s="62" customFormat="1"/>
    <row r="1289" s="62" customFormat="1"/>
    <row r="1290" s="62" customFormat="1"/>
    <row r="1291" s="62" customFormat="1"/>
    <row r="1292" s="62" customFormat="1"/>
    <row r="1293" s="62" customFormat="1"/>
    <row r="1294" s="62" customFormat="1"/>
    <row r="1295" s="62" customFormat="1"/>
    <row r="1296" s="62" customFormat="1"/>
    <row r="1297" s="62" customFormat="1"/>
    <row r="1298" s="62" customFormat="1"/>
    <row r="1299" s="62" customFormat="1"/>
    <row r="1300" s="62" customFormat="1"/>
    <row r="1301" s="62" customFormat="1"/>
    <row r="1302" s="62" customFormat="1"/>
    <row r="1303" s="62" customFormat="1"/>
    <row r="1304" s="62" customFormat="1"/>
    <row r="1305" s="62" customFormat="1"/>
    <row r="1306" s="62" customFormat="1"/>
    <row r="1307" s="62" customFormat="1"/>
    <row r="1308" s="62" customFormat="1"/>
    <row r="1309" s="62" customFormat="1"/>
    <row r="1310" s="62" customFormat="1"/>
    <row r="1311" s="62" customFormat="1"/>
    <row r="1312" s="62" customFormat="1"/>
    <row r="1313" s="62" customFormat="1"/>
    <row r="1314" s="62" customFormat="1"/>
    <row r="1315" s="62" customFormat="1"/>
    <row r="1316" s="62" customFormat="1"/>
    <row r="1317" s="62" customFormat="1"/>
    <row r="1318" s="62" customFormat="1"/>
    <row r="1319" s="62" customFormat="1"/>
    <row r="1320" s="62" customFormat="1"/>
    <row r="1321" s="62" customFormat="1"/>
    <row r="1322" s="62" customFormat="1"/>
    <row r="1323" s="62" customFormat="1"/>
    <row r="1324" s="62" customFormat="1"/>
    <row r="1325" s="62" customFormat="1"/>
    <row r="1326" s="62" customFormat="1"/>
    <row r="1327" s="62" customFormat="1"/>
    <row r="1328" s="62" customFormat="1"/>
    <row r="1329" s="62" customFormat="1"/>
    <row r="1330" s="62" customFormat="1"/>
    <row r="1331" s="62" customFormat="1"/>
    <row r="1332" s="62" customFormat="1"/>
    <row r="1333" s="62" customFormat="1"/>
    <row r="1334" s="62" customFormat="1"/>
    <row r="1335" s="62" customFormat="1"/>
    <row r="1336" s="62" customFormat="1"/>
    <row r="1337" s="62" customFormat="1"/>
    <row r="1338" s="62" customFormat="1"/>
    <row r="1339" s="62" customFormat="1"/>
    <row r="1340" s="62" customFormat="1"/>
    <row r="1341" s="62" customFormat="1"/>
    <row r="1342" s="62" customFormat="1"/>
    <row r="1343" s="62" customFormat="1"/>
    <row r="1344" s="62" customFormat="1"/>
    <row r="1345" s="62" customFormat="1"/>
    <row r="1346" s="62" customFormat="1"/>
    <row r="1347" s="62" customFormat="1"/>
    <row r="1348" s="62" customFormat="1"/>
    <row r="1349" s="62" customFormat="1"/>
    <row r="1350" s="62" customFormat="1"/>
    <row r="1351" s="62" customFormat="1"/>
    <row r="1352" s="62" customFormat="1"/>
    <row r="1353" s="62" customFormat="1"/>
    <row r="1354" s="62" customFormat="1"/>
    <row r="1355" s="62" customFormat="1"/>
    <row r="1356" s="62" customFormat="1"/>
    <row r="1357" s="62" customFormat="1"/>
    <row r="1358" s="62" customFormat="1"/>
    <row r="1359" s="62" customFormat="1"/>
    <row r="1360" s="62" customFormat="1"/>
    <row r="1361" s="62" customFormat="1"/>
    <row r="1362" s="62" customFormat="1"/>
    <row r="1363" s="62" customFormat="1"/>
    <row r="1364" s="62" customFormat="1"/>
    <row r="1365" s="62" customFormat="1"/>
    <row r="1366" s="62" customFormat="1"/>
    <row r="1367" s="62" customFormat="1"/>
    <row r="1368" s="62" customFormat="1"/>
    <row r="1369" s="62" customFormat="1"/>
    <row r="1370" s="62" customFormat="1"/>
    <row r="1371" s="62" customFormat="1"/>
    <row r="1372" s="62" customFormat="1"/>
    <row r="1373" s="62" customFormat="1"/>
    <row r="1374" s="62" customFormat="1"/>
    <row r="1375" s="62" customFormat="1"/>
    <row r="1376" s="62" customFormat="1"/>
    <row r="1377" s="62" customFormat="1"/>
    <row r="1378" s="62" customFormat="1"/>
    <row r="1379" s="62" customFormat="1"/>
    <row r="1380" s="62" customFormat="1"/>
    <row r="1381" s="62" customFormat="1"/>
    <row r="1382" s="62" customFormat="1"/>
    <row r="1383" s="62" customFormat="1"/>
    <row r="1384" s="62" customFormat="1"/>
    <row r="1385" s="62" customFormat="1"/>
    <row r="1386" s="62" customFormat="1"/>
    <row r="1387" s="62" customFormat="1"/>
    <row r="1388" s="62" customFormat="1"/>
    <row r="1389" s="62" customFormat="1"/>
    <row r="1390" s="62" customFormat="1"/>
    <row r="1391" s="62" customFormat="1"/>
    <row r="1392" s="62" customFormat="1"/>
    <row r="1393" s="62" customFormat="1"/>
    <row r="1394" s="62" customFormat="1"/>
    <row r="1395" s="62" customFormat="1"/>
    <row r="1396" s="62" customFormat="1"/>
    <row r="1397" s="62" customFormat="1"/>
    <row r="1398" s="62" customFormat="1"/>
    <row r="1399" s="62" customFormat="1"/>
    <row r="1400" s="62" customFormat="1"/>
    <row r="1401" s="62" customFormat="1"/>
    <row r="1402" s="62" customFormat="1"/>
    <row r="1403" s="62" customFormat="1"/>
    <row r="1404" s="62" customFormat="1"/>
    <row r="1405" s="62" customFormat="1"/>
    <row r="1406" s="62" customFormat="1"/>
    <row r="1407" s="62" customFormat="1"/>
    <row r="1408" s="62" customFormat="1"/>
    <row r="1409" s="62" customFormat="1"/>
    <row r="1410" s="62" customFormat="1"/>
    <row r="1411" s="62" customFormat="1"/>
    <row r="1412" s="62" customFormat="1"/>
    <row r="1413" s="62" customFormat="1"/>
    <row r="1414" s="62" customFormat="1"/>
    <row r="1415" s="62" customFormat="1"/>
    <row r="1416" s="62" customFormat="1"/>
    <row r="1417" s="62" customFormat="1"/>
    <row r="1418" s="62" customFormat="1"/>
    <row r="1419" s="62" customFormat="1"/>
    <row r="1420" s="62" customFormat="1"/>
    <row r="1421" s="62" customFormat="1"/>
    <row r="1422" s="62" customFormat="1"/>
    <row r="1423" s="62" customFormat="1"/>
    <row r="1424" s="62" customFormat="1"/>
    <row r="1425" s="62" customFormat="1"/>
    <row r="1426" s="62" customFormat="1"/>
    <row r="1427" s="62" customFormat="1"/>
    <row r="1428" s="62" customFormat="1"/>
    <row r="1429" s="62" customFormat="1"/>
    <row r="1430" s="62" customFormat="1"/>
    <row r="1431" s="62" customFormat="1"/>
    <row r="1432" s="62" customFormat="1"/>
    <row r="1433" s="62" customFormat="1"/>
    <row r="1434" s="62" customFormat="1"/>
    <row r="1435" s="62" customFormat="1"/>
    <row r="1436" s="62" customFormat="1"/>
    <row r="1437" s="62" customFormat="1"/>
    <row r="1438" s="62" customFormat="1"/>
    <row r="1439" s="62" customFormat="1"/>
    <row r="1440" s="62" customFormat="1"/>
    <row r="1441" s="62" customFormat="1"/>
    <row r="1442" s="62" customFormat="1"/>
    <row r="1443" s="62" customFormat="1"/>
    <row r="1444" s="62" customFormat="1"/>
    <row r="1445" s="62" customFormat="1"/>
    <row r="1446" s="62" customFormat="1"/>
    <row r="1447" s="62" customFormat="1"/>
    <row r="1448" s="62" customFormat="1"/>
    <row r="1449" s="62" customFormat="1"/>
    <row r="1450" s="62" customFormat="1"/>
    <row r="1451" s="62" customFormat="1"/>
    <row r="1452" s="62" customFormat="1"/>
    <row r="1453" s="62" customFormat="1"/>
    <row r="1454" s="62" customFormat="1"/>
    <row r="1455" s="62" customFormat="1"/>
    <row r="1456" s="62" customFormat="1"/>
    <row r="1457" s="62" customFormat="1"/>
    <row r="1458" s="62" customFormat="1"/>
    <row r="1459" s="62" customFormat="1"/>
    <row r="1460" s="62" customFormat="1"/>
    <row r="1461" s="62" customFormat="1"/>
    <row r="1462" s="62" customFormat="1"/>
    <row r="1463" s="62" customFormat="1"/>
    <row r="1464" s="62" customFormat="1"/>
    <row r="1465" s="62" customFormat="1"/>
    <row r="1466" s="62" customFormat="1"/>
    <row r="1467" s="62" customFormat="1"/>
    <row r="1468" s="62" customFormat="1"/>
    <row r="1469" s="62" customFormat="1"/>
    <row r="1470" s="62" customFormat="1"/>
    <row r="1471" s="62" customFormat="1"/>
    <row r="1472" s="62" customFormat="1"/>
    <row r="1473" s="62" customFormat="1"/>
    <row r="1474" s="62" customFormat="1"/>
    <row r="1475" s="62" customFormat="1"/>
    <row r="1476" s="62" customFormat="1"/>
    <row r="1477" s="62" customFormat="1"/>
    <row r="1478" s="62" customFormat="1"/>
    <row r="1479" s="62" customFormat="1"/>
    <row r="1480" s="62" customFormat="1"/>
    <row r="1481" s="62" customFormat="1"/>
    <row r="1482" s="62" customFormat="1"/>
    <row r="1483" s="62" customFormat="1"/>
    <row r="1484" s="62" customFormat="1"/>
    <row r="1485" s="62" customFormat="1"/>
    <row r="1486" s="62" customFormat="1"/>
    <row r="1487" s="62" customFormat="1"/>
    <row r="1488" s="62" customFormat="1"/>
    <row r="1489" s="62" customFormat="1"/>
    <row r="1490" s="62" customFormat="1"/>
    <row r="1491" s="62" customFormat="1"/>
    <row r="1492" s="62" customFormat="1"/>
    <row r="1493" s="62" customFormat="1"/>
    <row r="1494" s="62" customFormat="1"/>
    <row r="1495" s="62" customFormat="1"/>
    <row r="1496" s="62" customFormat="1"/>
    <row r="1497" s="62" customFormat="1"/>
    <row r="1498" s="62" customFormat="1"/>
    <row r="1499" s="62" customFormat="1"/>
    <row r="1500" s="62" customFormat="1"/>
    <row r="1501" s="62" customFormat="1"/>
    <row r="1502" s="62" customFormat="1"/>
    <row r="1503" s="62" customFormat="1"/>
    <row r="1504" s="62" customFormat="1"/>
    <row r="1505" s="62" customFormat="1"/>
    <row r="1506" s="62" customFormat="1"/>
    <row r="1507" s="62" customFormat="1"/>
    <row r="1508" s="62" customFormat="1"/>
    <row r="1509" s="62" customFormat="1"/>
    <row r="1510" s="62" customFormat="1"/>
    <row r="1511" s="62" customFormat="1"/>
    <row r="1512" s="62" customFormat="1"/>
    <row r="1513" s="62" customFormat="1"/>
    <row r="1514" s="62" customFormat="1"/>
    <row r="1515" s="62" customFormat="1"/>
    <row r="1516" s="62" customFormat="1"/>
    <row r="1517" s="62" customFormat="1"/>
    <row r="1518" s="62" customFormat="1"/>
    <row r="1519" s="62" customFormat="1"/>
    <row r="1520" s="62" customFormat="1"/>
    <row r="1521" s="62" customFormat="1"/>
    <row r="1522" s="62" customFormat="1"/>
    <row r="1523" s="62" customFormat="1"/>
    <row r="1524" s="62" customFormat="1"/>
    <row r="1525" s="62" customFormat="1"/>
    <row r="1526" s="62" customFormat="1"/>
    <row r="1527" s="62" customFormat="1"/>
    <row r="1528" s="62" customFormat="1"/>
    <row r="1529" s="62" customFormat="1"/>
    <row r="1530" s="62" customFormat="1"/>
    <row r="1531" s="62" customFormat="1"/>
    <row r="1532" s="62" customFormat="1"/>
    <row r="1533" s="62" customFormat="1"/>
    <row r="1534" s="62" customFormat="1"/>
    <row r="1535" s="62" customFormat="1"/>
    <row r="1536" s="62" customFormat="1"/>
    <row r="1537" s="62" customFormat="1"/>
    <row r="1538" s="62" customFormat="1"/>
    <row r="1539" s="62" customFormat="1"/>
    <row r="1540" s="62" customFormat="1"/>
    <row r="1541" s="62" customFormat="1"/>
    <row r="1542" s="62" customFormat="1"/>
    <row r="1543" s="62" customFormat="1"/>
    <row r="1544" s="62" customFormat="1"/>
    <row r="1545" s="62" customFormat="1"/>
    <row r="1546" s="62" customFormat="1"/>
    <row r="1547" s="62" customFormat="1"/>
    <row r="1548" s="62" customFormat="1"/>
    <row r="1549" s="62" customFormat="1"/>
    <row r="1550" s="62" customFormat="1"/>
    <row r="1551" s="62" customFormat="1"/>
    <row r="1552" s="62" customFormat="1"/>
    <row r="1553" s="62" customFormat="1"/>
    <row r="1554" s="62" customFormat="1"/>
    <row r="1555" s="62" customFormat="1"/>
    <row r="1556" s="62" customFormat="1"/>
    <row r="1557" s="62" customFormat="1"/>
    <row r="1558" s="62" customFormat="1"/>
    <row r="1559" s="62" customFormat="1"/>
    <row r="1560" s="62" customFormat="1"/>
    <row r="1561" s="62" customFormat="1"/>
    <row r="1562" s="62" customFormat="1"/>
    <row r="1563" s="62" customFormat="1"/>
    <row r="1564" s="62" customFormat="1"/>
    <row r="1565" s="62" customFormat="1"/>
    <row r="1566" s="62" customFormat="1"/>
    <row r="1567" s="62" customFormat="1"/>
    <row r="1568" s="62" customFormat="1"/>
    <row r="1569" s="62" customFormat="1"/>
    <row r="1570" s="62" customFormat="1"/>
    <row r="1571" s="62" customFormat="1"/>
    <row r="1572" s="62" customFormat="1"/>
    <row r="1573" s="62" customFormat="1"/>
    <row r="1574" s="62" customFormat="1"/>
    <row r="1575" s="62" customFormat="1"/>
    <row r="1576" s="62" customFormat="1"/>
    <row r="1577" s="62" customFormat="1"/>
    <row r="1578" s="62" customFormat="1"/>
    <row r="1579" s="62" customFormat="1"/>
    <row r="1580" s="62" customFormat="1"/>
    <row r="1581" s="62" customFormat="1"/>
    <row r="1582" s="62" customFormat="1"/>
    <row r="1583" s="62" customFormat="1"/>
    <row r="1584" s="62" customFormat="1"/>
    <row r="1585" s="62" customFormat="1"/>
    <row r="1586" s="62" customFormat="1"/>
    <row r="1587" s="62" customFormat="1"/>
    <row r="1588" s="62" customFormat="1"/>
    <row r="1589" s="62" customFormat="1"/>
    <row r="1590" s="62" customFormat="1"/>
    <row r="1591" s="62" customFormat="1"/>
    <row r="1592" s="62" customFormat="1"/>
    <row r="1593" s="62" customFormat="1"/>
    <row r="1594" s="62" customFormat="1"/>
    <row r="1595" s="62" customFormat="1"/>
    <row r="1596" s="62" customFormat="1"/>
    <row r="1597" s="62" customFormat="1"/>
    <row r="1598" s="62" customFormat="1"/>
    <row r="1599" s="62" customFormat="1"/>
    <row r="1600" s="62" customFormat="1"/>
    <row r="1601" s="62" customFormat="1"/>
    <row r="1602" s="62" customFormat="1"/>
    <row r="1603" s="62" customFormat="1"/>
    <row r="1604" s="62" customFormat="1"/>
    <row r="1605" s="62" customFormat="1"/>
    <row r="1606" s="62" customFormat="1"/>
    <row r="1607" s="62" customFormat="1"/>
    <row r="1608" s="62" customFormat="1"/>
    <row r="1609" s="62" customFormat="1"/>
    <row r="1610" s="62" customFormat="1"/>
    <row r="1611" s="62" customFormat="1"/>
    <row r="1612" s="62" customFormat="1"/>
    <row r="1613" s="62" customFormat="1"/>
    <row r="1614" s="62" customFormat="1"/>
    <row r="1615" s="62" customFormat="1"/>
    <row r="1616" s="62" customFormat="1"/>
    <row r="1617" s="62" customFormat="1"/>
    <row r="1618" s="62" customFormat="1"/>
    <row r="1619" s="62" customFormat="1"/>
    <row r="1620" s="62" customFormat="1"/>
    <row r="1621" s="62" customFormat="1"/>
    <row r="1622" s="62" customFormat="1"/>
    <row r="1623" s="62" customFormat="1"/>
    <row r="1624" s="62" customFormat="1"/>
    <row r="1625" s="62" customFormat="1"/>
    <row r="1626" s="62" customFormat="1"/>
    <row r="1627" s="62" customFormat="1"/>
    <row r="1628" s="62" customFormat="1"/>
    <row r="1629" s="62" customFormat="1"/>
    <row r="1630" s="62" customFormat="1"/>
    <row r="1631" s="62" customFormat="1"/>
    <row r="1632" s="62" customFormat="1"/>
    <row r="1633" s="62" customFormat="1"/>
    <row r="1634" s="62" customFormat="1"/>
    <row r="1635" s="62" customFormat="1"/>
    <row r="1636" s="62" customFormat="1"/>
    <row r="1637" s="62" customFormat="1"/>
    <row r="1638" s="62" customFormat="1"/>
    <row r="1639" s="62" customFormat="1"/>
    <row r="1640" s="62" customFormat="1"/>
    <row r="1641" s="62" customFormat="1"/>
    <row r="1642" s="62" customFormat="1"/>
    <row r="1643" s="62" customFormat="1"/>
    <row r="1644" s="62" customFormat="1"/>
    <row r="1645" s="62" customFormat="1"/>
    <row r="1646" s="62" customFormat="1"/>
    <row r="1647" s="62" customFormat="1"/>
    <row r="1648" s="62" customFormat="1"/>
    <row r="1649" s="62" customFormat="1"/>
    <row r="1650" s="62" customFormat="1"/>
    <row r="1651" s="62" customFormat="1"/>
    <row r="1652" s="62" customFormat="1"/>
    <row r="1653" s="62" customFormat="1"/>
    <row r="1654" s="62" customFormat="1"/>
    <row r="1655" s="62" customFormat="1"/>
    <row r="1656" s="62" customFormat="1"/>
    <row r="1657" s="62" customFormat="1"/>
    <row r="1658" s="62" customFormat="1"/>
    <row r="1659" s="62" customFormat="1"/>
    <row r="1660" s="62" customFormat="1"/>
    <row r="1661" s="62" customFormat="1"/>
    <row r="1662" s="62" customFormat="1"/>
    <row r="1663" s="62" customFormat="1"/>
    <row r="1664" s="62" customFormat="1"/>
    <row r="1665" s="62" customFormat="1"/>
    <row r="1666" s="62" customFormat="1"/>
    <row r="1667" s="62" customFormat="1"/>
    <row r="1668" s="62" customFormat="1"/>
    <row r="1669" s="62" customFormat="1"/>
    <row r="1670" s="62" customFormat="1"/>
    <row r="1671" s="62" customFormat="1"/>
    <row r="1672" s="62" customFormat="1"/>
    <row r="1673" s="62" customFormat="1"/>
    <row r="1674" s="62" customFormat="1"/>
    <row r="1675" s="62" customFormat="1"/>
    <row r="1676" s="62" customFormat="1"/>
    <row r="1677" s="62" customFormat="1"/>
    <row r="1678" s="62" customFormat="1"/>
    <row r="1679" s="62" customFormat="1"/>
    <row r="1680" s="62" customFormat="1"/>
    <row r="1681" s="62" customFormat="1"/>
    <row r="1682" s="62" customFormat="1"/>
    <row r="1683" s="62" customFormat="1"/>
    <row r="1684" s="62" customFormat="1"/>
    <row r="1685" s="62" customFormat="1"/>
    <row r="1686" s="62" customFormat="1"/>
    <row r="1687" s="62" customFormat="1"/>
    <row r="1688" s="62" customFormat="1"/>
    <row r="1689" s="62" customFormat="1"/>
    <row r="1690" s="62" customFormat="1"/>
    <row r="1691" s="62" customFormat="1"/>
    <row r="1692" s="62" customFormat="1"/>
    <row r="1693" s="62" customFormat="1"/>
    <row r="1694" s="62" customFormat="1"/>
    <row r="1695" s="62" customFormat="1"/>
    <row r="1696" s="62" customFormat="1"/>
    <row r="1697" s="62" customFormat="1"/>
    <row r="1698" s="62" customFormat="1"/>
    <row r="1699" s="62" customFormat="1"/>
    <row r="1700" s="62" customFormat="1"/>
    <row r="1701" s="62" customFormat="1"/>
    <row r="1702" s="62" customFormat="1"/>
    <row r="1703" s="62" customFormat="1"/>
    <row r="1704" s="62" customFormat="1"/>
    <row r="1705" s="62" customFormat="1"/>
    <row r="1706" s="62" customFormat="1"/>
    <row r="1707" s="62" customFormat="1"/>
    <row r="1708" s="62" customFormat="1"/>
    <row r="1709" s="62" customFormat="1"/>
    <row r="1710" s="62" customFormat="1"/>
    <row r="1711" s="62" customFormat="1"/>
    <row r="1712" s="62" customFormat="1"/>
    <row r="1713" s="62" customFormat="1"/>
    <row r="1714" s="62" customFormat="1"/>
    <row r="1715" s="62" customFormat="1"/>
    <row r="1716" s="62" customFormat="1"/>
    <row r="1717" s="62" customFormat="1"/>
    <row r="1718" s="62" customFormat="1"/>
    <row r="1719" s="62" customFormat="1"/>
    <row r="1720" s="62" customFormat="1"/>
    <row r="1721" s="62" customFormat="1"/>
    <row r="1722" s="62" customFormat="1"/>
    <row r="1723" s="62" customFormat="1"/>
    <row r="1724" s="62" customFormat="1"/>
    <row r="1725" s="62" customFormat="1"/>
    <row r="1726" s="62" customFormat="1"/>
    <row r="1727" s="62" customFormat="1"/>
    <row r="1728" s="62" customFormat="1"/>
    <row r="1729" s="62" customFormat="1"/>
    <row r="1730" s="62" customFormat="1"/>
    <row r="1731" s="62" customFormat="1"/>
    <row r="1732" s="62" customFormat="1"/>
    <row r="1733" s="62" customFormat="1"/>
    <row r="1734" s="62" customFormat="1"/>
    <row r="1735" s="62" customFormat="1"/>
    <row r="1736" s="62" customFormat="1"/>
    <row r="1737" s="62" customFormat="1"/>
    <row r="1738" s="62" customFormat="1"/>
    <row r="1739" s="62" customFormat="1"/>
    <row r="1740" s="62" customFormat="1"/>
    <row r="1741" s="62" customFormat="1"/>
    <row r="1742" s="62" customFormat="1"/>
    <row r="1743" s="62" customFormat="1"/>
    <row r="1744" s="62" customFormat="1"/>
    <row r="1745" s="62" customFormat="1"/>
    <row r="1746" s="62" customFormat="1"/>
    <row r="1747" s="62" customFormat="1"/>
    <row r="1748" s="62" customFormat="1"/>
    <row r="1749" s="62" customFormat="1"/>
    <row r="1750" s="62" customFormat="1"/>
    <row r="1751" s="62" customFormat="1"/>
    <row r="1752" s="62" customFormat="1"/>
    <row r="1753" s="62" customFormat="1"/>
    <row r="1754" s="62" customFormat="1"/>
    <row r="1755" s="62" customFormat="1"/>
    <row r="1756" s="62" customFormat="1"/>
    <row r="1757" s="62" customFormat="1"/>
    <row r="1758" s="62" customFormat="1"/>
    <row r="1759" s="62" customFormat="1"/>
    <row r="1760" s="62" customFormat="1"/>
    <row r="1761" s="62" customFormat="1"/>
    <row r="1762" s="62" customFormat="1"/>
    <row r="1763" s="62" customFormat="1"/>
    <row r="1764" s="62" customFormat="1"/>
    <row r="1765" s="62" customFormat="1"/>
    <row r="1766" s="62" customFormat="1"/>
    <row r="1767" s="62" customFormat="1"/>
    <row r="1768" s="62" customFormat="1"/>
    <row r="1769" s="62" customFormat="1"/>
    <row r="1770" s="62" customFormat="1"/>
    <row r="1771" s="62" customFormat="1"/>
    <row r="1772" s="62" customFormat="1"/>
    <row r="1773" s="62" customFormat="1"/>
    <row r="1774" s="62" customFormat="1"/>
    <row r="1775" s="62" customFormat="1"/>
    <row r="1776" s="62" customFormat="1"/>
    <row r="1777" s="62" customFormat="1"/>
    <row r="1778" s="62" customFormat="1"/>
    <row r="1779" s="62" customFormat="1"/>
    <row r="1780" s="62" customFormat="1"/>
    <row r="1781" s="62" customFormat="1"/>
    <row r="1782" s="62" customFormat="1"/>
    <row r="1783" s="62" customFormat="1"/>
    <row r="1784" s="62" customFormat="1"/>
    <row r="1785" s="62" customFormat="1"/>
    <row r="1786" s="62" customFormat="1"/>
    <row r="1787" s="62" customFormat="1"/>
    <row r="1788" s="62" customFormat="1"/>
    <row r="1789" s="62" customFormat="1"/>
    <row r="1790" s="62" customFormat="1"/>
    <row r="1791" s="62" customFormat="1"/>
    <row r="1792" s="62" customFormat="1"/>
    <row r="1793" s="62" customFormat="1"/>
    <row r="1794" s="62" customFormat="1"/>
    <row r="1795" s="62" customFormat="1"/>
    <row r="1796" s="62" customFormat="1"/>
    <row r="1797" s="62" customFormat="1"/>
    <row r="1798" s="62" customFormat="1"/>
    <row r="1799" s="62" customFormat="1"/>
    <row r="1800" s="62" customFormat="1"/>
    <row r="1801" s="62" customFormat="1"/>
    <row r="1802" s="62" customFormat="1"/>
    <row r="1803" s="62" customFormat="1"/>
    <row r="1804" s="62" customFormat="1"/>
    <row r="1805" s="62" customFormat="1"/>
    <row r="1806" s="62" customFormat="1"/>
    <row r="1807" s="62" customFormat="1"/>
    <row r="1808" s="62" customFormat="1"/>
    <row r="1809" s="62" customFormat="1"/>
    <row r="1810" s="62" customFormat="1"/>
    <row r="1811" s="62" customFormat="1"/>
    <row r="1812" s="62" customFormat="1"/>
    <row r="1813" s="62" customFormat="1"/>
    <row r="1814" s="62" customFormat="1"/>
    <row r="1815" s="62" customFormat="1"/>
    <row r="1816" s="62" customFormat="1"/>
    <row r="1817" s="62" customFormat="1"/>
    <row r="1818" s="62" customFormat="1"/>
    <row r="1819" s="62" customFormat="1"/>
    <row r="1820" s="62" customFormat="1"/>
    <row r="1821" s="62" customFormat="1"/>
    <row r="1822" s="62" customFormat="1"/>
    <row r="1823" s="62" customFormat="1"/>
    <row r="1824" s="62" customFormat="1"/>
    <row r="1825" s="62" customFormat="1"/>
    <row r="1826" s="62" customFormat="1"/>
    <row r="1827" s="62" customFormat="1"/>
    <row r="1828" s="62" customFormat="1"/>
    <row r="1829" s="62" customFormat="1"/>
    <row r="1830" s="62" customFormat="1"/>
    <row r="1831" s="62" customFormat="1"/>
    <row r="1832" s="62" customFormat="1"/>
    <row r="1833" s="62" customFormat="1"/>
    <row r="1834" s="62" customFormat="1"/>
    <row r="1835" s="62" customFormat="1"/>
    <row r="1836" s="62" customFormat="1"/>
    <row r="1837" s="62" customFormat="1"/>
    <row r="1838" s="62" customFormat="1"/>
    <row r="1839" s="62" customFormat="1"/>
    <row r="1840" s="62" customFormat="1"/>
    <row r="1841" s="62" customFormat="1"/>
    <row r="1842" s="62" customFormat="1"/>
    <row r="1843" s="62" customFormat="1"/>
    <row r="1844" s="62" customFormat="1"/>
    <row r="1845" s="62" customFormat="1"/>
    <row r="1846" s="62" customFormat="1"/>
    <row r="1847" s="62" customFormat="1"/>
    <row r="1848" s="62" customFormat="1"/>
    <row r="1849" s="62" customFormat="1"/>
    <row r="1850" s="62" customFormat="1"/>
    <row r="1851" s="62" customFormat="1"/>
    <row r="1852" s="62" customFormat="1"/>
    <row r="1853" s="62" customFormat="1"/>
    <row r="1854" s="62" customFormat="1"/>
    <row r="1855" s="62" customFormat="1"/>
    <row r="1856" s="62" customFormat="1"/>
    <row r="1857" s="62" customFormat="1"/>
    <row r="1858" s="62" customFormat="1"/>
    <row r="1859" s="62" customFormat="1"/>
    <row r="1860" s="62" customFormat="1"/>
    <row r="1861" s="62" customFormat="1"/>
    <row r="1862" s="62" customFormat="1"/>
    <row r="1863" s="62" customFormat="1"/>
    <row r="1864" s="62" customFormat="1"/>
    <row r="1865" s="62" customFormat="1"/>
    <row r="1866" s="62" customFormat="1"/>
    <row r="1867" s="62" customFormat="1"/>
    <row r="1868" s="62" customFormat="1"/>
    <row r="1869" s="62" customFormat="1"/>
    <row r="1870" s="62" customFormat="1"/>
    <row r="1871" s="62" customFormat="1"/>
    <row r="1872" s="62" customFormat="1"/>
    <row r="1873" s="62" customFormat="1"/>
    <row r="1874" s="62" customFormat="1"/>
    <row r="1875" s="62" customFormat="1"/>
    <row r="1876" s="62" customFormat="1"/>
    <row r="1877" s="62" customFormat="1"/>
    <row r="1878" s="62" customFormat="1"/>
    <row r="1879" s="62" customFormat="1"/>
    <row r="1880" s="62" customFormat="1"/>
    <row r="1881" s="62" customFormat="1"/>
    <row r="1882" s="62" customFormat="1"/>
    <row r="1883" s="62" customFormat="1"/>
    <row r="1884" s="62" customFormat="1"/>
    <row r="1885" s="62" customFormat="1"/>
    <row r="1886" s="62" customFormat="1"/>
    <row r="1887" s="62" customFormat="1"/>
    <row r="1888" s="62" customFormat="1"/>
    <row r="1889" s="62" customFormat="1"/>
    <row r="1890" s="62" customFormat="1"/>
    <row r="1891" s="62" customFormat="1"/>
    <row r="1892" s="62" customFormat="1"/>
    <row r="1893" s="62" customFormat="1"/>
    <row r="1894" s="62" customFormat="1"/>
    <row r="1895" s="62" customFormat="1"/>
    <row r="1896" s="62" customFormat="1"/>
    <row r="1897" s="62" customFormat="1"/>
    <row r="1898" s="62" customFormat="1"/>
    <row r="1899" s="62" customFormat="1"/>
    <row r="1900" s="62" customFormat="1"/>
    <row r="1901" s="62" customFormat="1"/>
    <row r="1902" s="62" customFormat="1"/>
    <row r="1903" s="62" customFormat="1"/>
    <row r="1904" s="62" customFormat="1"/>
    <row r="1905" s="62" customFormat="1"/>
    <row r="1906" s="62" customFormat="1"/>
    <row r="1907" s="62" customFormat="1"/>
    <row r="1908" s="62" customFormat="1"/>
    <row r="1909" s="62" customFormat="1"/>
    <row r="1910" s="62" customFormat="1"/>
    <row r="1911" s="62" customFormat="1"/>
    <row r="1912" s="62" customFormat="1"/>
    <row r="1913" s="62" customFormat="1"/>
    <row r="1914" s="62" customFormat="1"/>
    <row r="1915" s="62" customFormat="1"/>
    <row r="1916" s="62" customFormat="1"/>
    <row r="1917" s="62" customFormat="1"/>
    <row r="1918" s="62" customFormat="1"/>
    <row r="1919" s="62" customFormat="1"/>
    <row r="1920" s="62" customFormat="1"/>
    <row r="1921" s="62" customFormat="1"/>
    <row r="1922" s="62" customFormat="1"/>
    <row r="1923" s="62" customFormat="1"/>
    <row r="1924" s="62" customFormat="1"/>
    <row r="1925" s="62" customFormat="1"/>
    <row r="1926" s="62" customFormat="1"/>
    <row r="1927" s="62" customFormat="1"/>
    <row r="1928" s="62" customFormat="1"/>
    <row r="1929" s="62" customFormat="1"/>
    <row r="1930" s="62" customFormat="1"/>
    <row r="1931" s="62" customFormat="1"/>
    <row r="1932" s="62" customFormat="1"/>
    <row r="1933" s="62" customFormat="1"/>
    <row r="1934" s="62" customFormat="1"/>
    <row r="1935" s="62" customFormat="1"/>
    <row r="1936" s="62" customFormat="1"/>
    <row r="1937" s="62" customFormat="1"/>
    <row r="1938" s="62" customFormat="1"/>
    <row r="1939" s="62" customFormat="1"/>
    <row r="1940" s="62" customFormat="1"/>
    <row r="1941" s="62" customFormat="1"/>
    <row r="1942" s="62" customFormat="1"/>
    <row r="1943" s="62" customFormat="1"/>
    <row r="1944" s="62" customFormat="1"/>
    <row r="1945" s="62" customFormat="1"/>
    <row r="1946" s="62" customFormat="1"/>
    <row r="1947" s="62" customFormat="1"/>
    <row r="1948" s="62" customFormat="1"/>
    <row r="1949" s="62" customFormat="1"/>
    <row r="1950" s="62" customFormat="1"/>
    <row r="1951" s="62" customFormat="1"/>
    <row r="1952" s="62" customFormat="1"/>
    <row r="1953" s="62" customFormat="1"/>
    <row r="1954" s="62" customFormat="1"/>
    <row r="1955" s="62" customFormat="1"/>
    <row r="1956" s="62" customFormat="1"/>
    <row r="1957" s="62" customFormat="1"/>
    <row r="1958" s="62" customFormat="1"/>
    <row r="1959" s="62" customFormat="1"/>
    <row r="1960" s="62" customFormat="1"/>
    <row r="1961" s="62" customFormat="1"/>
    <row r="1962" s="62" customFormat="1"/>
    <row r="1963" s="62" customFormat="1"/>
    <row r="1964" s="62" customFormat="1"/>
    <row r="1965" s="62" customFormat="1"/>
    <row r="1966" s="62" customFormat="1"/>
    <row r="1967" s="62" customFormat="1"/>
    <row r="1968" s="62" customFormat="1"/>
    <row r="1969" s="62" customFormat="1"/>
    <row r="1970" s="62" customFormat="1"/>
    <row r="1971" s="62" customFormat="1"/>
    <row r="1972" s="62" customFormat="1"/>
    <row r="1973" s="62" customFormat="1"/>
    <row r="1974" s="62" customFormat="1"/>
    <row r="1975" s="62" customFormat="1"/>
    <row r="1976" s="62" customFormat="1"/>
    <row r="1977" s="62" customFormat="1"/>
    <row r="1978" s="62" customFormat="1"/>
    <row r="1979" s="62" customFormat="1"/>
    <row r="1980" s="62" customFormat="1"/>
    <row r="1981" s="62" customFormat="1"/>
    <row r="1982" s="62" customFormat="1"/>
    <row r="1983" s="62" customFormat="1"/>
    <row r="1984" s="62" customFormat="1"/>
    <row r="1985" s="62" customFormat="1"/>
    <row r="1986" s="62" customFormat="1"/>
    <row r="1987" s="62" customFormat="1"/>
    <row r="1988" s="62" customFormat="1"/>
    <row r="1989" s="62" customFormat="1"/>
    <row r="1990" s="62" customFormat="1"/>
    <row r="1991" s="62" customFormat="1"/>
    <row r="1992" s="62" customFormat="1"/>
    <row r="1993" s="62" customFormat="1"/>
    <row r="1994" s="62" customFormat="1"/>
    <row r="1995" s="62" customFormat="1"/>
    <row r="1996" s="62" customFormat="1"/>
    <row r="1997" s="62" customFormat="1"/>
    <row r="1998" s="62" customFormat="1"/>
    <row r="1999" s="62" customFormat="1"/>
    <row r="2000" s="62" customFormat="1"/>
    <row r="2001" s="62" customFormat="1"/>
    <row r="2002" s="62" customFormat="1"/>
    <row r="2003" s="62" customFormat="1"/>
    <row r="2004" s="62" customFormat="1"/>
    <row r="2005" s="62" customFormat="1"/>
    <row r="2006" s="62" customFormat="1"/>
    <row r="2007" s="62" customFormat="1"/>
    <row r="2008" s="62" customFormat="1"/>
    <row r="2009" s="62" customFormat="1"/>
    <row r="2010" s="62" customFormat="1"/>
    <row r="2011" s="62" customFormat="1"/>
    <row r="2012" s="62" customFormat="1"/>
    <row r="2013" s="62" customFormat="1"/>
    <row r="2014" s="62" customFormat="1"/>
    <row r="2015" s="62" customFormat="1"/>
    <row r="2016" s="62" customFormat="1"/>
    <row r="2017" s="62" customFormat="1"/>
    <row r="2018" s="62" customFormat="1"/>
    <row r="2019" s="62" customFormat="1"/>
    <row r="2020" s="62" customFormat="1"/>
    <row r="2021" s="62" customFormat="1"/>
    <row r="2022" s="62" customFormat="1"/>
    <row r="2023" s="62" customFormat="1"/>
    <row r="2024" s="62" customFormat="1"/>
    <row r="2025" s="62" customFormat="1"/>
    <row r="2026" s="62" customFormat="1"/>
    <row r="2027" s="62" customFormat="1"/>
    <row r="2028" s="62" customFormat="1"/>
    <row r="2029" s="62" customFormat="1"/>
    <row r="2030" s="62" customFormat="1"/>
    <row r="2031" s="62" customFormat="1"/>
    <row r="2032" s="62" customFormat="1"/>
    <row r="2033" s="62" customFormat="1"/>
    <row r="2034" s="62" customFormat="1"/>
    <row r="2035" s="62" customFormat="1"/>
    <row r="2036" s="62" customFormat="1"/>
    <row r="2037" s="62" customFormat="1"/>
    <row r="2038" s="62" customFormat="1"/>
    <row r="2039" s="62" customFormat="1"/>
    <row r="2040" s="62" customFormat="1"/>
    <row r="2041" s="62" customFormat="1"/>
    <row r="2042" s="62" customFormat="1"/>
    <row r="2043" s="62" customFormat="1"/>
    <row r="2044" s="62" customFormat="1"/>
    <row r="2045" s="62" customFormat="1"/>
    <row r="2046" s="62" customFormat="1"/>
    <row r="2047" s="62" customFormat="1"/>
    <row r="2048" s="62" customFormat="1"/>
    <row r="2049" s="62" customFormat="1"/>
    <row r="2050" s="62" customFormat="1"/>
    <row r="2051" s="62" customFormat="1"/>
    <row r="2052" s="62" customFormat="1"/>
    <row r="2053" s="62" customFormat="1"/>
    <row r="2054" s="62" customFormat="1"/>
    <row r="2055" s="62" customFormat="1"/>
    <row r="2056" s="62" customFormat="1"/>
    <row r="2057" s="62" customFormat="1"/>
    <row r="2058" s="62" customFormat="1"/>
    <row r="2059" s="62" customFormat="1"/>
    <row r="2060" s="62" customFormat="1"/>
    <row r="2061" s="62" customFormat="1"/>
    <row r="2062" s="62" customFormat="1"/>
    <row r="2063" s="62" customFormat="1"/>
    <row r="2064" s="62" customFormat="1"/>
    <row r="2065" s="62" customFormat="1"/>
    <row r="2066" s="62" customFormat="1"/>
    <row r="2067" s="62" customFormat="1"/>
    <row r="2068" s="62" customFormat="1"/>
    <row r="2069" s="62" customFormat="1"/>
    <row r="2070" s="62" customFormat="1"/>
    <row r="2071" s="62" customFormat="1"/>
    <row r="2072" s="62" customFormat="1"/>
    <row r="2073" s="62" customFormat="1"/>
    <row r="2074" s="62" customFormat="1"/>
    <row r="2075" s="62" customFormat="1"/>
    <row r="2076" s="62" customFormat="1"/>
    <row r="2077" s="62" customFormat="1"/>
    <row r="2078" s="62" customFormat="1"/>
    <row r="2079" s="62" customFormat="1"/>
    <row r="2080" s="62" customFormat="1"/>
    <row r="2081" s="62" customFormat="1"/>
    <row r="2082" s="62" customFormat="1"/>
    <row r="2083" s="62" customFormat="1"/>
    <row r="2084" s="62" customFormat="1"/>
    <row r="2085" s="62" customFormat="1"/>
    <row r="2086" s="62" customFormat="1"/>
    <row r="2087" s="62" customFormat="1"/>
    <row r="2088" s="62" customFormat="1"/>
    <row r="2089" s="62" customFormat="1"/>
    <row r="2090" s="62" customFormat="1"/>
    <row r="2091" s="62" customFormat="1"/>
    <row r="2092" s="62" customFormat="1"/>
    <row r="2093" s="62" customFormat="1"/>
    <row r="2094" s="62" customFormat="1"/>
    <row r="2095" s="62" customFormat="1"/>
    <row r="2096" s="62" customFormat="1"/>
    <row r="2097" s="62" customFormat="1"/>
    <row r="2098" s="62" customFormat="1"/>
    <row r="2099" s="62" customFormat="1"/>
    <row r="2100" s="62" customFormat="1"/>
    <row r="2101" s="62" customFormat="1"/>
    <row r="2102" s="62" customFormat="1"/>
    <row r="2103" s="62" customFormat="1"/>
    <row r="2104" s="62" customFormat="1"/>
    <row r="2105" s="62" customFormat="1"/>
    <row r="2106" s="62" customFormat="1"/>
    <row r="2107" s="62" customFormat="1"/>
    <row r="2108" s="62" customFormat="1"/>
    <row r="2109" s="62" customFormat="1"/>
    <row r="2110" s="62" customFormat="1"/>
    <row r="2111" s="62" customFormat="1"/>
    <row r="2112" s="62" customFormat="1"/>
    <row r="2113" s="62" customFormat="1"/>
    <row r="2114" s="62" customFormat="1"/>
    <row r="2115" s="62" customFormat="1"/>
    <row r="2116" s="62" customFormat="1"/>
    <row r="2117" s="62" customFormat="1"/>
    <row r="2118" s="62" customFormat="1"/>
    <row r="2119" s="62" customFormat="1"/>
    <row r="2120" s="62" customFormat="1"/>
    <row r="2121" s="62" customFormat="1"/>
    <row r="2122" s="62" customFormat="1"/>
    <row r="2123" s="62" customFormat="1"/>
    <row r="2124" s="62" customFormat="1"/>
    <row r="2125" s="62" customFormat="1"/>
    <row r="2126" s="62" customFormat="1"/>
    <row r="2127" s="62" customFormat="1"/>
    <row r="2128" s="62" customFormat="1"/>
    <row r="2129" s="62" customFormat="1"/>
    <row r="2130" s="62" customFormat="1"/>
    <row r="2131" s="62" customFormat="1"/>
    <row r="2132" s="62" customFormat="1"/>
    <row r="2133" s="62" customFormat="1"/>
    <row r="2134" s="62" customFormat="1"/>
    <row r="2135" s="62" customFormat="1"/>
    <row r="2136" s="62" customFormat="1"/>
    <row r="2137" s="62" customFormat="1"/>
    <row r="2138" s="62" customFormat="1"/>
    <row r="2139" s="62" customFormat="1"/>
    <row r="2140" s="62" customFormat="1"/>
    <row r="2141" s="62" customFormat="1"/>
    <row r="2142" s="62" customFormat="1"/>
    <row r="2143" s="62" customFormat="1"/>
    <row r="2144" s="62" customFormat="1"/>
    <row r="2145" s="62" customFormat="1"/>
    <row r="2146" s="62" customFormat="1"/>
    <row r="2147" s="62" customFormat="1"/>
    <row r="2148" s="62" customFormat="1"/>
    <row r="2149" s="62" customFormat="1"/>
    <row r="2150" s="62" customFormat="1"/>
    <row r="2151" s="62" customFormat="1"/>
    <row r="2152" s="62" customFormat="1"/>
    <row r="2153" s="62" customFormat="1"/>
    <row r="2154" s="62" customFormat="1"/>
    <row r="2155" s="62" customFormat="1"/>
    <row r="2156" s="62" customFormat="1"/>
    <row r="2157" s="62" customFormat="1"/>
    <row r="2158" s="62" customFormat="1"/>
    <row r="2159" s="62" customFormat="1"/>
    <row r="2160" s="62" customFormat="1"/>
    <row r="2161" s="62" customFormat="1"/>
    <row r="2162" s="62" customFormat="1"/>
    <row r="2163" s="62" customFormat="1"/>
    <row r="2164" s="62" customFormat="1"/>
    <row r="2165" s="62" customFormat="1"/>
    <row r="2166" s="62" customFormat="1"/>
    <row r="2167" s="62" customFormat="1"/>
    <row r="2168" s="62" customFormat="1"/>
    <row r="2169" s="62" customFormat="1"/>
    <row r="2170" s="62" customFormat="1"/>
    <row r="2171" s="62" customFormat="1"/>
    <row r="2172" s="62" customFormat="1"/>
    <row r="2173" s="62" customFormat="1"/>
    <row r="2174" s="62" customFormat="1"/>
    <row r="2175" s="62" customFormat="1"/>
    <row r="2176" s="62" customFormat="1"/>
    <row r="2177" s="62" customFormat="1"/>
    <row r="2178" s="62" customFormat="1"/>
    <row r="2179" s="62" customFormat="1"/>
    <row r="2180" s="62" customFormat="1"/>
    <row r="2181" s="62" customFormat="1"/>
    <row r="2182" s="62" customFormat="1"/>
    <row r="2183" s="62" customFormat="1"/>
    <row r="2184" s="62" customFormat="1"/>
    <row r="2185" s="62" customFormat="1"/>
    <row r="2186" s="62" customFormat="1"/>
    <row r="2187" s="62" customFormat="1"/>
    <row r="2188" s="62" customFormat="1"/>
    <row r="2189" s="62" customFormat="1"/>
    <row r="2190" s="62" customFormat="1"/>
    <row r="2191" s="62" customFormat="1"/>
    <row r="2192" s="62" customFormat="1"/>
    <row r="2193" s="62" customFormat="1"/>
    <row r="2194" s="62" customFormat="1"/>
    <row r="2195" s="62" customFormat="1"/>
    <row r="2196" s="62" customFormat="1"/>
    <row r="2197" s="62" customFormat="1"/>
    <row r="2198" s="62" customFormat="1"/>
    <row r="2199" s="62" customFormat="1"/>
    <row r="2200" s="62" customFormat="1"/>
    <row r="2201" s="62" customFormat="1"/>
    <row r="2202" s="62" customFormat="1"/>
    <row r="2203" s="62" customFormat="1"/>
    <row r="2204" s="62" customFormat="1"/>
    <row r="2205" s="62" customFormat="1"/>
    <row r="2206" s="62" customFormat="1"/>
    <row r="2207" s="62" customFormat="1"/>
    <row r="2208" s="62" customFormat="1"/>
    <row r="2209" s="62" customFormat="1"/>
    <row r="2210" s="62" customFormat="1"/>
    <row r="2211" s="62" customFormat="1"/>
    <row r="2212" s="62" customFormat="1"/>
    <row r="2213" s="62" customFormat="1"/>
    <row r="2214" s="62" customFormat="1"/>
    <row r="2215" s="62" customFormat="1"/>
    <row r="2216" s="62" customFormat="1"/>
    <row r="2217" s="62" customFormat="1"/>
    <row r="2218" s="62" customFormat="1"/>
    <row r="2219" s="62" customFormat="1"/>
    <row r="2220" s="62" customFormat="1"/>
    <row r="2221" s="62" customFormat="1"/>
    <row r="2222" s="62" customFormat="1"/>
    <row r="2223" s="62" customFormat="1"/>
    <row r="2224" s="62" customFormat="1"/>
    <row r="2225" s="62" customFormat="1"/>
    <row r="2226" s="62" customFormat="1"/>
    <row r="2227" s="62" customFormat="1"/>
    <row r="2228" s="62" customFormat="1"/>
    <row r="2229" s="62" customFormat="1"/>
    <row r="2230" s="62" customFormat="1"/>
    <row r="2231" s="62" customFormat="1"/>
    <row r="2232" s="62" customFormat="1"/>
    <row r="2233" s="62" customFormat="1"/>
    <row r="2234" s="62" customFormat="1"/>
    <row r="2235" s="62" customFormat="1"/>
    <row r="2236" s="62" customFormat="1"/>
    <row r="2237" s="62" customFormat="1"/>
    <row r="2238" s="62" customFormat="1"/>
    <row r="2239" s="62" customFormat="1"/>
    <row r="2240" s="62" customFormat="1"/>
    <row r="2241" s="62" customFormat="1"/>
    <row r="2242" s="62" customFormat="1"/>
    <row r="2243" s="62" customFormat="1"/>
    <row r="2244" s="62" customFormat="1"/>
    <row r="2245" s="62" customFormat="1"/>
    <row r="2246" s="62" customFormat="1"/>
    <row r="2247" s="62" customFormat="1"/>
    <row r="2248" s="62" customFormat="1"/>
    <row r="2249" s="62" customFormat="1"/>
    <row r="2250" s="62" customFormat="1"/>
    <row r="2251" s="62" customFormat="1"/>
    <row r="2252" s="62" customFormat="1"/>
    <row r="2253" s="62" customFormat="1"/>
    <row r="2254" s="62" customFormat="1"/>
    <row r="2255" s="62" customFormat="1"/>
    <row r="2256" s="62" customFormat="1"/>
    <row r="2257" s="62" customFormat="1"/>
    <row r="2258" s="62" customFormat="1"/>
    <row r="2259" s="62" customFormat="1"/>
    <row r="2260" s="62" customFormat="1"/>
    <row r="2261" s="62" customFormat="1"/>
    <row r="2262" s="62" customFormat="1"/>
    <row r="2263" s="62" customFormat="1"/>
    <row r="2264" s="62" customFormat="1"/>
    <row r="2265" s="62" customFormat="1"/>
    <row r="2266" s="62" customFormat="1"/>
    <row r="2267" s="62" customFormat="1"/>
    <row r="2268" s="62" customFormat="1"/>
    <row r="2269" s="62" customFormat="1"/>
    <row r="2270" s="62" customFormat="1"/>
    <row r="2271" s="62" customFormat="1"/>
    <row r="2272" s="62" customFormat="1"/>
    <row r="2273" s="62" customFormat="1"/>
    <row r="2274" s="62" customFormat="1"/>
    <row r="2275" s="62" customFormat="1"/>
    <row r="2276" s="62" customFormat="1"/>
    <row r="2277" s="62" customFormat="1"/>
    <row r="2278" s="62" customFormat="1"/>
    <row r="2279" s="62" customFormat="1"/>
    <row r="2280" s="62" customFormat="1"/>
    <row r="2281" s="62" customFormat="1"/>
    <row r="2282" s="62" customFormat="1"/>
    <row r="2283" s="62" customFormat="1"/>
    <row r="2284" s="62" customFormat="1"/>
    <row r="2285" s="62" customFormat="1"/>
    <row r="2286" s="62" customFormat="1"/>
    <row r="2287" s="62" customFormat="1"/>
    <row r="2288" s="62" customFormat="1"/>
    <row r="2289" s="62" customFormat="1"/>
    <row r="2290" s="62" customFormat="1"/>
    <row r="2291" s="62" customFormat="1"/>
    <row r="2292" s="62" customFormat="1"/>
    <row r="2293" s="62" customFormat="1"/>
    <row r="2294" s="62" customFormat="1"/>
    <row r="2295" s="62" customFormat="1"/>
    <row r="2296" s="62" customFormat="1"/>
    <row r="2297" s="62" customFormat="1"/>
    <row r="2298" s="62" customFormat="1"/>
    <row r="2299" s="62" customFormat="1"/>
    <row r="2300" s="62" customFormat="1"/>
    <row r="2301" s="62" customFormat="1"/>
    <row r="2302" s="62" customFormat="1"/>
    <row r="2303" s="62" customFormat="1"/>
    <row r="2304" s="62" customFormat="1"/>
    <row r="2305" s="62" customFormat="1"/>
    <row r="2306" s="62" customFormat="1"/>
    <row r="2307" s="62" customFormat="1"/>
    <row r="2308" s="62" customFormat="1"/>
    <row r="2309" s="62" customFormat="1"/>
    <row r="2310" s="62" customFormat="1"/>
    <row r="2311" s="62" customFormat="1"/>
    <row r="2312" s="62" customFormat="1"/>
    <row r="2313" s="62" customFormat="1"/>
    <row r="2314" s="62" customFormat="1"/>
    <row r="2315" s="62" customFormat="1"/>
    <row r="2316" s="62" customFormat="1"/>
    <row r="2317" s="62" customFormat="1"/>
    <row r="2318" s="62" customFormat="1"/>
    <row r="2319" s="62" customFormat="1"/>
    <row r="2320" s="62" customFormat="1"/>
    <row r="2321" s="62" customFormat="1"/>
    <row r="2322" s="62" customFormat="1"/>
    <row r="2323" s="62" customFormat="1"/>
    <row r="2324" s="62" customFormat="1"/>
    <row r="2325" s="62" customFormat="1"/>
    <row r="2326" s="62" customFormat="1"/>
    <row r="2327" s="62" customFormat="1"/>
    <row r="2328" s="62" customFormat="1"/>
    <row r="2329" s="62" customFormat="1"/>
    <row r="2330" s="62" customFormat="1"/>
    <row r="2331" s="62" customFormat="1"/>
    <row r="2332" s="62" customFormat="1"/>
    <row r="2333" s="62" customFormat="1"/>
    <row r="2334" s="62" customFormat="1"/>
    <row r="2335" s="62" customFormat="1"/>
    <row r="2336" s="62" customFormat="1"/>
    <row r="2337" s="62" customFormat="1"/>
    <row r="2338" s="62" customFormat="1"/>
    <row r="2339" s="62" customFormat="1"/>
    <row r="2340" s="62" customFormat="1"/>
    <row r="2341" s="62" customFormat="1"/>
    <row r="2342" s="62" customFormat="1"/>
    <row r="2343" s="62" customFormat="1"/>
    <row r="2344" s="62" customFormat="1"/>
    <row r="2345" s="62" customFormat="1"/>
    <row r="2346" s="62" customFormat="1"/>
    <row r="2347" s="62" customFormat="1"/>
    <row r="2348" s="62" customFormat="1"/>
    <row r="2349" s="62" customFormat="1"/>
    <row r="2350" s="62" customFormat="1"/>
    <row r="2351" s="62" customFormat="1"/>
    <row r="2352" s="62" customFormat="1"/>
    <row r="2353" s="62" customFormat="1"/>
    <row r="2354" s="62" customFormat="1"/>
    <row r="2355" s="62" customFormat="1"/>
    <row r="2356" s="62" customFormat="1"/>
    <row r="2357" s="62" customFormat="1"/>
    <row r="2358" s="62" customFormat="1"/>
    <row r="2359" s="62" customFormat="1"/>
    <row r="2360" s="62" customFormat="1"/>
    <row r="2361" s="62" customFormat="1"/>
    <row r="2362" s="62" customFormat="1"/>
    <row r="2363" s="62" customFormat="1"/>
    <row r="2364" s="62" customFormat="1"/>
    <row r="2365" s="62" customFormat="1"/>
    <row r="2366" s="62" customFormat="1"/>
    <row r="2367" s="62" customFormat="1"/>
    <row r="2368" s="62" customFormat="1"/>
    <row r="2369" s="62" customFormat="1"/>
    <row r="2370" s="62" customFormat="1"/>
    <row r="2371" s="62" customFormat="1"/>
    <row r="2372" s="62" customFormat="1"/>
    <row r="2373" s="62" customFormat="1"/>
    <row r="2374" s="62" customFormat="1"/>
    <row r="2375" s="62" customFormat="1"/>
    <row r="2376" s="62" customFormat="1"/>
    <row r="2377" s="62" customFormat="1"/>
    <row r="2378" s="62" customFormat="1"/>
    <row r="2379" s="62" customFormat="1"/>
    <row r="2380" s="62" customFormat="1"/>
    <row r="2381" s="62" customFormat="1"/>
    <row r="2382" s="62" customFormat="1"/>
    <row r="2383" s="62" customFormat="1"/>
    <row r="2384" s="62" customFormat="1"/>
    <row r="2385" s="62" customFormat="1"/>
    <row r="2386" s="62" customFormat="1"/>
    <row r="2387" s="62" customFormat="1"/>
    <row r="2388" s="62" customFormat="1"/>
    <row r="2389" s="62" customFormat="1"/>
    <row r="2390" s="62" customFormat="1"/>
    <row r="2391" s="62" customFormat="1"/>
    <row r="2392" s="62" customFormat="1"/>
    <row r="2393" s="62" customFormat="1"/>
    <row r="2394" s="62" customFormat="1"/>
    <row r="2395" s="62" customFormat="1"/>
    <row r="2396" s="62" customFormat="1"/>
    <row r="2397" s="62" customFormat="1"/>
    <row r="2398" s="62" customFormat="1"/>
    <row r="2399" s="62" customFormat="1"/>
    <row r="2400" s="62" customFormat="1"/>
    <row r="2401" s="62" customFormat="1"/>
    <row r="2402" s="62" customFormat="1"/>
    <row r="2403" s="62" customFormat="1"/>
    <row r="2404" s="62" customFormat="1"/>
    <row r="2405" s="62" customFormat="1"/>
    <row r="2406" s="62" customFormat="1"/>
    <row r="2407" s="62" customFormat="1"/>
    <row r="2408" s="62" customFormat="1"/>
    <row r="2409" s="62" customFormat="1"/>
    <row r="2410" s="62" customFormat="1"/>
    <row r="2411" s="62" customFormat="1"/>
    <row r="2412" s="62" customFormat="1"/>
    <row r="2413" s="62" customFormat="1"/>
    <row r="2414" s="62" customFormat="1"/>
    <row r="2415" s="62" customFormat="1"/>
    <row r="2416" s="62" customFormat="1"/>
    <row r="2417" s="62" customFormat="1"/>
    <row r="2418" s="62" customFormat="1"/>
    <row r="2419" s="62" customFormat="1"/>
    <row r="2420" s="62" customFormat="1"/>
    <row r="2421" s="62" customFormat="1"/>
    <row r="2422" s="62" customFormat="1"/>
    <row r="2423" s="62" customFormat="1"/>
    <row r="2424" s="62" customFormat="1"/>
    <row r="2425" s="62" customFormat="1"/>
    <row r="2426" s="62" customFormat="1"/>
    <row r="2427" s="62" customFormat="1"/>
    <row r="2428" s="62" customFormat="1"/>
    <row r="2429" s="62" customFormat="1"/>
    <row r="2430" s="62" customFormat="1"/>
    <row r="2431" s="62" customFormat="1"/>
    <row r="2432" s="62" customFormat="1"/>
    <row r="2433" s="62" customFormat="1"/>
    <row r="2434" s="62" customFormat="1"/>
    <row r="2435" s="62" customFormat="1"/>
    <row r="2436" s="62" customFormat="1"/>
    <row r="2437" s="62" customFormat="1"/>
    <row r="2438" s="62" customFormat="1"/>
    <row r="2439" s="62" customFormat="1"/>
    <row r="2440" s="62" customFormat="1"/>
    <row r="2441" s="62" customFormat="1"/>
    <row r="2442" s="62" customFormat="1"/>
    <row r="2443" s="62" customFormat="1"/>
    <row r="2444" s="62" customFormat="1"/>
    <row r="2445" s="62" customFormat="1"/>
    <row r="2446" s="62" customFormat="1"/>
    <row r="2447" s="62" customFormat="1"/>
    <row r="2448" s="62" customFormat="1"/>
    <row r="2449" s="62" customFormat="1"/>
    <row r="2450" s="62" customFormat="1"/>
    <row r="2451" s="62" customFormat="1"/>
    <row r="2452" s="62" customFormat="1"/>
    <row r="2453" s="62" customFormat="1"/>
    <row r="2454" s="62" customFormat="1"/>
    <row r="2455" s="62" customFormat="1"/>
    <row r="2456" s="62" customFormat="1"/>
    <row r="2457" s="62" customFormat="1"/>
    <row r="2458" s="62" customFormat="1"/>
    <row r="2459" s="62" customFormat="1"/>
    <row r="2460" s="62" customFormat="1"/>
    <row r="2461" s="62" customFormat="1"/>
    <row r="2462" s="62" customFormat="1"/>
    <row r="2463" s="62" customFormat="1"/>
    <row r="2464" s="62" customFormat="1"/>
    <row r="2465" s="62" customFormat="1"/>
    <row r="2466" s="62" customFormat="1"/>
    <row r="2467" s="62" customFormat="1"/>
    <row r="2468" s="62" customFormat="1"/>
    <row r="2469" s="62" customFormat="1"/>
    <row r="2470" s="62" customFormat="1"/>
    <row r="2471" s="62" customFormat="1"/>
    <row r="2472" s="62" customFormat="1"/>
    <row r="2473" s="62" customFormat="1"/>
    <row r="2474" s="62" customFormat="1"/>
    <row r="2475" s="62" customFormat="1"/>
    <row r="2476" s="62" customFormat="1"/>
    <row r="2477" s="62" customFormat="1"/>
    <row r="2478" s="62" customFormat="1"/>
    <row r="2479" s="62" customFormat="1"/>
    <row r="2480" s="62" customFormat="1"/>
    <row r="2481" s="62" customFormat="1"/>
    <row r="2482" s="62" customFormat="1"/>
    <row r="2483" s="62" customFormat="1"/>
    <row r="2484" s="62" customFormat="1"/>
    <row r="2485" s="62" customFormat="1"/>
    <row r="2486" s="62" customFormat="1"/>
    <row r="2487" s="62" customFormat="1"/>
    <row r="2488" s="62" customFormat="1"/>
    <row r="2489" s="62" customFormat="1"/>
    <row r="2490" s="62" customFormat="1"/>
    <row r="2491" s="62" customFormat="1"/>
    <row r="2492" s="62" customFormat="1"/>
    <row r="2493" s="62" customFormat="1"/>
    <row r="2494" s="62" customFormat="1"/>
    <row r="2495" s="62" customFormat="1"/>
    <row r="2496" s="62" customFormat="1"/>
    <row r="2497" s="62" customFormat="1"/>
    <row r="2498" s="62" customFormat="1"/>
    <row r="2499" s="62" customFormat="1"/>
    <row r="2500" s="62" customFormat="1"/>
    <row r="2501" s="62" customFormat="1"/>
    <row r="2502" s="62" customFormat="1"/>
    <row r="2503" s="62" customFormat="1"/>
    <row r="2504" s="62" customFormat="1"/>
    <row r="2505" s="62" customFormat="1"/>
    <row r="2506" s="62" customFormat="1"/>
    <row r="2507" s="62" customFormat="1"/>
    <row r="2508" s="62" customFormat="1"/>
    <row r="2509" s="62" customFormat="1"/>
    <row r="2510" s="62" customFormat="1"/>
    <row r="2511" s="62" customFormat="1"/>
    <row r="2512" s="62" customFormat="1"/>
    <row r="2513" s="62" customFormat="1"/>
    <row r="2514" s="62" customFormat="1"/>
    <row r="2515" s="62" customFormat="1"/>
    <row r="2516" s="62" customFormat="1"/>
    <row r="2517" s="62" customFormat="1"/>
    <row r="2518" s="62" customFormat="1"/>
    <row r="2519" s="62" customFormat="1"/>
    <row r="2520" s="62" customFormat="1"/>
    <row r="2521" s="62" customFormat="1"/>
    <row r="2522" s="62" customFormat="1"/>
    <row r="2523" s="62" customFormat="1"/>
    <row r="2524" s="62" customFormat="1"/>
    <row r="2525" s="62" customFormat="1"/>
    <row r="2526" s="62" customFormat="1"/>
    <row r="2527" s="62" customFormat="1"/>
    <row r="2528" s="62" customFormat="1"/>
    <row r="2529" s="62" customFormat="1"/>
    <row r="2530" s="62" customFormat="1"/>
    <row r="2531" s="62" customFormat="1"/>
    <row r="2532" s="62" customFormat="1"/>
    <row r="2533" s="62" customFormat="1"/>
    <row r="2534" s="62" customFormat="1"/>
    <row r="2535" s="62" customFormat="1"/>
    <row r="2536" s="62" customFormat="1"/>
    <row r="2537" s="62" customFormat="1"/>
    <row r="2538" s="62" customFormat="1"/>
    <row r="2539" s="62" customFormat="1"/>
    <row r="2540" s="62" customFormat="1"/>
    <row r="2541" s="62" customFormat="1"/>
    <row r="2542" s="62" customFormat="1"/>
    <row r="2543" s="62" customFormat="1"/>
    <row r="2544" s="62" customFormat="1"/>
    <row r="2545" s="62" customFormat="1"/>
    <row r="2546" s="62" customFormat="1"/>
    <row r="2547" s="62" customFormat="1"/>
    <row r="2548" s="62" customFormat="1"/>
    <row r="2549" s="62" customFormat="1"/>
    <row r="2550" s="62" customFormat="1"/>
    <row r="2551" s="62" customFormat="1"/>
    <row r="2552" s="62" customFormat="1"/>
    <row r="2553" s="62" customFormat="1"/>
    <row r="2554" s="62" customFormat="1"/>
    <row r="2555" s="62" customFormat="1"/>
    <row r="2556" s="62" customFormat="1"/>
    <row r="2557" s="62" customFormat="1"/>
    <row r="2558" s="62" customFormat="1"/>
    <row r="2559" s="62" customFormat="1"/>
    <row r="2560" s="62" customFormat="1"/>
    <row r="2561" s="62" customFormat="1"/>
    <row r="2562" s="62" customFormat="1"/>
    <row r="2563" s="62" customFormat="1"/>
    <row r="2564" s="62" customFormat="1"/>
    <row r="2565" s="62" customFormat="1"/>
    <row r="2566" s="62" customFormat="1"/>
    <row r="2567" s="62" customFormat="1"/>
    <row r="2568" s="62" customFormat="1"/>
    <row r="2569" s="62" customFormat="1"/>
    <row r="2570" s="62" customFormat="1"/>
    <row r="2571" s="62" customFormat="1"/>
    <row r="2572" s="62" customFormat="1"/>
    <row r="2573" s="62" customFormat="1"/>
    <row r="2574" s="62" customFormat="1"/>
    <row r="2575" s="62" customFormat="1"/>
    <row r="2576" s="62" customFormat="1"/>
    <row r="2577" s="62" customFormat="1"/>
    <row r="2578" s="62" customFormat="1"/>
    <row r="2579" s="62" customFormat="1"/>
    <row r="2580" s="62" customFormat="1"/>
    <row r="2581" s="62" customFormat="1"/>
    <row r="2582" s="62" customFormat="1"/>
    <row r="2583" s="62" customFormat="1"/>
    <row r="2584" s="62" customFormat="1"/>
    <row r="2585" s="62" customFormat="1"/>
    <row r="2586" s="62" customFormat="1"/>
    <row r="2587" s="62" customFormat="1"/>
    <row r="2588" s="62" customFormat="1"/>
    <row r="2589" s="62" customFormat="1"/>
    <row r="2590" s="62" customFormat="1"/>
    <row r="2591" s="62" customFormat="1"/>
    <row r="2592" s="62" customFormat="1"/>
    <row r="2593" s="62" customFormat="1"/>
    <row r="2594" s="62" customFormat="1"/>
    <row r="2595" s="62" customFormat="1"/>
    <row r="2596" s="62" customFormat="1"/>
    <row r="2597" s="62" customFormat="1"/>
    <row r="2598" s="62" customFormat="1"/>
    <row r="2599" s="62" customFormat="1"/>
    <row r="2600" s="62" customFormat="1"/>
    <row r="2601" s="62" customFormat="1"/>
    <row r="2602" s="62" customFormat="1"/>
    <row r="2603" s="62" customFormat="1"/>
    <row r="2604" s="62" customFormat="1"/>
    <row r="2605" s="62" customFormat="1"/>
    <row r="2606" s="62" customFormat="1"/>
    <row r="2607" s="62" customFormat="1"/>
    <row r="2608" s="62" customFormat="1"/>
    <row r="2609" s="62" customFormat="1"/>
    <row r="2610" s="62" customFormat="1"/>
    <row r="2611" s="62" customFormat="1"/>
    <row r="2612" s="62" customFormat="1"/>
    <row r="2613" s="62" customFormat="1"/>
    <row r="2614" s="62" customFormat="1"/>
    <row r="2615" s="62" customFormat="1"/>
    <row r="2616" s="62" customFormat="1"/>
    <row r="2617" s="62" customFormat="1"/>
    <row r="2618" s="62" customFormat="1"/>
    <row r="2619" s="62" customFormat="1"/>
    <row r="2620" s="62" customFormat="1"/>
    <row r="2621" s="62" customFormat="1"/>
    <row r="2622" s="62" customFormat="1"/>
    <row r="2623" s="62" customFormat="1"/>
    <row r="2624" s="62" customFormat="1"/>
    <row r="2625" s="62" customFormat="1"/>
    <row r="2626" s="62" customFormat="1"/>
    <row r="2627" s="62" customFormat="1"/>
    <row r="2628" s="62" customFormat="1"/>
    <row r="2629" s="62" customFormat="1"/>
    <row r="2630" s="62" customFormat="1"/>
    <row r="2631" s="62" customFormat="1"/>
    <row r="2632" s="62" customFormat="1"/>
    <row r="2633" s="62" customFormat="1"/>
    <row r="2634" s="62" customFormat="1"/>
    <row r="2635" s="62" customFormat="1"/>
    <row r="2636" s="62" customFormat="1"/>
    <row r="2637" s="62" customFormat="1"/>
    <row r="2638" s="62" customFormat="1"/>
    <row r="2639" s="62" customFormat="1"/>
    <row r="2640" s="62" customFormat="1"/>
    <row r="2641" s="62" customFormat="1"/>
    <row r="2642" s="62" customFormat="1"/>
    <row r="2643" s="62" customFormat="1"/>
    <row r="2644" s="62" customFormat="1"/>
    <row r="2645" s="62" customFormat="1"/>
    <row r="2646" s="62" customFormat="1"/>
    <row r="2647" s="62" customFormat="1"/>
    <row r="2648" s="62" customFormat="1"/>
    <row r="2649" s="62" customFormat="1"/>
    <row r="2650" s="62" customFormat="1"/>
    <row r="2651" s="62" customFormat="1"/>
    <row r="2652" s="62" customFormat="1"/>
    <row r="2653" s="62" customFormat="1"/>
    <row r="2654" s="62" customFormat="1"/>
    <row r="2655" s="62" customFormat="1"/>
    <row r="2656" s="62" customFormat="1"/>
    <row r="2657" s="62" customFormat="1"/>
    <row r="2658" s="62" customFormat="1"/>
    <row r="2659" s="62" customFormat="1"/>
    <row r="2660" s="62" customFormat="1"/>
    <row r="2661" s="62" customFormat="1"/>
    <row r="2662" s="62" customFormat="1"/>
    <row r="2663" s="62" customFormat="1"/>
    <row r="2664" s="62" customFormat="1"/>
    <row r="2665" s="62" customFormat="1"/>
    <row r="2666" s="62" customFormat="1"/>
    <row r="2667" s="62" customFormat="1"/>
    <row r="2668" s="62" customFormat="1"/>
    <row r="2669" s="62" customFormat="1"/>
    <row r="2670" s="62" customFormat="1"/>
    <row r="2671" s="62" customFormat="1"/>
    <row r="2672" s="62" customFormat="1"/>
    <row r="2673" s="62" customFormat="1"/>
    <row r="2674" s="62" customFormat="1"/>
    <row r="2675" s="62" customFormat="1"/>
    <row r="2676" s="62" customFormat="1"/>
    <row r="2677" s="62" customFormat="1"/>
    <row r="2678" s="62" customFormat="1"/>
    <row r="2679" s="62" customFormat="1"/>
    <row r="2680" s="62" customFormat="1"/>
    <row r="2681" s="62" customFormat="1"/>
    <row r="2682" s="62" customFormat="1"/>
    <row r="2683" s="62" customFormat="1"/>
    <row r="2684" s="62" customFormat="1"/>
    <row r="2685" s="62" customFormat="1"/>
    <row r="2686" s="62" customFormat="1"/>
    <row r="2687" s="62" customFormat="1"/>
    <row r="2688" s="62" customFormat="1"/>
    <row r="2689" s="62" customFormat="1"/>
    <row r="2690" s="62" customFormat="1"/>
    <row r="2691" s="62" customFormat="1"/>
    <row r="2692" s="62" customFormat="1"/>
    <row r="2693" s="62" customFormat="1"/>
    <row r="2694" s="62" customFormat="1"/>
    <row r="2695" s="62" customFormat="1"/>
    <row r="2696" s="62" customFormat="1"/>
    <row r="2697" s="62" customFormat="1"/>
    <row r="2698" s="62" customFormat="1"/>
    <row r="2699" s="62" customFormat="1"/>
    <row r="2700" s="62" customFormat="1"/>
    <row r="2701" s="62" customFormat="1"/>
    <row r="2702" s="62" customFormat="1"/>
    <row r="2703" s="62" customFormat="1"/>
    <row r="2704" s="62" customFormat="1"/>
    <row r="2705" s="62" customFormat="1"/>
    <row r="2706" s="62" customFormat="1"/>
    <row r="2707" s="62" customFormat="1"/>
    <row r="2708" s="62" customFormat="1"/>
    <row r="2709" s="62" customFormat="1"/>
    <row r="2710" s="62" customFormat="1"/>
    <row r="2711" s="62" customFormat="1"/>
    <row r="2712" s="62" customFormat="1"/>
    <row r="2713" s="62" customFormat="1"/>
    <row r="2714" s="62" customFormat="1"/>
    <row r="2715" s="62" customFormat="1"/>
    <row r="2716" s="62" customFormat="1"/>
    <row r="2717" s="62" customFormat="1"/>
    <row r="2718" s="62" customFormat="1"/>
    <row r="2719" s="62" customFormat="1"/>
    <row r="2720" s="62" customFormat="1"/>
    <row r="2721" s="62" customFormat="1"/>
    <row r="2722" s="62" customFormat="1"/>
    <row r="2723" s="62" customFormat="1"/>
    <row r="2724" s="62" customFormat="1"/>
    <row r="2725" s="62" customFormat="1"/>
    <row r="2726" s="62" customFormat="1"/>
    <row r="2727" s="62" customFormat="1"/>
    <row r="2728" s="62" customFormat="1"/>
    <row r="2729" s="62" customFormat="1"/>
    <row r="2730" s="62" customFormat="1"/>
    <row r="2731" s="62" customFormat="1"/>
    <row r="2732" s="62" customFormat="1"/>
    <row r="2733" s="62" customFormat="1"/>
    <row r="2734" s="62" customFormat="1"/>
    <row r="2735" s="62" customFormat="1"/>
    <row r="2736" s="62" customFormat="1"/>
    <row r="2737" s="62" customFormat="1"/>
    <row r="2738" s="62" customFormat="1"/>
    <row r="2739" s="62" customFormat="1"/>
    <row r="2740" s="62" customFormat="1"/>
    <row r="2741" s="62" customFormat="1"/>
    <row r="2742" s="62" customFormat="1"/>
    <row r="2743" s="62" customFormat="1"/>
    <row r="2744" s="62" customFormat="1"/>
    <row r="2745" s="62" customFormat="1"/>
    <row r="2746" s="62" customFormat="1"/>
    <row r="2747" s="62" customFormat="1"/>
    <row r="2748" s="62" customFormat="1"/>
    <row r="2749" s="62" customFormat="1"/>
    <row r="2750" s="62" customFormat="1"/>
    <row r="2751" s="62" customFormat="1"/>
    <row r="2752" s="62" customFormat="1"/>
    <row r="2753" s="62" customFormat="1"/>
    <row r="2754" s="62" customFormat="1"/>
    <row r="2755" s="62" customFormat="1"/>
    <row r="2756" s="62" customFormat="1"/>
    <row r="2757" s="62" customFormat="1"/>
    <row r="2758" s="62" customFormat="1"/>
    <row r="2759" s="62" customFormat="1"/>
    <row r="2760" s="62" customFormat="1"/>
    <row r="2761" s="62" customFormat="1"/>
    <row r="2762" s="62" customFormat="1"/>
    <row r="2763" s="62" customFormat="1"/>
    <row r="2764" s="62" customFormat="1"/>
    <row r="2765" s="62" customFormat="1"/>
    <row r="2766" s="62" customFormat="1"/>
    <row r="2767" s="62" customFormat="1"/>
    <row r="2768" s="62" customFormat="1"/>
    <row r="2769" s="62" customFormat="1"/>
    <row r="2770" s="62" customFormat="1"/>
    <row r="2771" s="62" customFormat="1"/>
    <row r="2772" s="62" customFormat="1"/>
    <row r="2773" s="62" customFormat="1"/>
    <row r="2774" s="62" customFormat="1"/>
    <row r="2775" s="62" customFormat="1"/>
    <row r="2776" s="62" customFormat="1"/>
    <row r="2777" s="62" customFormat="1"/>
    <row r="2778" s="62" customFormat="1"/>
    <row r="2779" s="62" customFormat="1"/>
    <row r="2780" s="62" customFormat="1"/>
    <row r="2781" s="62" customFormat="1"/>
    <row r="2782" s="62" customFormat="1"/>
    <row r="2783" s="62" customFormat="1"/>
    <row r="2784" s="62" customFormat="1"/>
    <row r="2785" s="62" customFormat="1"/>
    <row r="2786" s="62" customFormat="1"/>
    <row r="2787" s="62" customFormat="1"/>
    <row r="2788" s="62" customFormat="1"/>
    <row r="2789" s="62" customFormat="1"/>
    <row r="2790" s="62" customFormat="1"/>
    <row r="2791" s="62" customFormat="1"/>
    <row r="2792" s="62" customFormat="1"/>
    <row r="2793" s="62" customFormat="1"/>
    <row r="2794" s="62" customFormat="1"/>
    <row r="2795" s="62" customFormat="1"/>
    <row r="2796" s="62" customFormat="1"/>
    <row r="2797" s="62" customFormat="1"/>
    <row r="2798" s="62" customFormat="1"/>
    <row r="2799" s="62" customFormat="1"/>
    <row r="2800" s="62" customFormat="1"/>
    <row r="2801" s="62" customFormat="1"/>
    <row r="2802" s="62" customFormat="1"/>
    <row r="2803" s="62" customFormat="1"/>
    <row r="2804" s="62" customFormat="1"/>
    <row r="2805" s="62" customFormat="1"/>
    <row r="2806" s="62" customFormat="1"/>
    <row r="2807" s="62" customFormat="1"/>
    <row r="2808" s="62" customFormat="1"/>
    <row r="2809" s="62" customFormat="1"/>
    <row r="2810" s="62" customFormat="1"/>
    <row r="2811" s="62" customFormat="1"/>
    <row r="2812" s="62" customFormat="1"/>
    <row r="2813" s="62" customFormat="1"/>
    <row r="2814" s="62" customFormat="1"/>
    <row r="2815" s="62" customFormat="1"/>
    <row r="2816" s="62" customFormat="1"/>
    <row r="2817" s="62" customFormat="1"/>
    <row r="2818" s="62" customFormat="1"/>
    <row r="2819" s="62" customFormat="1"/>
    <row r="2820" s="62" customFormat="1"/>
    <row r="2821" s="62" customFormat="1"/>
    <row r="2822" s="62" customFormat="1"/>
    <row r="2823" s="62" customFormat="1"/>
    <row r="2824" s="62" customFormat="1"/>
    <row r="2825" s="62" customFormat="1"/>
    <row r="2826" s="62" customFormat="1"/>
    <row r="2827" s="62" customFormat="1"/>
    <row r="2828" s="62" customFormat="1"/>
    <row r="2829" s="62" customFormat="1"/>
    <row r="2830" s="62" customFormat="1"/>
    <row r="2831" s="62" customFormat="1"/>
    <row r="2832" s="62" customFormat="1"/>
    <row r="2833" s="62" customFormat="1"/>
    <row r="2834" s="62" customFormat="1"/>
    <row r="2835" s="62" customFormat="1"/>
    <row r="2836" s="62" customFormat="1"/>
    <row r="2837" s="62" customFormat="1"/>
    <row r="2838" s="62" customFormat="1"/>
    <row r="2839" s="62" customFormat="1"/>
    <row r="2840" s="62" customFormat="1"/>
    <row r="2841" s="62" customFormat="1"/>
    <row r="2842" s="62" customFormat="1"/>
    <row r="2843" s="62" customFormat="1"/>
    <row r="2844" s="62" customFormat="1"/>
    <row r="2845" s="62" customFormat="1"/>
    <row r="2846" s="62" customFormat="1"/>
    <row r="2847" s="62" customFormat="1"/>
    <row r="2848" s="62" customFormat="1"/>
    <row r="2849" s="62" customFormat="1"/>
    <row r="2850" s="62" customFormat="1"/>
    <row r="2851" s="62" customFormat="1"/>
    <row r="2852" s="62" customFormat="1"/>
    <row r="2853" s="62" customFormat="1"/>
    <row r="2854" s="62" customFormat="1"/>
    <row r="2855" s="62" customFormat="1"/>
    <row r="2856" s="62" customFormat="1"/>
    <row r="2857" s="62" customFormat="1"/>
    <row r="2858" s="62" customFormat="1"/>
    <row r="2859" s="62" customFormat="1"/>
    <row r="2860" s="62" customFormat="1"/>
    <row r="2861" s="62" customFormat="1"/>
    <row r="2862" s="62" customFormat="1"/>
    <row r="2863" s="62" customFormat="1"/>
    <row r="2864" s="62" customFormat="1"/>
    <row r="2865" s="62" customFormat="1"/>
    <row r="2866" s="62" customFormat="1"/>
    <row r="2867" s="62" customFormat="1"/>
    <row r="2868" s="62" customFormat="1"/>
    <row r="2869" s="62" customFormat="1"/>
    <row r="2870" s="62" customFormat="1"/>
    <row r="2871" s="62" customFormat="1"/>
    <row r="2872" s="62" customFormat="1"/>
    <row r="2873" s="62" customFormat="1"/>
    <row r="2874" s="62" customFormat="1"/>
    <row r="2875" s="62" customFormat="1"/>
    <row r="2876" s="62" customFormat="1"/>
    <row r="2877" s="62" customFormat="1"/>
    <row r="2878" s="62" customFormat="1"/>
    <row r="2879" s="62" customFormat="1"/>
    <row r="2880" s="62" customFormat="1"/>
    <row r="2881" s="62" customFormat="1"/>
    <row r="2882" s="62" customFormat="1"/>
    <row r="2883" s="62" customFormat="1"/>
    <row r="2884" s="62" customFormat="1"/>
    <row r="2885" s="62" customFormat="1"/>
    <row r="2886" s="62" customFormat="1"/>
    <row r="2887" s="62" customFormat="1"/>
    <row r="2888" s="62" customFormat="1"/>
    <row r="2889" s="62" customFormat="1"/>
    <row r="2890" s="62" customFormat="1"/>
    <row r="2891" s="62" customFormat="1"/>
    <row r="2892" s="62" customFormat="1"/>
    <row r="2893" s="62" customFormat="1"/>
    <row r="2894" s="62" customFormat="1"/>
    <row r="2895" s="62" customFormat="1"/>
    <row r="2896" s="62" customFormat="1"/>
    <row r="2897" s="62" customFormat="1"/>
    <row r="2898" s="62" customFormat="1"/>
    <row r="2899" s="62" customFormat="1"/>
    <row r="2900" s="62" customFormat="1"/>
    <row r="2901" s="62" customFormat="1"/>
    <row r="2902" s="62" customFormat="1"/>
    <row r="2903" s="62" customFormat="1"/>
    <row r="2904" s="62" customFormat="1"/>
    <row r="2905" s="62" customFormat="1"/>
    <row r="2906" s="62" customFormat="1"/>
    <row r="2907" s="62" customFormat="1"/>
    <row r="2908" s="62" customFormat="1"/>
    <row r="2909" s="62" customFormat="1"/>
    <row r="2910" s="62" customFormat="1"/>
    <row r="2911" s="62" customFormat="1"/>
    <row r="2912" s="62" customFormat="1"/>
    <row r="2913" s="62" customFormat="1"/>
    <row r="2914" s="62" customFormat="1"/>
    <row r="2915" s="62" customFormat="1"/>
    <row r="2916" s="62" customFormat="1"/>
    <row r="2917" s="62" customFormat="1"/>
    <row r="2918" s="62" customFormat="1"/>
    <row r="2919" s="62" customFormat="1"/>
    <row r="2920" s="62" customFormat="1"/>
    <row r="2921" s="62" customFormat="1"/>
    <row r="2922" s="62" customFormat="1"/>
    <row r="2923" s="62" customFormat="1"/>
    <row r="2924" s="62" customFormat="1"/>
    <row r="2925" s="62" customFormat="1"/>
    <row r="2926" s="62" customFormat="1"/>
    <row r="2927" s="62" customFormat="1"/>
    <row r="2928" s="62" customFormat="1"/>
    <row r="2929" s="62" customFormat="1"/>
    <row r="2930" s="62" customFormat="1"/>
    <row r="2931" s="62" customFormat="1"/>
    <row r="2932" s="62" customFormat="1"/>
    <row r="2933" s="62" customFormat="1"/>
    <row r="2934" s="62" customFormat="1"/>
    <row r="2935" s="62" customFormat="1"/>
    <row r="2936" s="62" customFormat="1"/>
    <row r="2937" s="62" customFormat="1"/>
    <row r="2938" s="62" customFormat="1"/>
    <row r="2939" s="62" customFormat="1"/>
    <row r="2940" s="62" customFormat="1"/>
    <row r="2941" s="62" customFormat="1"/>
    <row r="2942" s="62" customFormat="1"/>
    <row r="2943" s="62" customFormat="1"/>
    <row r="2944" s="62" customFormat="1"/>
    <row r="2945" s="62" customFormat="1"/>
    <row r="2946" s="62" customFormat="1"/>
    <row r="2947" s="62" customFormat="1"/>
    <row r="2948" s="62" customFormat="1"/>
    <row r="2949" s="62" customFormat="1"/>
    <row r="2950" s="62" customFormat="1"/>
    <row r="2951" s="62" customFormat="1"/>
    <row r="2952" s="62" customFormat="1"/>
    <row r="2953" s="62" customFormat="1"/>
    <row r="2954" s="62" customFormat="1"/>
    <row r="2955" s="62" customFormat="1"/>
    <row r="2956" s="62" customFormat="1"/>
    <row r="2957" s="62" customFormat="1"/>
    <row r="2958" s="62" customFormat="1"/>
    <row r="2959" s="62" customFormat="1"/>
    <row r="2960" s="62" customFormat="1"/>
    <row r="2961" s="62" customFormat="1"/>
    <row r="2962" s="62" customFormat="1"/>
    <row r="2963" s="62" customFormat="1"/>
    <row r="2964" s="62" customFormat="1"/>
    <row r="2965" s="62" customFormat="1"/>
    <row r="2966" s="62" customFormat="1"/>
    <row r="2967" s="62" customFormat="1"/>
    <row r="2968" s="62" customFormat="1"/>
    <row r="2969" s="62" customFormat="1"/>
    <row r="2970" s="62" customFormat="1"/>
    <row r="2971" s="62" customFormat="1"/>
    <row r="2972" s="62" customFormat="1"/>
    <row r="2973" s="62" customFormat="1"/>
    <row r="2974" s="62" customFormat="1"/>
    <row r="2975" s="62" customFormat="1"/>
    <row r="2976" s="62" customFormat="1"/>
    <row r="2977" s="62" customFormat="1"/>
    <row r="2978" s="62" customFormat="1"/>
    <row r="2979" s="62" customFormat="1"/>
    <row r="2980" s="62" customFormat="1"/>
    <row r="2981" s="62" customFormat="1"/>
    <row r="2982" s="62" customFormat="1"/>
    <row r="2983" s="62" customFormat="1"/>
    <row r="2984" s="62" customFormat="1"/>
    <row r="2985" s="62" customFormat="1"/>
    <row r="2986" s="62" customFormat="1"/>
    <row r="2987" s="62" customFormat="1"/>
    <row r="2988" s="62" customFormat="1"/>
    <row r="2989" s="62" customFormat="1"/>
    <row r="2990" s="62" customFormat="1"/>
    <row r="2991" s="62" customFormat="1"/>
    <row r="2992" s="62" customFormat="1"/>
    <row r="2993" s="62" customFormat="1"/>
    <row r="2994" s="62" customFormat="1"/>
    <row r="2995" s="62" customFormat="1"/>
    <row r="2996" s="62" customFormat="1"/>
    <row r="2997" s="62" customFormat="1"/>
    <row r="2998" s="62" customFormat="1"/>
    <row r="2999" s="62" customFormat="1"/>
    <row r="3000" s="62" customFormat="1"/>
    <row r="3001" s="62" customFormat="1"/>
    <row r="3002" s="62" customFormat="1"/>
    <row r="3003" s="62" customFormat="1"/>
    <row r="3004" s="62" customFormat="1"/>
    <row r="3005" s="62" customFormat="1"/>
    <row r="3006" s="62" customFormat="1"/>
    <row r="3007" s="62" customFormat="1"/>
    <row r="3008" s="62" customFormat="1"/>
    <row r="3009" s="62" customFormat="1"/>
    <row r="3010" s="62" customFormat="1"/>
    <row r="3011" s="62" customFormat="1"/>
    <row r="3012" s="62" customFormat="1"/>
    <row r="3013" s="62" customFormat="1"/>
    <row r="3014" s="62" customFormat="1"/>
    <row r="3015" s="62" customFormat="1"/>
    <row r="3016" s="62" customFormat="1"/>
    <row r="3017" s="62" customFormat="1"/>
    <row r="3018" s="62" customFormat="1"/>
    <row r="3019" s="62" customFormat="1"/>
    <row r="3020" s="62" customFormat="1"/>
    <row r="3021" s="62" customFormat="1"/>
    <row r="3022" s="62" customFormat="1"/>
    <row r="3023" s="62" customFormat="1"/>
    <row r="3024" s="62" customFormat="1"/>
    <row r="3025" s="62" customFormat="1"/>
    <row r="3026" s="62" customFormat="1"/>
    <row r="3027" s="62" customFormat="1"/>
    <row r="3028" s="62" customFormat="1"/>
    <row r="3029" s="62" customFormat="1"/>
    <row r="3030" s="62" customFormat="1"/>
    <row r="3031" s="62" customFormat="1"/>
    <row r="3032" s="62" customFormat="1"/>
    <row r="3033" s="62" customFormat="1"/>
    <row r="3034" s="62" customFormat="1"/>
    <row r="3035" s="62" customFormat="1"/>
    <row r="3036" s="62" customFormat="1"/>
    <row r="3037" s="62" customFormat="1"/>
    <row r="3038" s="62" customFormat="1"/>
    <row r="3039" s="62" customFormat="1"/>
    <row r="3040" s="62" customFormat="1"/>
    <row r="3041" s="62" customFormat="1"/>
    <row r="3042" s="62" customFormat="1"/>
    <row r="3043" s="62" customFormat="1"/>
    <row r="3044" s="62" customFormat="1"/>
    <row r="3045" s="62" customFormat="1"/>
    <row r="3046" s="62" customFormat="1"/>
    <row r="3047" s="62" customFormat="1"/>
    <row r="3048" s="62" customFormat="1"/>
    <row r="3049" s="62" customFormat="1"/>
    <row r="3050" s="62" customFormat="1"/>
    <row r="3051" s="62" customFormat="1"/>
    <row r="3052" s="62" customFormat="1"/>
    <row r="3053" s="62" customFormat="1"/>
    <row r="3054" s="62" customFormat="1"/>
    <row r="3055" s="62" customFormat="1"/>
    <row r="3056" s="62" customFormat="1"/>
    <row r="3057" s="62" customFormat="1"/>
    <row r="3058" s="62" customFormat="1"/>
    <row r="3059" s="62" customFormat="1"/>
    <row r="3060" s="62" customFormat="1"/>
    <row r="3061" s="62" customFormat="1"/>
    <row r="3062" s="62" customFormat="1"/>
    <row r="3063" s="62" customFormat="1"/>
    <row r="3064" s="62" customFormat="1"/>
    <row r="3065" s="62" customFormat="1"/>
    <row r="3066" s="62" customFormat="1"/>
    <row r="3067" s="62" customFormat="1"/>
    <row r="3068" s="62" customFormat="1"/>
    <row r="3069" s="62" customFormat="1"/>
    <row r="3070" s="62" customFormat="1"/>
    <row r="3071" s="62" customFormat="1"/>
    <row r="3072" s="62" customFormat="1"/>
    <row r="3073" s="62" customFormat="1"/>
    <row r="3074" s="62" customFormat="1"/>
    <row r="3075" s="62" customFormat="1"/>
    <row r="3076" s="62" customFormat="1"/>
    <row r="3077" s="62" customFormat="1"/>
    <row r="3078" s="62" customFormat="1"/>
    <row r="3079" s="62" customFormat="1"/>
    <row r="3080" s="62" customFormat="1"/>
    <row r="3081" s="62" customFormat="1"/>
    <row r="3082" s="62" customFormat="1"/>
    <row r="3083" s="62" customFormat="1"/>
    <row r="3084" s="62" customFormat="1"/>
    <row r="3085" s="62" customFormat="1"/>
    <row r="3086" s="62" customFormat="1"/>
    <row r="3087" s="62" customFormat="1"/>
    <row r="3088" s="62" customFormat="1"/>
    <row r="3089" s="62" customFormat="1"/>
    <row r="3090" s="62" customFormat="1"/>
    <row r="3091" s="62" customFormat="1"/>
    <row r="3092" s="62" customFormat="1"/>
    <row r="3093" s="62" customFormat="1"/>
    <row r="3094" s="62" customFormat="1"/>
    <row r="3095" s="62" customFormat="1"/>
    <row r="3096" s="62" customFormat="1"/>
    <row r="3097" s="62" customFormat="1"/>
    <row r="3098" s="62" customFormat="1"/>
    <row r="3099" s="62" customFormat="1"/>
    <row r="3100" s="62" customFormat="1"/>
    <row r="3101" s="62" customFormat="1"/>
    <row r="3102" s="62" customFormat="1"/>
    <row r="3103" s="62" customFormat="1"/>
    <row r="3104" s="62" customFormat="1"/>
    <row r="3105" s="62" customFormat="1"/>
    <row r="3106" s="62" customFormat="1"/>
    <row r="3107" s="62" customFormat="1"/>
    <row r="3108" s="62" customFormat="1"/>
    <row r="3109" s="62" customFormat="1"/>
    <row r="3110" s="62" customFormat="1"/>
    <row r="3111" s="62" customFormat="1"/>
    <row r="3112" s="62" customFormat="1"/>
    <row r="3113" s="62" customFormat="1"/>
    <row r="3114" s="62" customFormat="1"/>
    <row r="3115" s="62" customFormat="1"/>
    <row r="3116" s="62" customFormat="1"/>
    <row r="3117" s="62" customFormat="1"/>
    <row r="3118" s="62" customFormat="1"/>
    <row r="3119" s="62" customFormat="1"/>
    <row r="3120" s="62" customFormat="1"/>
    <row r="3121" s="62" customFormat="1"/>
    <row r="3122" s="62" customFormat="1"/>
    <row r="3123" s="62" customFormat="1"/>
    <row r="3124" s="62" customFormat="1"/>
    <row r="3125" s="62" customFormat="1"/>
    <row r="3126" s="62" customFormat="1"/>
    <row r="3127" s="62" customFormat="1"/>
    <row r="3128" s="62" customFormat="1"/>
    <row r="3129" s="62" customFormat="1"/>
    <row r="3130" s="62" customFormat="1"/>
    <row r="3131" s="62" customFormat="1"/>
    <row r="3132" s="62" customFormat="1"/>
    <row r="3133" s="62" customFormat="1"/>
    <row r="3134" s="62" customFormat="1"/>
    <row r="3135" s="62" customFormat="1"/>
    <row r="3136" s="62" customFormat="1"/>
    <row r="3137" s="62" customFormat="1"/>
    <row r="3138" s="62" customFormat="1"/>
    <row r="3139" s="62" customFormat="1"/>
    <row r="3140" s="62" customFormat="1"/>
    <row r="3141" s="62" customFormat="1"/>
  </sheetData>
  <sheetProtection sheet="1" selectLockedCells="1"/>
  <mergeCells count="3">
    <mergeCell ref="D2:P2"/>
    <mergeCell ref="D16:P16"/>
    <mergeCell ref="D30:P30"/>
  </mergeCells>
  <phoneticPr fontId="0" type="noConversion"/>
  <pageMargins left="0.78740157499999996" right="0.78740157499999996" top="0.984251969" bottom="0.984251969" header="0.4921259845" footer="0.4921259845"/>
  <pageSetup paperSize="9" scale="65" orientation="landscape" horizontalDpi="300" verticalDpi="300" r:id="rId1"/>
  <headerFooter alignWithMargins="0">
    <oddHeader>&amp;F</oddHeader>
    <oddFooter>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tabColor indexed="9"/>
    <pageSetUpPr fitToPage="1"/>
  </sheetPr>
  <dimension ref="A1:T2306"/>
  <sheetViews>
    <sheetView zoomScaleNormal="100" zoomScalePageLayoutView="40" workbookViewId="0">
      <selection activeCell="F35" sqref="F35"/>
    </sheetView>
  </sheetViews>
  <sheetFormatPr baseColWidth="10" defaultRowHeight="12.75"/>
  <cols>
    <col min="1" max="1" width="4" style="8" customWidth="1"/>
    <col min="2" max="2" width="13.42578125" style="8" customWidth="1"/>
    <col min="3" max="3" width="3.140625" customWidth="1"/>
    <col min="4" max="4" width="45.28515625" style="8" customWidth="1"/>
    <col min="5" max="5" width="17" style="16" customWidth="1"/>
    <col min="6" max="17" width="17" style="8" customWidth="1"/>
    <col min="18" max="18" width="9.85546875" hidden="1" customWidth="1"/>
    <col min="19" max="19" width="15.42578125" style="22" customWidth="1"/>
    <col min="20" max="20" width="17.42578125" style="23" hidden="1" customWidth="1"/>
    <col min="21" max="16384" width="11.42578125" style="8"/>
  </cols>
  <sheetData>
    <row r="1" spans="1:20">
      <c r="E1" s="8"/>
      <c r="S1" s="8"/>
      <c r="T1" s="8"/>
    </row>
    <row r="2" spans="1:20">
      <c r="B2" s="173"/>
      <c r="D2" s="312"/>
      <c r="E2" s="8"/>
      <c r="S2" s="8"/>
      <c r="T2" s="8"/>
    </row>
    <row r="3" spans="1:20" ht="13.5" thickBot="1">
      <c r="B3" s="173" t="s">
        <v>205</v>
      </c>
      <c r="E3" s="23"/>
      <c r="S3" s="8"/>
      <c r="T3" s="8"/>
    </row>
    <row r="4" spans="1:20" ht="12" customHeight="1" thickBot="1">
      <c r="E4" s="313" t="s">
        <v>20</v>
      </c>
      <c r="F4" s="313" t="s">
        <v>49</v>
      </c>
      <c r="G4" s="313" t="s">
        <v>50</v>
      </c>
      <c r="H4" s="313" t="s">
        <v>51</v>
      </c>
      <c r="I4" s="313" t="s">
        <v>52</v>
      </c>
      <c r="J4" s="313" t="s">
        <v>53</v>
      </c>
      <c r="K4" s="313" t="s">
        <v>54</v>
      </c>
      <c r="L4" s="313" t="s">
        <v>55</v>
      </c>
      <c r="M4" s="313" t="s">
        <v>56</v>
      </c>
      <c r="N4" s="313" t="s">
        <v>57</v>
      </c>
      <c r="O4" s="313" t="s">
        <v>58</v>
      </c>
      <c r="P4" s="313" t="s">
        <v>59</v>
      </c>
      <c r="Q4" s="314" t="s">
        <v>60</v>
      </c>
      <c r="T4" s="8"/>
    </row>
    <row r="5" spans="1:20" ht="12" customHeight="1" thickBot="1">
      <c r="A5" s="12"/>
      <c r="B5" s="217" t="s">
        <v>191</v>
      </c>
      <c r="D5" s="14" t="s">
        <v>112</v>
      </c>
      <c r="E5" s="143"/>
      <c r="F5" s="105">
        <f>E44</f>
        <v>0</v>
      </c>
      <c r="G5" s="105">
        <f t="shared" ref="G5:Q5" si="0">F44</f>
        <v>0</v>
      </c>
      <c r="H5" s="105">
        <f t="shared" si="0"/>
        <v>0</v>
      </c>
      <c r="I5" s="105">
        <f t="shared" si="0"/>
        <v>0</v>
      </c>
      <c r="J5" s="105">
        <f t="shared" si="0"/>
        <v>0</v>
      </c>
      <c r="K5" s="105">
        <f t="shared" si="0"/>
        <v>0</v>
      </c>
      <c r="L5" s="105">
        <f t="shared" si="0"/>
        <v>0</v>
      </c>
      <c r="M5" s="105">
        <f t="shared" si="0"/>
        <v>0</v>
      </c>
      <c r="N5" s="105">
        <f t="shared" si="0"/>
        <v>0</v>
      </c>
      <c r="O5" s="105">
        <f t="shared" si="0"/>
        <v>0</v>
      </c>
      <c r="P5" s="105">
        <f t="shared" si="0"/>
        <v>0</v>
      </c>
      <c r="Q5" s="105">
        <f t="shared" si="0"/>
        <v>0</v>
      </c>
      <c r="S5" s="117" t="s">
        <v>190</v>
      </c>
      <c r="T5" s="6" t="s">
        <v>192</v>
      </c>
    </row>
    <row r="6" spans="1:20" ht="12" customHeight="1" thickBot="1">
      <c r="A6" s="12"/>
      <c r="B6" s="1"/>
      <c r="D6" s="86"/>
      <c r="E6" s="119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S6" s="138"/>
      <c r="T6" s="117"/>
    </row>
    <row r="7" spans="1:20" ht="12" customHeight="1" thickBot="1">
      <c r="A7" s="31"/>
      <c r="B7" s="16"/>
      <c r="D7" s="118" t="s">
        <v>2</v>
      </c>
      <c r="E7" s="315">
        <f>SUM(E8:E14)</f>
        <v>0</v>
      </c>
      <c r="F7" s="135">
        <f t="shared" ref="F7:Q7" si="1">SUM(F8:F14)</f>
        <v>0</v>
      </c>
      <c r="G7" s="135">
        <f t="shared" si="1"/>
        <v>0</v>
      </c>
      <c r="H7" s="135">
        <f t="shared" si="1"/>
        <v>0</v>
      </c>
      <c r="I7" s="135">
        <f t="shared" si="1"/>
        <v>0</v>
      </c>
      <c r="J7" s="135">
        <f t="shared" si="1"/>
        <v>0</v>
      </c>
      <c r="K7" s="135">
        <f t="shared" si="1"/>
        <v>0</v>
      </c>
      <c r="L7" s="135">
        <f t="shared" si="1"/>
        <v>0</v>
      </c>
      <c r="M7" s="135">
        <f t="shared" si="1"/>
        <v>0</v>
      </c>
      <c r="N7" s="135">
        <f t="shared" si="1"/>
        <v>0</v>
      </c>
      <c r="O7" s="135">
        <f t="shared" si="1"/>
        <v>0</v>
      </c>
      <c r="P7" s="135">
        <f t="shared" si="1"/>
        <v>0</v>
      </c>
      <c r="Q7" s="139">
        <f t="shared" si="1"/>
        <v>0</v>
      </c>
      <c r="S7" s="49">
        <f>SUM(S8:S14)</f>
        <v>0</v>
      </c>
      <c r="T7" s="6">
        <f>SUM(T8:T15)</f>
        <v>0</v>
      </c>
    </row>
    <row r="8" spans="1:20" ht="12" customHeight="1">
      <c r="A8" s="140"/>
      <c r="B8" s="216">
        <v>0</v>
      </c>
      <c r="D8" s="130" t="s">
        <v>156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S8" s="1">
        <f t="shared" ref="S8:S14" si="2">SUM(E8:Q8)</f>
        <v>0</v>
      </c>
      <c r="T8" s="14">
        <f t="shared" ref="T8:T15" si="3">S8/(1+B8)</f>
        <v>0</v>
      </c>
    </row>
    <row r="9" spans="1:20" ht="12" customHeight="1">
      <c r="A9" s="140"/>
      <c r="B9" s="216">
        <v>0</v>
      </c>
      <c r="D9" s="130" t="s">
        <v>135</v>
      </c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S9" s="1">
        <f t="shared" si="2"/>
        <v>0</v>
      </c>
      <c r="T9" s="14">
        <f t="shared" si="3"/>
        <v>0</v>
      </c>
    </row>
    <row r="10" spans="1:20" ht="12" customHeight="1">
      <c r="A10" s="140"/>
      <c r="B10" s="216">
        <v>0</v>
      </c>
      <c r="D10" s="130" t="s">
        <v>106</v>
      </c>
      <c r="E10" s="257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S10" s="1">
        <f t="shared" si="2"/>
        <v>0</v>
      </c>
      <c r="T10" s="14">
        <f t="shared" si="3"/>
        <v>0</v>
      </c>
    </row>
    <row r="11" spans="1:20" ht="12" customHeight="1">
      <c r="A11" s="140"/>
      <c r="B11" s="216">
        <v>0</v>
      </c>
      <c r="D11" s="336" t="s">
        <v>104</v>
      </c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S11" s="1">
        <f t="shared" si="2"/>
        <v>0</v>
      </c>
      <c r="T11" s="14">
        <f t="shared" si="3"/>
        <v>0</v>
      </c>
    </row>
    <row r="12" spans="1:20" ht="12" customHeight="1">
      <c r="A12" s="140"/>
      <c r="B12" s="216">
        <v>0</v>
      </c>
      <c r="D12" s="130" t="s">
        <v>44</v>
      </c>
      <c r="E12" s="1">
        <f>'Données emprunt'!C27</f>
        <v>0</v>
      </c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S12" s="1">
        <f t="shared" si="2"/>
        <v>0</v>
      </c>
      <c r="T12" s="14">
        <f t="shared" si="3"/>
        <v>0</v>
      </c>
    </row>
    <row r="13" spans="1:20" ht="12" customHeight="1">
      <c r="A13" s="140"/>
      <c r="B13" s="308"/>
      <c r="D13" s="130" t="s">
        <v>1</v>
      </c>
      <c r="E13" s="316"/>
      <c r="F13" s="1">
        <f>+'Ventes '!L20</f>
        <v>0</v>
      </c>
      <c r="G13" s="1">
        <f>+'Ventes '!M20</f>
        <v>0</v>
      </c>
      <c r="H13" s="1">
        <f>+'Ventes '!N20</f>
        <v>0</v>
      </c>
      <c r="I13" s="1">
        <f>+'Ventes '!O20</f>
        <v>0</v>
      </c>
      <c r="J13" s="1">
        <f>+'Ventes '!P20</f>
        <v>0</v>
      </c>
      <c r="K13" s="1">
        <f>+'Ventes '!Q20</f>
        <v>0</v>
      </c>
      <c r="L13" s="1">
        <f>+'Ventes '!R20</f>
        <v>0</v>
      </c>
      <c r="M13" s="1">
        <f>+'Ventes '!S20</f>
        <v>0</v>
      </c>
      <c r="N13" s="1">
        <f>+'Ventes '!T20</f>
        <v>0</v>
      </c>
      <c r="O13" s="1">
        <f>+'Ventes '!U20</f>
        <v>0</v>
      </c>
      <c r="P13" s="1">
        <f>+'Ventes '!V20</f>
        <v>0</v>
      </c>
      <c r="Q13" s="1">
        <f>+'Ventes '!W20</f>
        <v>0</v>
      </c>
      <c r="S13" s="1">
        <f t="shared" si="2"/>
        <v>0</v>
      </c>
      <c r="T13" s="14">
        <f t="shared" si="3"/>
        <v>0</v>
      </c>
    </row>
    <row r="14" spans="1:20" ht="12" customHeight="1">
      <c r="A14" s="140"/>
      <c r="B14" s="216"/>
      <c r="D14" s="168" t="s">
        <v>23</v>
      </c>
      <c r="E14" s="1"/>
      <c r="F14" s="1"/>
      <c r="G14" s="1"/>
      <c r="H14" s="1"/>
      <c r="I14" s="1">
        <f>IF(H52&lt;0,-H52,0)-E14</f>
        <v>0</v>
      </c>
      <c r="J14" s="1"/>
      <c r="K14" s="1"/>
      <c r="L14" s="1">
        <f>IF(K52&lt;0,-K52,0)</f>
        <v>0</v>
      </c>
      <c r="M14" s="1"/>
      <c r="N14" s="1"/>
      <c r="O14" s="1">
        <f>IF(N52&lt;0,-N52,0)</f>
        <v>0</v>
      </c>
      <c r="P14" s="1"/>
      <c r="Q14" s="1"/>
      <c r="S14" s="1">
        <f t="shared" si="2"/>
        <v>0</v>
      </c>
      <c r="T14" s="14">
        <f t="shared" si="3"/>
        <v>0</v>
      </c>
    </row>
    <row r="15" spans="1:20" ht="12" customHeight="1" thickBot="1">
      <c r="A15" s="140"/>
      <c r="B15" s="216"/>
      <c r="D15" s="31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S15" s="1"/>
      <c r="T15" s="14">
        <f t="shared" si="3"/>
        <v>0</v>
      </c>
    </row>
    <row r="16" spans="1:20" ht="12" customHeight="1" thickBot="1">
      <c r="A16" s="140"/>
      <c r="B16" s="16"/>
      <c r="D16" s="118" t="s">
        <v>3</v>
      </c>
      <c r="E16" s="318">
        <f>SUM(E17:E43)</f>
        <v>0</v>
      </c>
      <c r="F16" s="136">
        <f t="shared" ref="F16:Q16" si="4">SUM(F17:F43)</f>
        <v>0</v>
      </c>
      <c r="G16" s="136">
        <f t="shared" si="4"/>
        <v>0</v>
      </c>
      <c r="H16" s="136">
        <f>SUM(H17:H43)</f>
        <v>0</v>
      </c>
      <c r="I16" s="136">
        <f t="shared" si="4"/>
        <v>0</v>
      </c>
      <c r="J16" s="136">
        <f t="shared" si="4"/>
        <v>0</v>
      </c>
      <c r="K16" s="136">
        <f t="shared" si="4"/>
        <v>0</v>
      </c>
      <c r="L16" s="136">
        <f t="shared" si="4"/>
        <v>0</v>
      </c>
      <c r="M16" s="136">
        <f t="shared" si="4"/>
        <v>0</v>
      </c>
      <c r="N16" s="136">
        <f t="shared" si="4"/>
        <v>0</v>
      </c>
      <c r="O16" s="136">
        <f t="shared" si="4"/>
        <v>0</v>
      </c>
      <c r="P16" s="136">
        <f t="shared" si="4"/>
        <v>0</v>
      </c>
      <c r="Q16" s="136">
        <f t="shared" si="4"/>
        <v>0</v>
      </c>
      <c r="S16" s="137">
        <f t="shared" ref="S16:S43" si="5">SUM(E16:Q16)</f>
        <v>0</v>
      </c>
      <c r="T16" s="6">
        <f>SUM(T17:T43)</f>
        <v>0</v>
      </c>
    </row>
    <row r="17" spans="1:20" ht="12" customHeight="1">
      <c r="A17" s="140"/>
      <c r="B17" s="216"/>
      <c r="D17" s="142" t="s">
        <v>21</v>
      </c>
      <c r="E17" s="57">
        <f>'Ventes '!K21</f>
        <v>0</v>
      </c>
      <c r="F17" s="57">
        <f>'Ventes '!L21</f>
        <v>0</v>
      </c>
      <c r="G17" s="1">
        <f>'Ventes '!M21</f>
        <v>0</v>
      </c>
      <c r="H17" s="1">
        <f>'Ventes '!N21</f>
        <v>0</v>
      </c>
      <c r="I17" s="1">
        <f>'Ventes '!O21</f>
        <v>0</v>
      </c>
      <c r="J17" s="1">
        <f>'Ventes '!P21</f>
        <v>0</v>
      </c>
      <c r="K17" s="1">
        <f>'Ventes '!Q21</f>
        <v>0</v>
      </c>
      <c r="L17" s="1">
        <f>'Ventes '!R21</f>
        <v>0</v>
      </c>
      <c r="M17" s="1">
        <f>'Ventes '!S21</f>
        <v>0</v>
      </c>
      <c r="N17" s="1">
        <f>'Ventes '!T21</f>
        <v>0</v>
      </c>
      <c r="O17" s="1">
        <f>'Ventes '!U21</f>
        <v>0</v>
      </c>
      <c r="P17" s="1">
        <f>'Ventes '!V21</f>
        <v>0</v>
      </c>
      <c r="Q17" s="1">
        <f>'Ventes '!W21</f>
        <v>0</v>
      </c>
      <c r="S17" s="1">
        <f t="shared" si="5"/>
        <v>0</v>
      </c>
      <c r="T17" s="14">
        <f t="shared" ref="T17:T37" si="6">S17/(1+B17)</f>
        <v>0</v>
      </c>
    </row>
    <row r="18" spans="1:20" ht="12" customHeight="1">
      <c r="A18" s="140"/>
      <c r="B18" s="254">
        <v>0</v>
      </c>
      <c r="D18" s="142" t="s">
        <v>170</v>
      </c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S18" s="1">
        <f t="shared" si="5"/>
        <v>0</v>
      </c>
      <c r="T18" s="14">
        <f t="shared" si="6"/>
        <v>0</v>
      </c>
    </row>
    <row r="19" spans="1:20" ht="12" customHeight="1">
      <c r="A19" s="140"/>
      <c r="B19" s="254">
        <v>0.21</v>
      </c>
      <c r="D19" s="142" t="s">
        <v>171</v>
      </c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S19" s="1">
        <f t="shared" si="5"/>
        <v>0</v>
      </c>
      <c r="T19" s="14">
        <f t="shared" si="6"/>
        <v>0</v>
      </c>
    </row>
    <row r="20" spans="1:20" ht="12" customHeight="1">
      <c r="A20" s="140"/>
      <c r="B20" s="254">
        <v>0</v>
      </c>
      <c r="D20" s="142" t="s">
        <v>9</v>
      </c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S20" s="1">
        <f t="shared" si="5"/>
        <v>0</v>
      </c>
      <c r="T20" s="14">
        <f t="shared" si="6"/>
        <v>0</v>
      </c>
    </row>
    <row r="21" spans="1:20" ht="12" customHeight="1">
      <c r="A21" s="140"/>
      <c r="B21" s="254">
        <v>0.21</v>
      </c>
      <c r="D21" s="142" t="s">
        <v>172</v>
      </c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S21" s="1">
        <f t="shared" si="5"/>
        <v>0</v>
      </c>
      <c r="T21" s="14">
        <f t="shared" si="6"/>
        <v>0</v>
      </c>
    </row>
    <row r="22" spans="1:20" ht="12" customHeight="1">
      <c r="A22" s="140"/>
      <c r="B22" s="254">
        <v>0.21</v>
      </c>
      <c r="D22" s="142" t="s">
        <v>176</v>
      </c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S22" s="1">
        <f t="shared" si="5"/>
        <v>0</v>
      </c>
      <c r="T22" s="14">
        <f t="shared" si="6"/>
        <v>0</v>
      </c>
    </row>
    <row r="23" spans="1:20" ht="12" customHeight="1">
      <c r="A23" s="140"/>
      <c r="B23" s="254">
        <v>0.21</v>
      </c>
      <c r="D23" s="142" t="s">
        <v>173</v>
      </c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S23" s="1">
        <f t="shared" si="5"/>
        <v>0</v>
      </c>
      <c r="T23" s="14">
        <f t="shared" si="6"/>
        <v>0</v>
      </c>
    </row>
    <row r="24" spans="1:20" ht="12" customHeight="1">
      <c r="A24" s="140"/>
      <c r="B24" s="254">
        <v>0.21</v>
      </c>
      <c r="D24" s="142" t="s">
        <v>174</v>
      </c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S24" s="1">
        <f t="shared" si="5"/>
        <v>0</v>
      </c>
      <c r="T24" s="14">
        <f t="shared" si="6"/>
        <v>0</v>
      </c>
    </row>
    <row r="25" spans="1:20" ht="12" customHeight="1">
      <c r="A25" s="140"/>
      <c r="B25" s="254">
        <v>0</v>
      </c>
      <c r="D25" s="142" t="s">
        <v>175</v>
      </c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S25" s="1">
        <f t="shared" si="5"/>
        <v>0</v>
      </c>
      <c r="T25" s="14">
        <f t="shared" si="6"/>
        <v>0</v>
      </c>
    </row>
    <row r="26" spans="1:20" ht="12" customHeight="1">
      <c r="A26" s="140"/>
      <c r="B26" s="216"/>
      <c r="D26" s="142" t="s">
        <v>177</v>
      </c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S26" s="1">
        <f t="shared" si="5"/>
        <v>0</v>
      </c>
      <c r="T26" s="14">
        <f t="shared" si="6"/>
        <v>0</v>
      </c>
    </row>
    <row r="27" spans="1:20" ht="12" customHeight="1">
      <c r="A27" s="140"/>
      <c r="B27" s="216"/>
      <c r="D27" s="142" t="s">
        <v>182</v>
      </c>
      <c r="E27" s="326"/>
      <c r="F27" s="326"/>
      <c r="G27" s="326"/>
      <c r="H27" s="326">
        <f>0.055*S29</f>
        <v>0</v>
      </c>
      <c r="I27" s="326"/>
      <c r="J27" s="326"/>
      <c r="K27" s="326">
        <f>0.055*S29</f>
        <v>0</v>
      </c>
      <c r="L27" s="326"/>
      <c r="M27" s="326"/>
      <c r="N27" s="326">
        <f>0.055*S29</f>
        <v>0</v>
      </c>
      <c r="O27" s="326"/>
      <c r="P27" s="326"/>
      <c r="Q27" s="326">
        <f>0.055*S29</f>
        <v>0</v>
      </c>
      <c r="S27" s="1">
        <f t="shared" si="5"/>
        <v>0</v>
      </c>
      <c r="T27" s="14">
        <f t="shared" si="6"/>
        <v>0</v>
      </c>
    </row>
    <row r="28" spans="1:20" ht="12" customHeight="1">
      <c r="A28" s="140"/>
      <c r="B28" s="216"/>
      <c r="D28" s="142" t="s">
        <v>185</v>
      </c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S28" s="1">
        <f t="shared" si="5"/>
        <v>0</v>
      </c>
      <c r="T28" s="14">
        <f t="shared" si="6"/>
        <v>0</v>
      </c>
    </row>
    <row r="29" spans="1:20" ht="12" customHeight="1">
      <c r="A29" s="140"/>
      <c r="B29" s="216"/>
      <c r="D29" s="142" t="s">
        <v>187</v>
      </c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S29" s="1">
        <f t="shared" si="5"/>
        <v>0</v>
      </c>
      <c r="T29" s="14">
        <f t="shared" si="6"/>
        <v>0</v>
      </c>
    </row>
    <row r="30" spans="1:20" ht="12" customHeight="1">
      <c r="A30" s="140"/>
      <c r="B30" s="254">
        <v>0.21</v>
      </c>
      <c r="D30" s="142" t="s">
        <v>178</v>
      </c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S30" s="1">
        <f t="shared" si="5"/>
        <v>0</v>
      </c>
      <c r="T30" s="14">
        <f t="shared" si="6"/>
        <v>0</v>
      </c>
    </row>
    <row r="31" spans="1:20" ht="12" customHeight="1">
      <c r="A31" s="140"/>
      <c r="B31" s="254">
        <v>0</v>
      </c>
      <c r="D31" s="142" t="s">
        <v>179</v>
      </c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S31" s="1">
        <f t="shared" si="5"/>
        <v>0</v>
      </c>
      <c r="T31" s="14">
        <f t="shared" si="6"/>
        <v>0</v>
      </c>
    </row>
    <row r="32" spans="1:20" ht="12" customHeight="1">
      <c r="A32" s="140"/>
      <c r="B32" s="254">
        <v>0</v>
      </c>
      <c r="D32" s="142" t="s">
        <v>180</v>
      </c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S32" s="1">
        <f t="shared" si="5"/>
        <v>0</v>
      </c>
      <c r="T32" s="14">
        <f t="shared" si="6"/>
        <v>0</v>
      </c>
    </row>
    <row r="33" spans="1:20" ht="12" customHeight="1">
      <c r="A33" s="140"/>
      <c r="B33" s="254">
        <v>0</v>
      </c>
      <c r="D33" s="390" t="s">
        <v>186</v>
      </c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S33" s="1">
        <f t="shared" si="5"/>
        <v>0</v>
      </c>
      <c r="T33" s="14">
        <f t="shared" si="6"/>
        <v>0</v>
      </c>
    </row>
    <row r="34" spans="1:20" ht="12" customHeight="1">
      <c r="A34" s="140"/>
      <c r="B34" s="254">
        <v>0</v>
      </c>
      <c r="D34" s="390" t="s">
        <v>181</v>
      </c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S34" s="1">
        <f t="shared" si="5"/>
        <v>0</v>
      </c>
      <c r="T34" s="14">
        <f t="shared" si="6"/>
        <v>0</v>
      </c>
    </row>
    <row r="35" spans="1:20" ht="12" customHeight="1">
      <c r="A35" s="140"/>
      <c r="B35" s="254">
        <v>0</v>
      </c>
      <c r="D35" s="390" t="s">
        <v>188</v>
      </c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S35" s="1">
        <f t="shared" si="5"/>
        <v>0</v>
      </c>
      <c r="T35" s="14">
        <f t="shared" si="6"/>
        <v>0</v>
      </c>
    </row>
    <row r="36" spans="1:20" ht="12" customHeight="1">
      <c r="A36" s="140"/>
      <c r="B36" s="216"/>
      <c r="D36" s="142" t="s">
        <v>243</v>
      </c>
      <c r="E36" s="141"/>
      <c r="F36" s="389">
        <f>Personnel!D13</f>
        <v>0</v>
      </c>
      <c r="G36" s="389">
        <f>Personnel!E13</f>
        <v>0</v>
      </c>
      <c r="H36" s="389">
        <f>Personnel!F13</f>
        <v>0</v>
      </c>
      <c r="I36" s="389">
        <f>Personnel!G13</f>
        <v>0</v>
      </c>
      <c r="J36" s="389">
        <f>Personnel!H13</f>
        <v>0</v>
      </c>
      <c r="K36" s="389">
        <f>Personnel!I13</f>
        <v>0</v>
      </c>
      <c r="L36" s="389">
        <f>Personnel!J13</f>
        <v>0</v>
      </c>
      <c r="M36" s="389">
        <f>Personnel!K13</f>
        <v>0</v>
      </c>
      <c r="N36" s="389">
        <f>Personnel!L13</f>
        <v>0</v>
      </c>
      <c r="O36" s="389">
        <f>Personnel!M13</f>
        <v>0</v>
      </c>
      <c r="P36" s="389">
        <f>Personnel!N13</f>
        <v>0</v>
      </c>
      <c r="Q36" s="389">
        <f>Personnel!O13</f>
        <v>0</v>
      </c>
      <c r="R36" s="57">
        <f>Personnel!P13</f>
        <v>0</v>
      </c>
      <c r="S36" s="1">
        <f t="shared" si="5"/>
        <v>0</v>
      </c>
      <c r="T36" s="14">
        <f t="shared" si="6"/>
        <v>0</v>
      </c>
    </row>
    <row r="37" spans="1:20" ht="12" customHeight="1">
      <c r="A37" s="140"/>
      <c r="B37" s="216"/>
      <c r="D37" s="142" t="s">
        <v>47</v>
      </c>
      <c r="E37" s="141"/>
      <c r="F37" s="57">
        <f>'Données emprunt'!F27</f>
        <v>0</v>
      </c>
      <c r="G37" s="1">
        <f>F37</f>
        <v>0</v>
      </c>
      <c r="H37" s="1">
        <f>G37</f>
        <v>0</v>
      </c>
      <c r="I37" s="1">
        <f t="shared" ref="I37:Q37" si="7">H37</f>
        <v>0</v>
      </c>
      <c r="J37" s="1">
        <f t="shared" si="7"/>
        <v>0</v>
      </c>
      <c r="K37" s="1">
        <f t="shared" si="7"/>
        <v>0</v>
      </c>
      <c r="L37" s="1">
        <f t="shared" si="7"/>
        <v>0</v>
      </c>
      <c r="M37" s="1">
        <f t="shared" si="7"/>
        <v>0</v>
      </c>
      <c r="N37" s="1">
        <f t="shared" si="7"/>
        <v>0</v>
      </c>
      <c r="O37" s="1">
        <f t="shared" si="7"/>
        <v>0</v>
      </c>
      <c r="P37" s="1">
        <f t="shared" si="7"/>
        <v>0</v>
      </c>
      <c r="Q37" s="1">
        <f t="shared" si="7"/>
        <v>0</v>
      </c>
      <c r="S37" s="1">
        <f t="shared" si="5"/>
        <v>0</v>
      </c>
      <c r="T37" s="14">
        <f t="shared" si="6"/>
        <v>0</v>
      </c>
    </row>
    <row r="38" spans="1:20" ht="12" customHeight="1">
      <c r="A38" s="140"/>
      <c r="B38" s="216"/>
      <c r="D38" s="142" t="s">
        <v>4</v>
      </c>
      <c r="E38" s="57">
        <f>Investissements!C32</f>
        <v>0</v>
      </c>
      <c r="F38" s="5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S38" s="1">
        <f t="shared" si="5"/>
        <v>0</v>
      </c>
      <c r="T38" s="14">
        <f>Investissements!C30</f>
        <v>0</v>
      </c>
    </row>
    <row r="39" spans="1:20" ht="12" customHeight="1">
      <c r="A39" s="140"/>
      <c r="B39" s="216"/>
      <c r="D39" s="142" t="s">
        <v>99</v>
      </c>
      <c r="E39" s="256"/>
      <c r="F39" s="23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S39" s="1">
        <f t="shared" si="5"/>
        <v>0</v>
      </c>
      <c r="T39" s="14">
        <f>S39/(1+B39)</f>
        <v>0</v>
      </c>
    </row>
    <row r="40" spans="1:20" ht="12" customHeight="1">
      <c r="A40" s="140"/>
      <c r="B40" s="216"/>
      <c r="D40" s="142" t="s">
        <v>100</v>
      </c>
      <c r="E40" s="258"/>
      <c r="F40" s="5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S40" s="1">
        <f t="shared" si="5"/>
        <v>0</v>
      </c>
      <c r="T40" s="14">
        <f>S40/(1+B40)</f>
        <v>0</v>
      </c>
    </row>
    <row r="41" spans="1:20" ht="12" customHeight="1">
      <c r="A41" s="140"/>
      <c r="B41" s="216"/>
      <c r="D41" s="142" t="s">
        <v>101</v>
      </c>
      <c r="E41" s="256"/>
      <c r="F41" s="5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S41" s="1">
        <f t="shared" si="5"/>
        <v>0</v>
      </c>
      <c r="T41" s="14">
        <f>S41/(1+B41)</f>
        <v>0</v>
      </c>
    </row>
    <row r="42" spans="1:20" ht="12" customHeight="1">
      <c r="A42" s="140"/>
      <c r="B42" s="216"/>
      <c r="D42" s="142" t="s">
        <v>22</v>
      </c>
      <c r="E42" s="141"/>
      <c r="F42" s="57"/>
      <c r="G42" s="1"/>
      <c r="H42" s="1"/>
      <c r="I42" s="1">
        <f>IF(H52&gt;0,H52,0)</f>
        <v>0</v>
      </c>
      <c r="J42" s="1"/>
      <c r="K42" s="1"/>
      <c r="L42" s="1">
        <f>IF(K52&gt;0,K52,0)</f>
        <v>0</v>
      </c>
      <c r="M42" s="1"/>
      <c r="N42" s="1"/>
      <c r="O42" s="1">
        <f>IF(N52&gt;0,N52,0)</f>
        <v>0</v>
      </c>
      <c r="P42" s="1"/>
      <c r="Q42" s="1"/>
      <c r="S42" s="1">
        <f t="shared" si="5"/>
        <v>0</v>
      </c>
      <c r="T42" s="14">
        <f>S42/(1+B42)</f>
        <v>0</v>
      </c>
    </row>
    <row r="43" spans="1:20" ht="12" customHeight="1" thickBot="1">
      <c r="A43" s="140"/>
      <c r="B43" s="319"/>
      <c r="D43" s="320" t="s">
        <v>61</v>
      </c>
      <c r="E43" s="141"/>
      <c r="F43" s="57"/>
      <c r="G43" s="1"/>
      <c r="H43" s="1">
        <f>Résultat!D40/4</f>
        <v>0</v>
      </c>
      <c r="I43" s="1"/>
      <c r="J43" s="1"/>
      <c r="K43" s="1">
        <f>Résultat!D40/4</f>
        <v>0</v>
      </c>
      <c r="L43" s="1"/>
      <c r="M43" s="1"/>
      <c r="N43" s="1">
        <f>Résultat!D40/4</f>
        <v>0</v>
      </c>
      <c r="O43" s="1"/>
      <c r="P43" s="1"/>
      <c r="Q43" s="1">
        <f>Résultat!D40/4</f>
        <v>0</v>
      </c>
      <c r="S43" s="1">
        <f t="shared" si="5"/>
        <v>0</v>
      </c>
      <c r="T43" s="14">
        <f>S43/(1+B43)</f>
        <v>0</v>
      </c>
    </row>
    <row r="44" spans="1:20" ht="12" customHeight="1" thickBot="1">
      <c r="A44" s="9"/>
      <c r="B44" s="9"/>
      <c r="D44" s="321" t="s">
        <v>189</v>
      </c>
      <c r="E44" s="118">
        <f>E7-E16</f>
        <v>0</v>
      </c>
      <c r="F44" s="48">
        <f>F5+F7-F16</f>
        <v>0</v>
      </c>
      <c r="G44" s="135">
        <f t="shared" ref="G44:Q44" si="8">G5+G7-G16</f>
        <v>0</v>
      </c>
      <c r="H44" s="135">
        <f t="shared" si="8"/>
        <v>0</v>
      </c>
      <c r="I44" s="135">
        <f t="shared" si="8"/>
        <v>0</v>
      </c>
      <c r="J44" s="135">
        <f t="shared" si="8"/>
        <v>0</v>
      </c>
      <c r="K44" s="135">
        <f t="shared" si="8"/>
        <v>0</v>
      </c>
      <c r="L44" s="135">
        <f t="shared" si="8"/>
        <v>0</v>
      </c>
      <c r="M44" s="135">
        <f t="shared" si="8"/>
        <v>0</v>
      </c>
      <c r="N44" s="135">
        <f t="shared" si="8"/>
        <v>0</v>
      </c>
      <c r="O44" s="135">
        <f t="shared" si="8"/>
        <v>0</v>
      </c>
      <c r="P44" s="135">
        <f t="shared" si="8"/>
        <v>0</v>
      </c>
      <c r="Q44" s="135">
        <f t="shared" si="8"/>
        <v>0</v>
      </c>
      <c r="S44" s="120">
        <f>S7-S16</f>
        <v>0</v>
      </c>
      <c r="T44" s="14"/>
    </row>
    <row r="45" spans="1:20">
      <c r="E45" s="8"/>
      <c r="S45" s="8"/>
      <c r="T45" s="8"/>
    </row>
    <row r="46" spans="1:20">
      <c r="E46" s="8"/>
      <c r="S46" s="8"/>
      <c r="T46" s="8"/>
    </row>
    <row r="47" spans="1:20">
      <c r="E47" s="8"/>
      <c r="S47" s="8"/>
      <c r="T47" s="8"/>
    </row>
    <row r="48" spans="1:20" hidden="1">
      <c r="E48" s="8"/>
      <c r="S48" s="8"/>
      <c r="T48" s="8"/>
    </row>
    <row r="49" spans="1:20" hidden="1">
      <c r="E49" s="8"/>
      <c r="S49" s="8"/>
      <c r="T49" s="8"/>
    </row>
    <row r="50" spans="1:20" ht="15" hidden="1">
      <c r="D50" s="133" t="s">
        <v>193</v>
      </c>
      <c r="E50" s="8"/>
      <c r="S50" s="8"/>
      <c r="T50" s="8"/>
    </row>
    <row r="51" spans="1:20" hidden="1">
      <c r="E51" s="8"/>
      <c r="S51" s="31"/>
      <c r="T51" s="8"/>
    </row>
    <row r="52" spans="1:20" hidden="1">
      <c r="D52" s="19" t="s">
        <v>195</v>
      </c>
      <c r="E52" s="18"/>
      <c r="F52" s="20"/>
      <c r="G52" s="20"/>
      <c r="H52" s="19">
        <f>E53+F53+G53+H53</f>
        <v>0</v>
      </c>
      <c r="I52" s="15"/>
      <c r="J52" s="20"/>
      <c r="K52" s="20">
        <f>I53+J53+K53</f>
        <v>0</v>
      </c>
      <c r="L52" s="15"/>
      <c r="M52" s="20"/>
      <c r="N52" s="20">
        <f>L53+M53+N53</f>
        <v>0</v>
      </c>
      <c r="O52" s="15"/>
      <c r="P52" s="24"/>
      <c r="Q52" s="24">
        <f>O53+P53+Q53</f>
        <v>0</v>
      </c>
    </row>
    <row r="53" spans="1:20" hidden="1">
      <c r="D53" s="14" t="s">
        <v>196</v>
      </c>
      <c r="E53" s="14">
        <f>E54-E55</f>
        <v>0</v>
      </c>
      <c r="F53" s="14">
        <f t="shared" ref="F53:Q53" si="9">F54-F55</f>
        <v>0</v>
      </c>
      <c r="G53" s="14">
        <f t="shared" si="9"/>
        <v>0</v>
      </c>
      <c r="H53" s="14">
        <f t="shared" si="9"/>
        <v>0</v>
      </c>
      <c r="I53" s="14">
        <f t="shared" si="9"/>
        <v>0</v>
      </c>
      <c r="J53" s="14">
        <f t="shared" si="9"/>
        <v>0</v>
      </c>
      <c r="K53" s="14">
        <f t="shared" si="9"/>
        <v>0</v>
      </c>
      <c r="L53" s="14">
        <f t="shared" si="9"/>
        <v>0</v>
      </c>
      <c r="M53" s="14">
        <f t="shared" si="9"/>
        <v>0</v>
      </c>
      <c r="N53" s="14">
        <f t="shared" si="9"/>
        <v>0</v>
      </c>
      <c r="O53" s="14">
        <f t="shared" si="9"/>
        <v>0</v>
      </c>
      <c r="P53" s="14">
        <f t="shared" si="9"/>
        <v>0</v>
      </c>
      <c r="Q53" s="14">
        <f t="shared" si="9"/>
        <v>0</v>
      </c>
      <c r="S53" s="8"/>
      <c r="T53" s="8"/>
    </row>
    <row r="54" spans="1:20" hidden="1">
      <c r="D54" s="18" t="s">
        <v>194</v>
      </c>
      <c r="E54" s="14"/>
      <c r="F54" s="18">
        <f>'Ventes '!L20-'Ventes '!L18</f>
        <v>0</v>
      </c>
      <c r="G54" s="18">
        <f>'Ventes '!M20-'Ventes '!M18</f>
        <v>0</v>
      </c>
      <c r="H54" s="18">
        <f>'Ventes '!N20-'Ventes '!N18</f>
        <v>0</v>
      </c>
      <c r="I54" s="18">
        <f>'Ventes '!O20-'Ventes '!O18</f>
        <v>0</v>
      </c>
      <c r="J54" s="18">
        <f>'Ventes '!P20-'Ventes '!P18</f>
        <v>0</v>
      </c>
      <c r="K54" s="18">
        <f>'Ventes '!Q20-'Ventes '!Q18</f>
        <v>0</v>
      </c>
      <c r="L54" s="18">
        <f>'Ventes '!R20-'Ventes '!R18</f>
        <v>0</v>
      </c>
      <c r="M54" s="18">
        <f>'Ventes '!S20-'Ventes '!S18</f>
        <v>0</v>
      </c>
      <c r="N54" s="18">
        <f>'Ventes '!T20-'Ventes '!T18</f>
        <v>0</v>
      </c>
      <c r="O54" s="18">
        <f>'Ventes '!U20-'Ventes '!U18</f>
        <v>0</v>
      </c>
      <c r="P54" s="18">
        <f>'Ventes '!V20-'Ventes '!V18</f>
        <v>0</v>
      </c>
      <c r="Q54" s="18">
        <f>'Ventes '!W20-'Ventes '!W18</f>
        <v>0</v>
      </c>
      <c r="S54" s="8"/>
      <c r="T54" s="8"/>
    </row>
    <row r="55" spans="1:20" hidden="1">
      <c r="D55" s="18" t="s">
        <v>23</v>
      </c>
      <c r="E55" s="18">
        <f>SUM(E56:E80)</f>
        <v>0</v>
      </c>
      <c r="F55" s="18">
        <f t="shared" ref="F55:Q55" si="10">SUM(F56:F80)</f>
        <v>0</v>
      </c>
      <c r="G55" s="18">
        <f t="shared" si="10"/>
        <v>0</v>
      </c>
      <c r="H55" s="18">
        <f t="shared" si="10"/>
        <v>0</v>
      </c>
      <c r="I55" s="18">
        <f t="shared" si="10"/>
        <v>0</v>
      </c>
      <c r="J55" s="18">
        <f t="shared" si="10"/>
        <v>0</v>
      </c>
      <c r="K55" s="18">
        <f t="shared" si="10"/>
        <v>0</v>
      </c>
      <c r="L55" s="18">
        <f t="shared" si="10"/>
        <v>0</v>
      </c>
      <c r="M55" s="18">
        <f t="shared" si="10"/>
        <v>0</v>
      </c>
      <c r="N55" s="18">
        <f t="shared" si="10"/>
        <v>0</v>
      </c>
      <c r="O55" s="18">
        <f t="shared" si="10"/>
        <v>0</v>
      </c>
      <c r="P55" s="18">
        <f t="shared" si="10"/>
        <v>0</v>
      </c>
      <c r="Q55" s="18">
        <f t="shared" si="10"/>
        <v>0</v>
      </c>
      <c r="S55" s="8"/>
      <c r="T55" s="8"/>
    </row>
    <row r="56" spans="1:20" hidden="1">
      <c r="D56" s="167" t="str">
        <f t="shared" ref="D56:D80" si="11">D17</f>
        <v>Marchandises</v>
      </c>
      <c r="E56" s="119">
        <f>'Ventes '!K21-'Ventes '!K19</f>
        <v>0</v>
      </c>
      <c r="F56" s="119">
        <f>'Ventes '!L21-'Ventes '!L19</f>
        <v>0</v>
      </c>
      <c r="G56" s="119">
        <f>'Ventes '!M21-'Ventes '!M19</f>
        <v>0</v>
      </c>
      <c r="H56" s="119">
        <f>'Ventes '!N21-'Ventes '!N19</f>
        <v>0</v>
      </c>
      <c r="I56" s="119">
        <f>'Ventes '!O21-'Ventes '!O19</f>
        <v>0</v>
      </c>
      <c r="J56" s="119">
        <f>'Ventes '!P21-'Ventes '!P19</f>
        <v>0</v>
      </c>
      <c r="K56" s="119">
        <f>'Ventes '!Q21-'Ventes '!Q19</f>
        <v>0</v>
      </c>
      <c r="L56" s="119">
        <f>'Ventes '!R21-'Ventes '!R19</f>
        <v>0</v>
      </c>
      <c r="M56" s="119">
        <f>'Ventes '!S21-'Ventes '!S19</f>
        <v>0</v>
      </c>
      <c r="N56" s="119">
        <f>'Ventes '!T21-'Ventes '!T19</f>
        <v>0</v>
      </c>
      <c r="O56" s="119">
        <f>'Ventes '!U21-'Ventes '!U19</f>
        <v>0</v>
      </c>
      <c r="P56" s="119">
        <f>'Ventes '!V21-'Ventes '!V19</f>
        <v>0</v>
      </c>
      <c r="Q56" s="119">
        <f>'Ventes '!W21-'Ventes '!W19</f>
        <v>0</v>
      </c>
      <c r="S56" s="8"/>
      <c r="T56" s="8"/>
    </row>
    <row r="57" spans="1:20" hidden="1">
      <c r="A57" s="113"/>
      <c r="B57" s="113"/>
      <c r="D57" s="130" t="str">
        <f t="shared" si="11"/>
        <v>Loyer (+Précompte Immobilier)</v>
      </c>
      <c r="E57" s="16">
        <f t="shared" ref="E57:Q57" si="12">E18-(E18/(1+$B18))</f>
        <v>0</v>
      </c>
      <c r="F57" s="16">
        <f t="shared" si="12"/>
        <v>0</v>
      </c>
      <c r="G57" s="16">
        <f t="shared" si="12"/>
        <v>0</v>
      </c>
      <c r="H57" s="16">
        <f t="shared" si="12"/>
        <v>0</v>
      </c>
      <c r="I57" s="16">
        <f t="shared" si="12"/>
        <v>0</v>
      </c>
      <c r="J57" s="16">
        <f t="shared" si="12"/>
        <v>0</v>
      </c>
      <c r="K57" s="16">
        <f t="shared" si="12"/>
        <v>0</v>
      </c>
      <c r="L57" s="16">
        <f t="shared" si="12"/>
        <v>0</v>
      </c>
      <c r="M57" s="16">
        <f t="shared" si="12"/>
        <v>0</v>
      </c>
      <c r="N57" s="16">
        <f t="shared" si="12"/>
        <v>0</v>
      </c>
      <c r="O57" s="16">
        <f t="shared" si="12"/>
        <v>0</v>
      </c>
      <c r="P57" s="16">
        <f t="shared" si="12"/>
        <v>0</v>
      </c>
      <c r="Q57" s="16">
        <f t="shared" si="12"/>
        <v>0</v>
      </c>
      <c r="S57" s="8"/>
      <c r="T57" s="8"/>
    </row>
    <row r="58" spans="1:20" hidden="1">
      <c r="A58" s="113"/>
      <c r="B58" s="113"/>
      <c r="D58" s="130" t="str">
        <f t="shared" si="11"/>
        <v>Eau-gaz-électricité</v>
      </c>
      <c r="E58" s="16">
        <f t="shared" ref="E58:Q58" si="13">E19-(E19/(1+$B19))</f>
        <v>0</v>
      </c>
      <c r="F58" s="16">
        <f t="shared" si="13"/>
        <v>0</v>
      </c>
      <c r="G58" s="16">
        <f t="shared" si="13"/>
        <v>0</v>
      </c>
      <c r="H58" s="16">
        <f t="shared" si="13"/>
        <v>0</v>
      </c>
      <c r="I58" s="16">
        <f t="shared" si="13"/>
        <v>0</v>
      </c>
      <c r="J58" s="16">
        <f t="shared" si="13"/>
        <v>0</v>
      </c>
      <c r="K58" s="16">
        <f t="shared" si="13"/>
        <v>0</v>
      </c>
      <c r="L58" s="16">
        <f t="shared" si="13"/>
        <v>0</v>
      </c>
      <c r="M58" s="16">
        <f t="shared" si="13"/>
        <v>0</v>
      </c>
      <c r="N58" s="16">
        <f t="shared" si="13"/>
        <v>0</v>
      </c>
      <c r="O58" s="16">
        <f t="shared" si="13"/>
        <v>0</v>
      </c>
      <c r="P58" s="16">
        <f t="shared" si="13"/>
        <v>0</v>
      </c>
      <c r="Q58" s="16">
        <f t="shared" si="13"/>
        <v>0</v>
      </c>
      <c r="S58" s="8"/>
      <c r="T58" s="8"/>
    </row>
    <row r="59" spans="1:20" hidden="1">
      <c r="A59" s="113"/>
      <c r="B59" s="113"/>
      <c r="D59" s="130" t="str">
        <f t="shared" si="11"/>
        <v>Assurances</v>
      </c>
      <c r="E59" s="16">
        <f t="shared" ref="E59:Q59" si="14">E20-(E20/(1+$B20))</f>
        <v>0</v>
      </c>
      <c r="F59" s="16">
        <f t="shared" si="14"/>
        <v>0</v>
      </c>
      <c r="G59" s="16">
        <f t="shared" si="14"/>
        <v>0</v>
      </c>
      <c r="H59" s="16">
        <f t="shared" si="14"/>
        <v>0</v>
      </c>
      <c r="I59" s="16">
        <f t="shared" si="14"/>
        <v>0</v>
      </c>
      <c r="J59" s="16">
        <f t="shared" si="14"/>
        <v>0</v>
      </c>
      <c r="K59" s="16">
        <f t="shared" si="14"/>
        <v>0</v>
      </c>
      <c r="L59" s="16">
        <f t="shared" si="14"/>
        <v>0</v>
      </c>
      <c r="M59" s="16">
        <f t="shared" si="14"/>
        <v>0</v>
      </c>
      <c r="N59" s="16">
        <f t="shared" si="14"/>
        <v>0</v>
      </c>
      <c r="O59" s="16">
        <f t="shared" si="14"/>
        <v>0</v>
      </c>
      <c r="P59" s="16">
        <f t="shared" si="14"/>
        <v>0</v>
      </c>
      <c r="Q59" s="16">
        <f t="shared" si="14"/>
        <v>0</v>
      </c>
      <c r="S59" s="8"/>
      <c r="T59" s="8"/>
    </row>
    <row r="60" spans="1:20" hidden="1">
      <c r="A60" s="113"/>
      <c r="B60" s="113"/>
      <c r="D60" s="130" t="str">
        <f t="shared" si="11"/>
        <v>frais de bureau et petit matériel</v>
      </c>
      <c r="E60" s="16">
        <f t="shared" ref="E60:Q60" si="15">E21-(E21/(1+$B21))</f>
        <v>0</v>
      </c>
      <c r="F60" s="16">
        <f t="shared" si="15"/>
        <v>0</v>
      </c>
      <c r="G60" s="16">
        <f t="shared" si="15"/>
        <v>0</v>
      </c>
      <c r="H60" s="16">
        <f t="shared" si="15"/>
        <v>0</v>
      </c>
      <c r="I60" s="16">
        <f t="shared" si="15"/>
        <v>0</v>
      </c>
      <c r="J60" s="16">
        <f t="shared" si="15"/>
        <v>0</v>
      </c>
      <c r="K60" s="16">
        <f t="shared" si="15"/>
        <v>0</v>
      </c>
      <c r="L60" s="16">
        <f t="shared" si="15"/>
        <v>0</v>
      </c>
      <c r="M60" s="16">
        <f t="shared" si="15"/>
        <v>0</v>
      </c>
      <c r="N60" s="16">
        <f t="shared" si="15"/>
        <v>0</v>
      </c>
      <c r="O60" s="16">
        <f t="shared" si="15"/>
        <v>0</v>
      </c>
      <c r="P60" s="16">
        <f t="shared" si="15"/>
        <v>0</v>
      </c>
      <c r="Q60" s="16">
        <f t="shared" si="15"/>
        <v>0</v>
      </c>
      <c r="S60" s="8"/>
      <c r="T60" s="8"/>
    </row>
    <row r="61" spans="1:20" hidden="1">
      <c r="A61" s="113"/>
      <c r="B61" s="113"/>
      <c r="D61" s="130" t="str">
        <f t="shared" si="11"/>
        <v>Téléphone et internet</v>
      </c>
      <c r="E61" s="16">
        <f t="shared" ref="E61:Q61" si="16">E22-(E22/(1+$B22))</f>
        <v>0</v>
      </c>
      <c r="F61" s="16">
        <f t="shared" si="16"/>
        <v>0</v>
      </c>
      <c r="G61" s="16">
        <f t="shared" si="16"/>
        <v>0</v>
      </c>
      <c r="H61" s="16">
        <f t="shared" si="16"/>
        <v>0</v>
      </c>
      <c r="I61" s="16">
        <f t="shared" si="16"/>
        <v>0</v>
      </c>
      <c r="J61" s="16">
        <f t="shared" si="16"/>
        <v>0</v>
      </c>
      <c r="K61" s="16">
        <f t="shared" si="16"/>
        <v>0</v>
      </c>
      <c r="L61" s="16">
        <f t="shared" si="16"/>
        <v>0</v>
      </c>
      <c r="M61" s="16">
        <f t="shared" si="16"/>
        <v>0</v>
      </c>
      <c r="N61" s="16">
        <f t="shared" si="16"/>
        <v>0</v>
      </c>
      <c r="O61" s="16">
        <f t="shared" si="16"/>
        <v>0</v>
      </c>
      <c r="P61" s="16">
        <f t="shared" si="16"/>
        <v>0</v>
      </c>
      <c r="Q61" s="16">
        <f t="shared" si="16"/>
        <v>0</v>
      </c>
      <c r="S61" s="8"/>
      <c r="T61" s="8"/>
    </row>
    <row r="62" spans="1:20" hidden="1">
      <c r="A62" s="113"/>
      <c r="B62" s="113"/>
      <c r="D62" s="130" t="str">
        <f t="shared" si="11"/>
        <v>Communication - publicité</v>
      </c>
      <c r="E62" s="16">
        <f t="shared" ref="E62:Q62" si="17">E23-(E23/(1+$B23))</f>
        <v>0</v>
      </c>
      <c r="F62" s="16">
        <f t="shared" si="17"/>
        <v>0</v>
      </c>
      <c r="G62" s="16">
        <f t="shared" si="17"/>
        <v>0</v>
      </c>
      <c r="H62" s="16">
        <f t="shared" si="17"/>
        <v>0</v>
      </c>
      <c r="I62" s="16">
        <f t="shared" si="17"/>
        <v>0</v>
      </c>
      <c r="J62" s="16">
        <f t="shared" si="17"/>
        <v>0</v>
      </c>
      <c r="K62" s="16">
        <f t="shared" si="17"/>
        <v>0</v>
      </c>
      <c r="L62" s="16">
        <f t="shared" si="17"/>
        <v>0</v>
      </c>
      <c r="M62" s="16">
        <f t="shared" si="17"/>
        <v>0</v>
      </c>
      <c r="N62" s="16">
        <f t="shared" si="17"/>
        <v>0</v>
      </c>
      <c r="O62" s="16">
        <f t="shared" si="17"/>
        <v>0</v>
      </c>
      <c r="P62" s="16">
        <f t="shared" si="17"/>
        <v>0</v>
      </c>
      <c r="Q62" s="16">
        <f t="shared" si="17"/>
        <v>0</v>
      </c>
      <c r="S62" s="8"/>
      <c r="T62" s="8"/>
    </row>
    <row r="63" spans="1:20" hidden="1">
      <c r="A63" s="113"/>
      <c r="B63" s="113"/>
      <c r="D63" s="130" t="str">
        <f t="shared" si="11"/>
        <v>frais représentation</v>
      </c>
      <c r="E63" s="16">
        <f t="shared" ref="E63:Q63" si="18">E24-(E24/(1+$B24))</f>
        <v>0</v>
      </c>
      <c r="F63" s="16">
        <f t="shared" si="18"/>
        <v>0</v>
      </c>
      <c r="G63" s="16">
        <f t="shared" si="18"/>
        <v>0</v>
      </c>
      <c r="H63" s="16">
        <f t="shared" si="18"/>
        <v>0</v>
      </c>
      <c r="I63" s="16">
        <f t="shared" si="18"/>
        <v>0</v>
      </c>
      <c r="J63" s="16">
        <f t="shared" si="18"/>
        <v>0</v>
      </c>
      <c r="K63" s="16">
        <f t="shared" si="18"/>
        <v>0</v>
      </c>
      <c r="L63" s="16">
        <f t="shared" si="18"/>
        <v>0</v>
      </c>
      <c r="M63" s="16">
        <f t="shared" si="18"/>
        <v>0</v>
      </c>
      <c r="N63" s="16">
        <f t="shared" si="18"/>
        <v>0</v>
      </c>
      <c r="O63" s="16">
        <f t="shared" si="18"/>
        <v>0</v>
      </c>
      <c r="P63" s="16">
        <f t="shared" si="18"/>
        <v>0</v>
      </c>
      <c r="Q63" s="16">
        <f t="shared" si="18"/>
        <v>0</v>
      </c>
      <c r="S63" s="8"/>
      <c r="T63" s="8"/>
    </row>
    <row r="64" spans="1:20" hidden="1">
      <c r="A64" s="113"/>
      <c r="B64" s="113"/>
      <c r="D64" s="130" t="str">
        <f t="shared" si="11"/>
        <v>Frais de déplacement (abonements, véhicules, entretiens)</v>
      </c>
      <c r="E64" s="16">
        <f t="shared" ref="E64:Q64" si="19">E25-(E25/(1+$B25))</f>
        <v>0</v>
      </c>
      <c r="F64" s="16">
        <f t="shared" si="19"/>
        <v>0</v>
      </c>
      <c r="G64" s="16">
        <f t="shared" si="19"/>
        <v>0</v>
      </c>
      <c r="H64" s="16">
        <f t="shared" si="19"/>
        <v>0</v>
      </c>
      <c r="I64" s="16">
        <f t="shared" si="19"/>
        <v>0</v>
      </c>
      <c r="J64" s="16">
        <f t="shared" si="19"/>
        <v>0</v>
      </c>
      <c r="K64" s="16">
        <f t="shared" si="19"/>
        <v>0</v>
      </c>
      <c r="L64" s="16">
        <f t="shared" si="19"/>
        <v>0</v>
      </c>
      <c r="M64" s="16">
        <f t="shared" si="19"/>
        <v>0</v>
      </c>
      <c r="N64" s="16">
        <f t="shared" si="19"/>
        <v>0</v>
      </c>
      <c r="O64" s="16">
        <f t="shared" si="19"/>
        <v>0</v>
      </c>
      <c r="P64" s="16">
        <f t="shared" si="19"/>
        <v>0</v>
      </c>
      <c r="Q64" s="16">
        <f t="shared" si="19"/>
        <v>0</v>
      </c>
      <c r="S64" s="8"/>
      <c r="T64" s="8"/>
    </row>
    <row r="65" spans="1:20" hidden="1">
      <c r="A65" s="113"/>
      <c r="B65" s="113"/>
      <c r="D65" s="130" t="str">
        <f t="shared" si="11"/>
        <v>Taxe Véhicule</v>
      </c>
      <c r="E65" s="16">
        <f t="shared" ref="E65:Q65" si="20">E26-(E26/(1+$B26))</f>
        <v>0</v>
      </c>
      <c r="F65" s="16">
        <f t="shared" si="20"/>
        <v>0</v>
      </c>
      <c r="G65" s="16">
        <f t="shared" si="20"/>
        <v>0</v>
      </c>
      <c r="H65" s="16">
        <f t="shared" si="20"/>
        <v>0</v>
      </c>
      <c r="I65" s="16">
        <f t="shared" si="20"/>
        <v>0</v>
      </c>
      <c r="J65" s="16">
        <f t="shared" si="20"/>
        <v>0</v>
      </c>
      <c r="K65" s="16">
        <f t="shared" si="20"/>
        <v>0</v>
      </c>
      <c r="L65" s="16">
        <f t="shared" si="20"/>
        <v>0</v>
      </c>
      <c r="M65" s="16">
        <f t="shared" si="20"/>
        <v>0</v>
      </c>
      <c r="N65" s="16">
        <f t="shared" si="20"/>
        <v>0</v>
      </c>
      <c r="O65" s="16">
        <f t="shared" si="20"/>
        <v>0</v>
      </c>
      <c r="P65" s="16">
        <f t="shared" si="20"/>
        <v>0</v>
      </c>
      <c r="Q65" s="16">
        <f t="shared" si="20"/>
        <v>0</v>
      </c>
      <c r="S65" s="8"/>
      <c r="T65" s="8"/>
    </row>
    <row r="66" spans="1:20" hidden="1">
      <c r="A66" s="113"/>
      <c r="B66" s="113"/>
      <c r="D66" s="130" t="str">
        <f t="shared" si="11"/>
        <v>Cotisations sociales</v>
      </c>
      <c r="E66" s="16">
        <f t="shared" ref="E66:Q66" si="21">E27-(E27/(1+$B27))</f>
        <v>0</v>
      </c>
      <c r="F66" s="16">
        <f t="shared" si="21"/>
        <v>0</v>
      </c>
      <c r="G66" s="16">
        <f t="shared" si="21"/>
        <v>0</v>
      </c>
      <c r="H66" s="16">
        <f t="shared" si="21"/>
        <v>0</v>
      </c>
      <c r="I66" s="16">
        <f t="shared" si="21"/>
        <v>0</v>
      </c>
      <c r="J66" s="16">
        <f t="shared" si="21"/>
        <v>0</v>
      </c>
      <c r="K66" s="16">
        <f t="shared" si="21"/>
        <v>0</v>
      </c>
      <c r="L66" s="16">
        <f t="shared" si="21"/>
        <v>0</v>
      </c>
      <c r="M66" s="16">
        <f t="shared" si="21"/>
        <v>0</v>
      </c>
      <c r="N66" s="16">
        <f t="shared" si="21"/>
        <v>0</v>
      </c>
      <c r="O66" s="16">
        <f t="shared" si="21"/>
        <v>0</v>
      </c>
      <c r="P66" s="16">
        <f t="shared" si="21"/>
        <v>0</v>
      </c>
      <c r="Q66" s="16">
        <f t="shared" si="21"/>
        <v>0</v>
      </c>
      <c r="S66" s="8"/>
      <c r="T66" s="8"/>
    </row>
    <row r="67" spans="1:20" hidden="1">
      <c r="A67" s="113"/>
      <c r="B67" s="113"/>
      <c r="D67" s="130" t="str">
        <f t="shared" si="11"/>
        <v>Cotisation Inasti société</v>
      </c>
      <c r="E67" s="16">
        <f t="shared" ref="E67:Q67" si="22">E28-(E28/(1+$B28))</f>
        <v>0</v>
      </c>
      <c r="F67" s="16">
        <f t="shared" si="22"/>
        <v>0</v>
      </c>
      <c r="G67" s="16">
        <f t="shared" si="22"/>
        <v>0</v>
      </c>
      <c r="H67" s="16">
        <f t="shared" si="22"/>
        <v>0</v>
      </c>
      <c r="I67" s="16">
        <f t="shared" si="22"/>
        <v>0</v>
      </c>
      <c r="J67" s="16">
        <f t="shared" si="22"/>
        <v>0</v>
      </c>
      <c r="K67" s="16">
        <f t="shared" si="22"/>
        <v>0</v>
      </c>
      <c r="L67" s="16">
        <f t="shared" si="22"/>
        <v>0</v>
      </c>
      <c r="M67" s="16">
        <f t="shared" si="22"/>
        <v>0</v>
      </c>
      <c r="N67" s="16">
        <f t="shared" si="22"/>
        <v>0</v>
      </c>
      <c r="O67" s="16">
        <f t="shared" si="22"/>
        <v>0</v>
      </c>
      <c r="P67" s="16">
        <f t="shared" si="22"/>
        <v>0</v>
      </c>
      <c r="Q67" s="16">
        <f t="shared" si="22"/>
        <v>0</v>
      </c>
      <c r="S67" s="8"/>
      <c r="T67" s="8"/>
    </row>
    <row r="68" spans="1:20" hidden="1">
      <c r="A68" s="113"/>
      <c r="B68" s="113"/>
      <c r="D68" s="130" t="str">
        <f t="shared" si="11"/>
        <v>Rémunération - Administrateur(s) / Gérant(s)</v>
      </c>
      <c r="E68" s="16">
        <f t="shared" ref="E68:Q68" si="23">E29-(E29/(1+$B29))</f>
        <v>0</v>
      </c>
      <c r="F68" s="16">
        <f t="shared" si="23"/>
        <v>0</v>
      </c>
      <c r="G68" s="16">
        <f t="shared" si="23"/>
        <v>0</v>
      </c>
      <c r="H68" s="16">
        <f t="shared" si="23"/>
        <v>0</v>
      </c>
      <c r="I68" s="16">
        <f t="shared" si="23"/>
        <v>0</v>
      </c>
      <c r="J68" s="16">
        <f t="shared" si="23"/>
        <v>0</v>
      </c>
      <c r="K68" s="16">
        <f t="shared" si="23"/>
        <v>0</v>
      </c>
      <c r="L68" s="16">
        <f t="shared" si="23"/>
        <v>0</v>
      </c>
      <c r="M68" s="16">
        <f t="shared" si="23"/>
        <v>0</v>
      </c>
      <c r="N68" s="16">
        <f t="shared" si="23"/>
        <v>0</v>
      </c>
      <c r="O68" s="16">
        <f t="shared" si="23"/>
        <v>0</v>
      </c>
      <c r="P68" s="16">
        <f t="shared" si="23"/>
        <v>0</v>
      </c>
      <c r="Q68" s="16">
        <f t="shared" si="23"/>
        <v>0</v>
      </c>
      <c r="S68" s="8"/>
      <c r="T68" s="8"/>
    </row>
    <row r="69" spans="1:20" hidden="1">
      <c r="A69" s="113"/>
      <c r="B69" s="113"/>
      <c r="D69" s="130" t="str">
        <f t="shared" si="11"/>
        <v>Honoraires comptable</v>
      </c>
      <c r="E69" s="16">
        <f t="shared" ref="E69:Q69" si="24">E30-(E30/(1+$B30))</f>
        <v>0</v>
      </c>
      <c r="F69" s="16">
        <f t="shared" si="24"/>
        <v>0</v>
      </c>
      <c r="G69" s="16">
        <f t="shared" si="24"/>
        <v>0</v>
      </c>
      <c r="H69" s="16">
        <f t="shared" si="24"/>
        <v>0</v>
      </c>
      <c r="I69" s="16">
        <f t="shared" si="24"/>
        <v>0</v>
      </c>
      <c r="J69" s="16">
        <f t="shared" si="24"/>
        <v>0</v>
      </c>
      <c r="K69" s="16">
        <f t="shared" si="24"/>
        <v>0</v>
      </c>
      <c r="L69" s="16">
        <f t="shared" si="24"/>
        <v>0</v>
      </c>
      <c r="M69" s="16">
        <f t="shared" si="24"/>
        <v>0</v>
      </c>
      <c r="N69" s="16">
        <f t="shared" si="24"/>
        <v>0</v>
      </c>
      <c r="O69" s="16">
        <f t="shared" si="24"/>
        <v>0</v>
      </c>
      <c r="P69" s="16">
        <f t="shared" si="24"/>
        <v>0</v>
      </c>
      <c r="Q69" s="16">
        <f t="shared" si="24"/>
        <v>0</v>
      </c>
      <c r="S69" s="8"/>
      <c r="T69" s="8"/>
    </row>
    <row r="70" spans="1:20" hidden="1">
      <c r="A70" s="113"/>
      <c r="B70" s="113"/>
      <c r="D70" s="130" t="str">
        <f t="shared" si="11"/>
        <v>Honoraires autres experts</v>
      </c>
      <c r="E70" s="16">
        <f t="shared" ref="E70:Q70" si="25">E31-(E31/(1+$B31))</f>
        <v>0</v>
      </c>
      <c r="F70" s="16">
        <f t="shared" si="25"/>
        <v>0</v>
      </c>
      <c r="G70" s="16">
        <f t="shared" si="25"/>
        <v>0</v>
      </c>
      <c r="H70" s="16">
        <f t="shared" si="25"/>
        <v>0</v>
      </c>
      <c r="I70" s="16">
        <f t="shared" si="25"/>
        <v>0</v>
      </c>
      <c r="J70" s="16">
        <f t="shared" si="25"/>
        <v>0</v>
      </c>
      <c r="K70" s="16">
        <f t="shared" si="25"/>
        <v>0</v>
      </c>
      <c r="L70" s="16">
        <f t="shared" si="25"/>
        <v>0</v>
      </c>
      <c r="M70" s="16">
        <f t="shared" si="25"/>
        <v>0</v>
      </c>
      <c r="N70" s="16">
        <f t="shared" si="25"/>
        <v>0</v>
      </c>
      <c r="O70" s="16">
        <f t="shared" si="25"/>
        <v>0</v>
      </c>
      <c r="P70" s="16">
        <f t="shared" si="25"/>
        <v>0</v>
      </c>
      <c r="Q70" s="16">
        <f t="shared" si="25"/>
        <v>0</v>
      </c>
      <c r="S70" s="8"/>
      <c r="T70" s="8"/>
    </row>
    <row r="71" spans="1:20" hidden="1">
      <c r="A71" s="113"/>
      <c r="B71" s="113"/>
      <c r="D71" s="130" t="str">
        <f t="shared" si="11"/>
        <v>Imprévus</v>
      </c>
      <c r="E71" s="16">
        <f t="shared" ref="E71:Q71" si="26">E32-(E32/(1+$B32))</f>
        <v>0</v>
      </c>
      <c r="F71" s="16">
        <f t="shared" si="26"/>
        <v>0</v>
      </c>
      <c r="G71" s="16">
        <f t="shared" si="26"/>
        <v>0</v>
      </c>
      <c r="H71" s="16">
        <f t="shared" si="26"/>
        <v>0</v>
      </c>
      <c r="I71" s="16">
        <f t="shared" si="26"/>
        <v>0</v>
      </c>
      <c r="J71" s="16">
        <f t="shared" si="26"/>
        <v>0</v>
      </c>
      <c r="K71" s="16">
        <f t="shared" si="26"/>
        <v>0</v>
      </c>
      <c r="L71" s="16">
        <f t="shared" si="26"/>
        <v>0</v>
      </c>
      <c r="M71" s="16">
        <f t="shared" si="26"/>
        <v>0</v>
      </c>
      <c r="N71" s="16">
        <f t="shared" si="26"/>
        <v>0</v>
      </c>
      <c r="O71" s="16">
        <f t="shared" si="26"/>
        <v>0</v>
      </c>
      <c r="P71" s="16">
        <f t="shared" si="26"/>
        <v>0</v>
      </c>
      <c r="Q71" s="16">
        <f t="shared" si="26"/>
        <v>0</v>
      </c>
      <c r="S71" s="8"/>
      <c r="T71" s="8"/>
    </row>
    <row r="72" spans="1:20" hidden="1">
      <c r="A72" s="113"/>
      <c r="B72" s="113"/>
      <c r="D72" s="130" t="str">
        <f t="shared" si="11"/>
        <v>Divers  (terminal…)</v>
      </c>
      <c r="E72" s="16">
        <f t="shared" ref="E72:Q72" si="27">E33-(E33/(1+$B33))</f>
        <v>0</v>
      </c>
      <c r="F72" s="16">
        <f t="shared" si="27"/>
        <v>0</v>
      </c>
      <c r="G72" s="16">
        <f t="shared" si="27"/>
        <v>0</v>
      </c>
      <c r="H72" s="16">
        <f t="shared" si="27"/>
        <v>0</v>
      </c>
      <c r="I72" s="16">
        <f t="shared" si="27"/>
        <v>0</v>
      </c>
      <c r="J72" s="16">
        <f t="shared" si="27"/>
        <v>0</v>
      </c>
      <c r="K72" s="16">
        <f t="shared" si="27"/>
        <v>0</v>
      </c>
      <c r="L72" s="16">
        <f t="shared" si="27"/>
        <v>0</v>
      </c>
      <c r="M72" s="16">
        <f t="shared" si="27"/>
        <v>0</v>
      </c>
      <c r="N72" s="16">
        <f t="shared" si="27"/>
        <v>0</v>
      </c>
      <c r="O72" s="16">
        <f t="shared" si="27"/>
        <v>0</v>
      </c>
      <c r="P72" s="16">
        <f t="shared" si="27"/>
        <v>0</v>
      </c>
      <c r="Q72" s="16">
        <f t="shared" si="27"/>
        <v>0</v>
      </c>
      <c r="S72" s="8"/>
      <c r="T72" s="8"/>
    </row>
    <row r="73" spans="1:20" hidden="1">
      <c r="A73" s="113"/>
      <c r="B73" s="113"/>
      <c r="D73" s="130" t="str">
        <f t="shared" si="11"/>
        <v>Divers 2</v>
      </c>
      <c r="E73" s="16">
        <f t="shared" ref="E73:Q73" si="28">E34-(E34/(1+$B34))</f>
        <v>0</v>
      </c>
      <c r="F73" s="16">
        <f t="shared" si="28"/>
        <v>0</v>
      </c>
      <c r="G73" s="16">
        <f t="shared" si="28"/>
        <v>0</v>
      </c>
      <c r="H73" s="16">
        <f t="shared" si="28"/>
        <v>0</v>
      </c>
      <c r="I73" s="16">
        <f t="shared" si="28"/>
        <v>0</v>
      </c>
      <c r="J73" s="16">
        <f t="shared" si="28"/>
        <v>0</v>
      </c>
      <c r="K73" s="16">
        <f t="shared" si="28"/>
        <v>0</v>
      </c>
      <c r="L73" s="16">
        <f t="shared" si="28"/>
        <v>0</v>
      </c>
      <c r="M73" s="16">
        <f t="shared" si="28"/>
        <v>0</v>
      </c>
      <c r="N73" s="16">
        <f t="shared" si="28"/>
        <v>0</v>
      </c>
      <c r="O73" s="16">
        <f t="shared" si="28"/>
        <v>0</v>
      </c>
      <c r="P73" s="16">
        <f t="shared" si="28"/>
        <v>0</v>
      </c>
      <c r="Q73" s="16">
        <f t="shared" si="28"/>
        <v>0</v>
      </c>
      <c r="S73" s="8"/>
      <c r="T73" s="8"/>
    </row>
    <row r="74" spans="1:20" hidden="1">
      <c r="A74" s="113"/>
      <c r="B74" s="113"/>
      <c r="D74" s="130" t="str">
        <f t="shared" si="11"/>
        <v>Divers 3</v>
      </c>
      <c r="E74" s="16">
        <f t="shared" ref="E74:Q74" si="29">E35-(E35/(1+$B35))</f>
        <v>0</v>
      </c>
      <c r="F74" s="16">
        <f t="shared" si="29"/>
        <v>0</v>
      </c>
      <c r="G74" s="16">
        <f t="shared" si="29"/>
        <v>0</v>
      </c>
      <c r="H74" s="16">
        <f t="shared" si="29"/>
        <v>0</v>
      </c>
      <c r="I74" s="16">
        <f t="shared" si="29"/>
        <v>0</v>
      </c>
      <c r="J74" s="16">
        <f t="shared" si="29"/>
        <v>0</v>
      </c>
      <c r="K74" s="16">
        <f t="shared" si="29"/>
        <v>0</v>
      </c>
      <c r="L74" s="16">
        <f t="shared" si="29"/>
        <v>0</v>
      </c>
      <c r="M74" s="16">
        <f t="shared" si="29"/>
        <v>0</v>
      </c>
      <c r="N74" s="16">
        <f t="shared" si="29"/>
        <v>0</v>
      </c>
      <c r="O74" s="16">
        <f t="shared" si="29"/>
        <v>0</v>
      </c>
      <c r="P74" s="16">
        <f t="shared" si="29"/>
        <v>0</v>
      </c>
      <c r="Q74" s="16">
        <f t="shared" si="29"/>
        <v>0</v>
      </c>
      <c r="S74" s="8"/>
      <c r="T74" s="8"/>
    </row>
    <row r="75" spans="1:20" hidden="1">
      <c r="A75" s="113"/>
      <c r="B75" s="113"/>
      <c r="D75" s="130" t="str">
        <f t="shared" si="11"/>
        <v>Frais de Personnel (onglet personnel)</v>
      </c>
      <c r="E75" s="16">
        <f t="shared" ref="E75:Q75" si="30">E36-(E36/(1+$B36))</f>
        <v>0</v>
      </c>
      <c r="F75" s="16">
        <f t="shared" si="30"/>
        <v>0</v>
      </c>
      <c r="G75" s="16">
        <f t="shared" si="30"/>
        <v>0</v>
      </c>
      <c r="H75" s="16">
        <f t="shared" si="30"/>
        <v>0</v>
      </c>
      <c r="I75" s="16">
        <f t="shared" si="30"/>
        <v>0</v>
      </c>
      <c r="J75" s="16">
        <f t="shared" si="30"/>
        <v>0</v>
      </c>
      <c r="K75" s="16">
        <f t="shared" si="30"/>
        <v>0</v>
      </c>
      <c r="L75" s="16">
        <f t="shared" si="30"/>
        <v>0</v>
      </c>
      <c r="M75" s="16">
        <f t="shared" si="30"/>
        <v>0</v>
      </c>
      <c r="N75" s="16">
        <f t="shared" si="30"/>
        <v>0</v>
      </c>
      <c r="O75" s="16">
        <f t="shared" si="30"/>
        <v>0</v>
      </c>
      <c r="P75" s="16">
        <f t="shared" si="30"/>
        <v>0</v>
      </c>
      <c r="Q75" s="16">
        <f t="shared" si="30"/>
        <v>0</v>
      </c>
      <c r="S75" s="8"/>
      <c r="T75" s="8"/>
    </row>
    <row r="76" spans="1:20" hidden="1">
      <c r="A76" s="113"/>
      <c r="B76" s="113"/>
      <c r="D76" s="130" t="str">
        <f t="shared" si="11"/>
        <v>Remboursement emprunt &amp; leasing</v>
      </c>
      <c r="E76" s="16">
        <f t="shared" ref="E76:Q76" si="31">E37-(E37/(1+$B37))</f>
        <v>0</v>
      </c>
      <c r="F76" s="16">
        <f t="shared" si="31"/>
        <v>0</v>
      </c>
      <c r="G76" s="16">
        <f t="shared" si="31"/>
        <v>0</v>
      </c>
      <c r="H76" s="16">
        <f t="shared" si="31"/>
        <v>0</v>
      </c>
      <c r="I76" s="16">
        <f t="shared" si="31"/>
        <v>0</v>
      </c>
      <c r="J76" s="16">
        <f t="shared" si="31"/>
        <v>0</v>
      </c>
      <c r="K76" s="16">
        <f t="shared" si="31"/>
        <v>0</v>
      </c>
      <c r="L76" s="16">
        <f t="shared" si="31"/>
        <v>0</v>
      </c>
      <c r="M76" s="16">
        <f t="shared" si="31"/>
        <v>0</v>
      </c>
      <c r="N76" s="16">
        <f t="shared" si="31"/>
        <v>0</v>
      </c>
      <c r="O76" s="16">
        <f t="shared" si="31"/>
        <v>0</v>
      </c>
      <c r="P76" s="16">
        <f t="shared" si="31"/>
        <v>0</v>
      </c>
      <c r="Q76" s="16">
        <f t="shared" si="31"/>
        <v>0</v>
      </c>
      <c r="S76" s="8"/>
      <c r="T76" s="8"/>
    </row>
    <row r="77" spans="1:20" hidden="1">
      <c r="A77" s="113"/>
      <c r="B77" s="113"/>
      <c r="D77" s="130" t="str">
        <f t="shared" si="11"/>
        <v>Investissements</v>
      </c>
      <c r="E77" s="16">
        <f>Investissements!C32-Investissements!C30</f>
        <v>0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S77" s="8"/>
      <c r="T77" s="8"/>
    </row>
    <row r="78" spans="1:20" hidden="1">
      <c r="A78" s="113"/>
      <c r="B78" s="113"/>
      <c r="D78" s="130" t="str">
        <f t="shared" si="11"/>
        <v>Garantie locative</v>
      </c>
      <c r="E78" s="16">
        <f t="shared" ref="E78:Q78" si="32">E39-(E39/(1+$B39))</f>
        <v>0</v>
      </c>
      <c r="F78" s="16">
        <f t="shared" si="32"/>
        <v>0</v>
      </c>
      <c r="G78" s="16">
        <f t="shared" si="32"/>
        <v>0</v>
      </c>
      <c r="H78" s="16">
        <f t="shared" si="32"/>
        <v>0</v>
      </c>
      <c r="I78" s="16">
        <f t="shared" si="32"/>
        <v>0</v>
      </c>
      <c r="J78" s="16">
        <f t="shared" si="32"/>
        <v>0</v>
      </c>
      <c r="K78" s="16">
        <f t="shared" si="32"/>
        <v>0</v>
      </c>
      <c r="L78" s="16">
        <f t="shared" si="32"/>
        <v>0</v>
      </c>
      <c r="M78" s="16">
        <f t="shared" si="32"/>
        <v>0</v>
      </c>
      <c r="N78" s="16">
        <f t="shared" si="32"/>
        <v>0</v>
      </c>
      <c r="O78" s="16">
        <f t="shared" si="32"/>
        <v>0</v>
      </c>
      <c r="P78" s="16">
        <f t="shared" si="32"/>
        <v>0</v>
      </c>
      <c r="Q78" s="16">
        <f t="shared" si="32"/>
        <v>0</v>
      </c>
      <c r="S78" s="8"/>
      <c r="T78" s="8"/>
    </row>
    <row r="79" spans="1:20" hidden="1">
      <c r="A79" s="113"/>
      <c r="B79" s="113"/>
      <c r="D79" s="130" t="str">
        <f t="shared" si="11"/>
        <v>Caution gaz-électricité</v>
      </c>
      <c r="E79" s="16">
        <f t="shared" ref="E79:Q79" si="33">E40-(E40/(1+$B40))</f>
        <v>0</v>
      </c>
      <c r="F79" s="16">
        <f t="shared" si="33"/>
        <v>0</v>
      </c>
      <c r="G79" s="16">
        <f t="shared" si="33"/>
        <v>0</v>
      </c>
      <c r="H79" s="16">
        <f t="shared" si="33"/>
        <v>0</v>
      </c>
      <c r="I79" s="16">
        <f t="shared" si="33"/>
        <v>0</v>
      </c>
      <c r="J79" s="16">
        <f t="shared" si="33"/>
        <v>0</v>
      </c>
      <c r="K79" s="16">
        <f t="shared" si="33"/>
        <v>0</v>
      </c>
      <c r="L79" s="16">
        <f t="shared" si="33"/>
        <v>0</v>
      </c>
      <c r="M79" s="16">
        <f t="shared" si="33"/>
        <v>0</v>
      </c>
      <c r="N79" s="16">
        <f t="shared" si="33"/>
        <v>0</v>
      </c>
      <c r="O79" s="16">
        <f t="shared" si="33"/>
        <v>0</v>
      </c>
      <c r="P79" s="16">
        <f t="shared" si="33"/>
        <v>0</v>
      </c>
      <c r="Q79" s="16">
        <f t="shared" si="33"/>
        <v>0</v>
      </c>
      <c r="S79" s="8"/>
      <c r="T79" s="8"/>
    </row>
    <row r="80" spans="1:20" hidden="1">
      <c r="A80" s="113"/>
      <c r="B80" s="113"/>
      <c r="D80" s="168" t="str">
        <f t="shared" si="11"/>
        <v>Autres garanties</v>
      </c>
      <c r="E80" s="143">
        <f t="shared" ref="E80:Q80" si="34">E41-(E41/(1+$B41))</f>
        <v>0</v>
      </c>
      <c r="F80" s="143">
        <f t="shared" si="34"/>
        <v>0</v>
      </c>
      <c r="G80" s="143">
        <f t="shared" si="34"/>
        <v>0</v>
      </c>
      <c r="H80" s="143">
        <f t="shared" si="34"/>
        <v>0</v>
      </c>
      <c r="I80" s="143">
        <f t="shared" si="34"/>
        <v>0</v>
      </c>
      <c r="J80" s="143">
        <f t="shared" si="34"/>
        <v>0</v>
      </c>
      <c r="K80" s="143">
        <f t="shared" si="34"/>
        <v>0</v>
      </c>
      <c r="L80" s="143">
        <f t="shared" si="34"/>
        <v>0</v>
      </c>
      <c r="M80" s="143">
        <f t="shared" si="34"/>
        <v>0</v>
      </c>
      <c r="N80" s="143">
        <f t="shared" si="34"/>
        <v>0</v>
      </c>
      <c r="O80" s="143">
        <f t="shared" si="34"/>
        <v>0</v>
      </c>
      <c r="P80" s="143">
        <f t="shared" si="34"/>
        <v>0</v>
      </c>
      <c r="Q80" s="143">
        <f t="shared" si="34"/>
        <v>0</v>
      </c>
      <c r="S80" s="8"/>
      <c r="T80" s="8"/>
    </row>
    <row r="81" spans="5:20" hidden="1">
      <c r="E81" s="8"/>
      <c r="S81" s="8"/>
      <c r="T81" s="8"/>
    </row>
    <row r="82" spans="5:20" hidden="1">
      <c r="E82" s="8"/>
      <c r="S82" s="8"/>
      <c r="T82" s="8"/>
    </row>
    <row r="83" spans="5:20" hidden="1">
      <c r="E83" s="8"/>
      <c r="S83" s="8"/>
      <c r="T83" s="8"/>
    </row>
    <row r="84" spans="5:20" hidden="1">
      <c r="E84" s="8"/>
      <c r="S84" s="8"/>
      <c r="T84" s="8"/>
    </row>
    <row r="85" spans="5:20">
      <c r="E85" s="8"/>
      <c r="S85" s="8"/>
      <c r="T85" s="8"/>
    </row>
    <row r="86" spans="5:20">
      <c r="E86" s="8"/>
      <c r="S86" s="8"/>
      <c r="T86" s="8"/>
    </row>
    <row r="87" spans="5:20">
      <c r="E87" s="8"/>
      <c r="S87" s="8"/>
      <c r="T87" s="8"/>
    </row>
    <row r="88" spans="5:20">
      <c r="E88" s="8"/>
      <c r="S88" s="8"/>
      <c r="T88" s="8"/>
    </row>
    <row r="89" spans="5:20">
      <c r="E89" s="8"/>
      <c r="S89" s="8"/>
      <c r="T89" s="8"/>
    </row>
    <row r="90" spans="5:20">
      <c r="E90" s="8"/>
      <c r="S90" s="8"/>
      <c r="T90" s="8"/>
    </row>
    <row r="91" spans="5:20">
      <c r="E91" s="8"/>
      <c r="S91" s="8"/>
      <c r="T91" s="8"/>
    </row>
    <row r="92" spans="5:20">
      <c r="E92" s="8"/>
      <c r="S92" s="8"/>
      <c r="T92" s="8"/>
    </row>
    <row r="93" spans="5:20">
      <c r="E93" s="8"/>
      <c r="S93" s="8"/>
      <c r="T93" s="8"/>
    </row>
    <row r="94" spans="5:20">
      <c r="E94" s="8"/>
      <c r="S94" s="8"/>
      <c r="T94" s="8"/>
    </row>
    <row r="95" spans="5:20">
      <c r="E95" s="8"/>
      <c r="S95" s="8"/>
      <c r="T95" s="8"/>
    </row>
    <row r="96" spans="5:20">
      <c r="E96" s="8"/>
      <c r="S96" s="8"/>
      <c r="T96" s="8"/>
    </row>
    <row r="97" spans="5:20">
      <c r="E97" s="8"/>
      <c r="S97" s="8"/>
      <c r="T97" s="8"/>
    </row>
    <row r="98" spans="5:20">
      <c r="E98" s="8"/>
      <c r="S98" s="8"/>
      <c r="T98" s="8"/>
    </row>
    <row r="99" spans="5:20">
      <c r="E99" s="8"/>
      <c r="S99" s="8"/>
      <c r="T99" s="8"/>
    </row>
    <row r="100" spans="5:20">
      <c r="E100" s="8"/>
      <c r="S100" s="8"/>
      <c r="T100" s="8"/>
    </row>
    <row r="101" spans="5:20">
      <c r="E101" s="8"/>
      <c r="S101" s="8"/>
      <c r="T101" s="8"/>
    </row>
    <row r="102" spans="5:20">
      <c r="E102" s="8"/>
      <c r="S102" s="8"/>
      <c r="T102" s="8"/>
    </row>
    <row r="103" spans="5:20">
      <c r="E103" s="8"/>
      <c r="S103" s="8"/>
      <c r="T103" s="8"/>
    </row>
    <row r="104" spans="5:20">
      <c r="E104" s="8"/>
      <c r="S104" s="8"/>
      <c r="T104" s="8"/>
    </row>
    <row r="105" spans="5:20">
      <c r="E105" s="8"/>
      <c r="S105" s="8"/>
      <c r="T105" s="8"/>
    </row>
    <row r="106" spans="5:20">
      <c r="E106" s="8"/>
      <c r="S106" s="8"/>
      <c r="T106" s="8"/>
    </row>
    <row r="107" spans="5:20">
      <c r="E107" s="8"/>
      <c r="S107" s="8"/>
      <c r="T107" s="8"/>
    </row>
    <row r="108" spans="5:20">
      <c r="E108" s="8"/>
      <c r="S108" s="8"/>
      <c r="T108" s="8"/>
    </row>
    <row r="109" spans="5:20">
      <c r="E109" s="8"/>
      <c r="S109" s="8"/>
      <c r="T109" s="8"/>
    </row>
    <row r="110" spans="5:20">
      <c r="E110" s="8"/>
      <c r="S110" s="8"/>
      <c r="T110" s="8"/>
    </row>
    <row r="111" spans="5:20">
      <c r="E111" s="8"/>
      <c r="S111" s="8"/>
      <c r="T111" s="8"/>
    </row>
    <row r="112" spans="5:20">
      <c r="E112" s="8"/>
      <c r="S112" s="8"/>
      <c r="T112" s="8"/>
    </row>
    <row r="113" spans="5:20">
      <c r="E113" s="8"/>
      <c r="S113" s="8"/>
      <c r="T113" s="8"/>
    </row>
    <row r="114" spans="5:20">
      <c r="E114" s="8"/>
      <c r="S114" s="8"/>
      <c r="T114" s="8"/>
    </row>
    <row r="115" spans="5:20">
      <c r="E115" s="8"/>
      <c r="S115" s="8"/>
      <c r="T115" s="8"/>
    </row>
    <row r="116" spans="5:20">
      <c r="E116" s="8"/>
      <c r="S116" s="8"/>
      <c r="T116" s="8"/>
    </row>
    <row r="117" spans="5:20">
      <c r="E117" s="8"/>
      <c r="S117" s="8"/>
      <c r="T117" s="8"/>
    </row>
    <row r="118" spans="5:20">
      <c r="E118" s="8"/>
      <c r="S118" s="8"/>
      <c r="T118" s="8"/>
    </row>
    <row r="119" spans="5:20">
      <c r="E119" s="8"/>
      <c r="S119" s="8"/>
      <c r="T119" s="8"/>
    </row>
    <row r="120" spans="5:20">
      <c r="E120" s="8"/>
      <c r="S120" s="8"/>
      <c r="T120" s="8"/>
    </row>
    <row r="121" spans="5:20">
      <c r="E121" s="8"/>
      <c r="S121" s="8"/>
      <c r="T121" s="8"/>
    </row>
    <row r="122" spans="5:20">
      <c r="E122" s="8"/>
      <c r="S122" s="8"/>
      <c r="T122" s="8"/>
    </row>
    <row r="123" spans="5:20">
      <c r="E123" s="8"/>
      <c r="S123" s="8"/>
      <c r="T123" s="8"/>
    </row>
    <row r="124" spans="5:20">
      <c r="E124" s="8"/>
      <c r="S124" s="8"/>
      <c r="T124" s="8"/>
    </row>
    <row r="125" spans="5:20">
      <c r="E125" s="8"/>
      <c r="S125" s="8"/>
      <c r="T125" s="8"/>
    </row>
    <row r="126" spans="5:20">
      <c r="E126" s="8"/>
      <c r="S126" s="8"/>
      <c r="T126" s="8"/>
    </row>
    <row r="127" spans="5:20">
      <c r="E127" s="8"/>
      <c r="S127" s="8"/>
      <c r="T127" s="8"/>
    </row>
    <row r="128" spans="5:20">
      <c r="E128" s="8"/>
      <c r="S128" s="8"/>
      <c r="T128" s="8"/>
    </row>
    <row r="129" spans="5:20">
      <c r="E129" s="8"/>
      <c r="S129" s="8"/>
      <c r="T129" s="8"/>
    </row>
    <row r="130" spans="5:20">
      <c r="E130" s="8"/>
      <c r="S130" s="8"/>
      <c r="T130" s="8"/>
    </row>
    <row r="131" spans="5:20">
      <c r="E131" s="8"/>
      <c r="S131" s="8"/>
      <c r="T131" s="8"/>
    </row>
    <row r="132" spans="5:20">
      <c r="E132" s="8"/>
      <c r="S132" s="8"/>
      <c r="T132" s="8"/>
    </row>
    <row r="133" spans="5:20">
      <c r="E133" s="8"/>
      <c r="S133" s="8"/>
      <c r="T133" s="8"/>
    </row>
    <row r="134" spans="5:20">
      <c r="E134" s="8"/>
      <c r="S134" s="8"/>
      <c r="T134" s="8"/>
    </row>
    <row r="135" spans="5:20">
      <c r="E135" s="8"/>
      <c r="S135" s="8"/>
      <c r="T135" s="8"/>
    </row>
    <row r="136" spans="5:20">
      <c r="E136" s="8"/>
      <c r="S136" s="8"/>
      <c r="T136" s="8"/>
    </row>
    <row r="137" spans="5:20">
      <c r="E137" s="8"/>
      <c r="S137" s="8"/>
      <c r="T137" s="8"/>
    </row>
    <row r="138" spans="5:20">
      <c r="E138" s="8"/>
      <c r="S138" s="8"/>
      <c r="T138" s="8"/>
    </row>
    <row r="139" spans="5:20">
      <c r="E139" s="8"/>
      <c r="S139" s="8"/>
      <c r="T139" s="8"/>
    </row>
    <row r="140" spans="5:20">
      <c r="E140" s="8"/>
      <c r="S140" s="8"/>
      <c r="T140" s="8"/>
    </row>
    <row r="141" spans="5:20">
      <c r="E141" s="8"/>
      <c r="S141" s="8"/>
      <c r="T141" s="8"/>
    </row>
    <row r="142" spans="5:20">
      <c r="E142" s="8"/>
      <c r="S142" s="8"/>
      <c r="T142" s="8"/>
    </row>
    <row r="143" spans="5:20">
      <c r="E143" s="8"/>
      <c r="S143" s="8"/>
      <c r="T143" s="8"/>
    </row>
    <row r="144" spans="5:20">
      <c r="E144" s="8"/>
      <c r="S144" s="8"/>
      <c r="T144" s="8"/>
    </row>
    <row r="145" spans="5:20">
      <c r="E145" s="8"/>
      <c r="S145" s="8"/>
      <c r="T145" s="8"/>
    </row>
    <row r="146" spans="5:20">
      <c r="E146" s="8"/>
      <c r="S146" s="8"/>
      <c r="T146" s="8"/>
    </row>
    <row r="147" spans="5:20">
      <c r="E147" s="8"/>
      <c r="S147" s="8"/>
      <c r="T147" s="8"/>
    </row>
    <row r="148" spans="5:20">
      <c r="E148" s="8"/>
      <c r="S148" s="8"/>
      <c r="T148" s="8"/>
    </row>
    <row r="149" spans="5:20">
      <c r="E149" s="8"/>
      <c r="S149" s="8"/>
      <c r="T149" s="8"/>
    </row>
    <row r="150" spans="5:20">
      <c r="E150" s="8"/>
      <c r="S150" s="8"/>
      <c r="T150" s="8"/>
    </row>
    <row r="151" spans="5:20">
      <c r="E151" s="8"/>
      <c r="S151" s="8"/>
      <c r="T151" s="8"/>
    </row>
    <row r="152" spans="5:20">
      <c r="E152" s="8"/>
      <c r="S152" s="8"/>
      <c r="T152" s="8"/>
    </row>
    <row r="153" spans="5:20">
      <c r="E153" s="8"/>
      <c r="S153" s="8"/>
      <c r="T153" s="8"/>
    </row>
    <row r="154" spans="5:20">
      <c r="E154" s="8"/>
      <c r="S154" s="8"/>
      <c r="T154" s="8"/>
    </row>
    <row r="155" spans="5:20">
      <c r="E155" s="8"/>
      <c r="S155" s="8"/>
      <c r="T155" s="8"/>
    </row>
    <row r="156" spans="5:20">
      <c r="E156" s="8"/>
      <c r="S156" s="8"/>
      <c r="T156" s="8"/>
    </row>
    <row r="157" spans="5:20">
      <c r="E157" s="8"/>
      <c r="S157" s="8"/>
      <c r="T157" s="8"/>
    </row>
    <row r="158" spans="5:20">
      <c r="E158" s="8"/>
      <c r="S158" s="8"/>
      <c r="T158" s="8"/>
    </row>
    <row r="159" spans="5:20">
      <c r="E159" s="8"/>
      <c r="S159" s="8"/>
      <c r="T159" s="8"/>
    </row>
    <row r="160" spans="5:20">
      <c r="E160" s="8"/>
      <c r="S160" s="8"/>
      <c r="T160" s="8"/>
    </row>
    <row r="161" spans="5:20">
      <c r="E161" s="8"/>
      <c r="S161" s="8"/>
      <c r="T161" s="8"/>
    </row>
    <row r="162" spans="5:20">
      <c r="E162" s="8"/>
      <c r="S162" s="8"/>
      <c r="T162" s="8"/>
    </row>
    <row r="163" spans="5:20">
      <c r="E163" s="8"/>
      <c r="S163" s="8"/>
      <c r="T163" s="8"/>
    </row>
    <row r="164" spans="5:20">
      <c r="E164" s="8"/>
      <c r="S164" s="8"/>
      <c r="T164" s="8"/>
    </row>
    <row r="165" spans="5:20">
      <c r="E165" s="8"/>
      <c r="S165" s="8"/>
      <c r="T165" s="8"/>
    </row>
    <row r="166" spans="5:20">
      <c r="E166" s="8"/>
      <c r="S166" s="8"/>
      <c r="T166" s="8"/>
    </row>
    <row r="167" spans="5:20">
      <c r="E167" s="8"/>
      <c r="S167" s="8"/>
      <c r="T167" s="8"/>
    </row>
    <row r="168" spans="5:20">
      <c r="E168" s="8"/>
      <c r="S168" s="8"/>
      <c r="T168" s="8"/>
    </row>
    <row r="169" spans="5:20">
      <c r="E169" s="8"/>
      <c r="S169" s="8"/>
      <c r="T169" s="8"/>
    </row>
    <row r="170" spans="5:20">
      <c r="E170" s="8"/>
      <c r="S170" s="8"/>
      <c r="T170" s="8"/>
    </row>
    <row r="171" spans="5:20">
      <c r="E171" s="8"/>
      <c r="S171" s="8"/>
      <c r="T171" s="8"/>
    </row>
    <row r="172" spans="5:20">
      <c r="E172" s="8"/>
      <c r="S172" s="8"/>
      <c r="T172" s="8"/>
    </row>
    <row r="173" spans="5:20">
      <c r="E173" s="8"/>
      <c r="S173" s="8"/>
      <c r="T173" s="8"/>
    </row>
    <row r="174" spans="5:20">
      <c r="E174" s="8"/>
      <c r="S174" s="8"/>
      <c r="T174" s="8"/>
    </row>
    <row r="175" spans="5:20">
      <c r="E175" s="8"/>
      <c r="S175" s="8"/>
      <c r="T175" s="8"/>
    </row>
    <row r="176" spans="5:20">
      <c r="E176" s="8"/>
      <c r="S176" s="8"/>
      <c r="T176" s="8"/>
    </row>
    <row r="177" spans="5:20">
      <c r="E177" s="8"/>
      <c r="S177" s="8"/>
      <c r="T177" s="8"/>
    </row>
    <row r="178" spans="5:20">
      <c r="E178" s="8"/>
      <c r="S178" s="8"/>
      <c r="T178" s="8"/>
    </row>
    <row r="179" spans="5:20">
      <c r="E179" s="8"/>
      <c r="S179" s="8"/>
      <c r="T179" s="8"/>
    </row>
    <row r="180" spans="5:20">
      <c r="E180" s="8"/>
      <c r="S180" s="8"/>
      <c r="T180" s="8"/>
    </row>
    <row r="181" spans="5:20">
      <c r="E181" s="8"/>
      <c r="S181" s="8"/>
      <c r="T181" s="8"/>
    </row>
    <row r="182" spans="5:20">
      <c r="E182" s="8"/>
      <c r="S182" s="8"/>
      <c r="T182" s="8"/>
    </row>
    <row r="183" spans="5:20">
      <c r="E183" s="8"/>
      <c r="S183" s="8"/>
      <c r="T183" s="8"/>
    </row>
    <row r="184" spans="5:20">
      <c r="E184" s="8"/>
      <c r="S184" s="8"/>
      <c r="T184" s="8"/>
    </row>
    <row r="185" spans="5:20">
      <c r="E185" s="8"/>
      <c r="S185" s="8"/>
      <c r="T185" s="8"/>
    </row>
    <row r="186" spans="5:20">
      <c r="E186" s="8"/>
      <c r="S186" s="8"/>
      <c r="T186" s="8"/>
    </row>
    <row r="187" spans="5:20">
      <c r="E187" s="8"/>
      <c r="S187" s="8"/>
      <c r="T187" s="8"/>
    </row>
    <row r="188" spans="5:20">
      <c r="E188" s="8"/>
      <c r="S188" s="8"/>
      <c r="T188" s="8"/>
    </row>
    <row r="189" spans="5:20">
      <c r="E189" s="8"/>
      <c r="S189" s="8"/>
      <c r="T189" s="8"/>
    </row>
    <row r="190" spans="5:20">
      <c r="E190" s="8"/>
      <c r="S190" s="8"/>
      <c r="T190" s="8"/>
    </row>
    <row r="191" spans="5:20">
      <c r="E191" s="8"/>
      <c r="S191" s="8"/>
      <c r="T191" s="8"/>
    </row>
    <row r="192" spans="5:20">
      <c r="E192" s="8"/>
      <c r="S192" s="8"/>
      <c r="T192" s="8"/>
    </row>
    <row r="193" spans="5:20">
      <c r="E193" s="8"/>
      <c r="S193" s="8"/>
      <c r="T193" s="8"/>
    </row>
    <row r="194" spans="5:20">
      <c r="E194" s="8"/>
      <c r="S194" s="8"/>
      <c r="T194" s="8"/>
    </row>
    <row r="195" spans="5:20">
      <c r="E195" s="8"/>
      <c r="S195" s="8"/>
      <c r="T195" s="8"/>
    </row>
    <row r="196" spans="5:20">
      <c r="E196" s="8"/>
      <c r="S196" s="8"/>
      <c r="T196" s="8"/>
    </row>
    <row r="197" spans="5:20">
      <c r="E197" s="8"/>
      <c r="S197" s="8"/>
      <c r="T197" s="8"/>
    </row>
    <row r="198" spans="5:20">
      <c r="E198" s="8"/>
      <c r="S198" s="8"/>
      <c r="T198" s="8"/>
    </row>
    <row r="199" spans="5:20">
      <c r="E199" s="8"/>
      <c r="S199" s="8"/>
      <c r="T199" s="8"/>
    </row>
    <row r="200" spans="5:20">
      <c r="E200" s="8"/>
      <c r="S200" s="8"/>
      <c r="T200" s="8"/>
    </row>
    <row r="201" spans="5:20">
      <c r="E201" s="8"/>
      <c r="S201" s="8"/>
      <c r="T201" s="8"/>
    </row>
    <row r="202" spans="5:20">
      <c r="E202" s="8"/>
      <c r="S202" s="8"/>
      <c r="T202" s="8"/>
    </row>
    <row r="203" spans="5:20">
      <c r="E203" s="8"/>
      <c r="S203" s="8"/>
      <c r="T203" s="8"/>
    </row>
    <row r="204" spans="5:20">
      <c r="E204" s="8"/>
      <c r="S204" s="8"/>
      <c r="T204" s="8"/>
    </row>
    <row r="205" spans="5:20">
      <c r="E205" s="8"/>
      <c r="S205" s="8"/>
      <c r="T205" s="8"/>
    </row>
    <row r="206" spans="5:20">
      <c r="E206" s="8"/>
      <c r="S206" s="8"/>
      <c r="T206" s="8"/>
    </row>
    <row r="207" spans="5:20">
      <c r="E207" s="8"/>
      <c r="S207" s="8"/>
      <c r="T207" s="8"/>
    </row>
    <row r="208" spans="5:20">
      <c r="E208" s="8"/>
      <c r="S208" s="8"/>
      <c r="T208" s="8"/>
    </row>
    <row r="209" spans="5:20">
      <c r="E209" s="8"/>
      <c r="S209" s="8"/>
      <c r="T209" s="8"/>
    </row>
    <row r="210" spans="5:20">
      <c r="E210" s="8"/>
      <c r="S210" s="8"/>
      <c r="T210" s="8"/>
    </row>
    <row r="211" spans="5:20">
      <c r="E211" s="8"/>
      <c r="S211" s="8"/>
      <c r="T211" s="8"/>
    </row>
    <row r="212" spans="5:20">
      <c r="E212" s="8"/>
      <c r="S212" s="8"/>
      <c r="T212" s="8"/>
    </row>
    <row r="213" spans="5:20">
      <c r="E213" s="8"/>
      <c r="S213" s="8"/>
      <c r="T213" s="8"/>
    </row>
    <row r="214" spans="5:20">
      <c r="E214" s="8"/>
      <c r="S214" s="8"/>
      <c r="T214" s="8"/>
    </row>
    <row r="215" spans="5:20">
      <c r="E215" s="8"/>
      <c r="S215" s="8"/>
      <c r="T215" s="8"/>
    </row>
    <row r="216" spans="5:20">
      <c r="E216" s="8"/>
      <c r="S216" s="8"/>
      <c r="T216" s="8"/>
    </row>
    <row r="217" spans="5:20">
      <c r="E217" s="8"/>
      <c r="S217" s="8"/>
      <c r="T217" s="8"/>
    </row>
    <row r="218" spans="5:20">
      <c r="E218" s="8"/>
      <c r="S218" s="8"/>
      <c r="T218" s="8"/>
    </row>
    <row r="219" spans="5:20">
      <c r="E219" s="8"/>
      <c r="S219" s="8"/>
      <c r="T219" s="8"/>
    </row>
    <row r="220" spans="5:20">
      <c r="E220" s="8"/>
      <c r="S220" s="8"/>
      <c r="T220" s="8"/>
    </row>
    <row r="221" spans="5:20">
      <c r="E221" s="8"/>
      <c r="S221" s="8"/>
      <c r="T221" s="8"/>
    </row>
    <row r="222" spans="5:20">
      <c r="E222" s="8"/>
      <c r="S222" s="8"/>
      <c r="T222" s="8"/>
    </row>
    <row r="223" spans="5:20">
      <c r="E223" s="8"/>
      <c r="S223" s="8"/>
      <c r="T223" s="8"/>
    </row>
    <row r="224" spans="5:20">
      <c r="E224" s="8"/>
      <c r="S224" s="8"/>
      <c r="T224" s="8"/>
    </row>
    <row r="225" spans="5:20">
      <c r="E225" s="8"/>
      <c r="S225" s="8"/>
      <c r="T225" s="8"/>
    </row>
    <row r="226" spans="5:20">
      <c r="E226" s="8"/>
      <c r="S226" s="8"/>
      <c r="T226" s="8"/>
    </row>
    <row r="227" spans="5:20">
      <c r="E227" s="8"/>
      <c r="S227" s="8"/>
      <c r="T227" s="8"/>
    </row>
    <row r="228" spans="5:20">
      <c r="E228" s="8"/>
      <c r="S228" s="8"/>
      <c r="T228" s="8"/>
    </row>
    <row r="229" spans="5:20">
      <c r="E229" s="8"/>
      <c r="S229" s="8"/>
      <c r="T229" s="8"/>
    </row>
    <row r="230" spans="5:20">
      <c r="E230" s="8"/>
      <c r="S230" s="8"/>
      <c r="T230" s="8"/>
    </row>
    <row r="231" spans="5:20">
      <c r="E231" s="8"/>
      <c r="S231" s="8"/>
      <c r="T231" s="8"/>
    </row>
    <row r="232" spans="5:20">
      <c r="E232" s="8"/>
      <c r="S232" s="8"/>
      <c r="T232" s="8"/>
    </row>
    <row r="233" spans="5:20">
      <c r="E233" s="8"/>
      <c r="S233" s="8"/>
      <c r="T233" s="8"/>
    </row>
    <row r="234" spans="5:20">
      <c r="E234" s="8"/>
      <c r="S234" s="8"/>
      <c r="T234" s="8"/>
    </row>
    <row r="235" spans="5:20">
      <c r="E235" s="8"/>
      <c r="S235" s="8"/>
      <c r="T235" s="8"/>
    </row>
    <row r="236" spans="5:20">
      <c r="E236" s="8"/>
      <c r="S236" s="8"/>
      <c r="T236" s="8"/>
    </row>
    <row r="237" spans="5:20">
      <c r="E237" s="8"/>
      <c r="S237" s="8"/>
      <c r="T237" s="8"/>
    </row>
    <row r="238" spans="5:20">
      <c r="E238" s="8"/>
      <c r="S238" s="8"/>
      <c r="T238" s="8"/>
    </row>
    <row r="239" spans="5:20">
      <c r="E239" s="8"/>
      <c r="S239" s="8"/>
      <c r="T239" s="8"/>
    </row>
    <row r="240" spans="5:20">
      <c r="E240" s="8"/>
      <c r="S240" s="8"/>
      <c r="T240" s="8"/>
    </row>
    <row r="241" spans="5:20">
      <c r="E241" s="8"/>
      <c r="S241" s="8"/>
      <c r="T241" s="8"/>
    </row>
    <row r="242" spans="5:20">
      <c r="E242" s="8"/>
      <c r="S242" s="8"/>
      <c r="T242" s="8"/>
    </row>
    <row r="243" spans="5:20">
      <c r="E243" s="8"/>
      <c r="S243" s="8"/>
      <c r="T243" s="8"/>
    </row>
    <row r="244" spans="5:20">
      <c r="E244" s="8"/>
      <c r="S244" s="8"/>
      <c r="T244" s="8"/>
    </row>
    <row r="245" spans="5:20">
      <c r="E245" s="8"/>
      <c r="S245" s="8"/>
      <c r="T245" s="8"/>
    </row>
    <row r="246" spans="5:20">
      <c r="E246" s="8"/>
      <c r="S246" s="8"/>
      <c r="T246" s="8"/>
    </row>
    <row r="247" spans="5:20">
      <c r="E247" s="8"/>
      <c r="S247" s="8"/>
      <c r="T247" s="8"/>
    </row>
    <row r="248" spans="5:20">
      <c r="E248" s="8"/>
      <c r="S248" s="8"/>
      <c r="T248" s="8"/>
    </row>
    <row r="249" spans="5:20">
      <c r="E249" s="8"/>
      <c r="S249" s="8"/>
      <c r="T249" s="8"/>
    </row>
    <row r="250" spans="5:20">
      <c r="E250" s="8"/>
      <c r="S250" s="8"/>
      <c r="T250" s="8"/>
    </row>
    <row r="251" spans="5:20">
      <c r="E251" s="8"/>
      <c r="S251" s="8"/>
      <c r="T251" s="8"/>
    </row>
    <row r="252" spans="5:20">
      <c r="E252" s="8"/>
      <c r="S252" s="8"/>
      <c r="T252" s="8"/>
    </row>
    <row r="253" spans="5:20">
      <c r="E253" s="8"/>
      <c r="S253" s="8"/>
      <c r="T253" s="8"/>
    </row>
    <row r="254" spans="5:20">
      <c r="E254" s="8"/>
      <c r="S254" s="8"/>
      <c r="T254" s="8"/>
    </row>
    <row r="255" spans="5:20">
      <c r="E255" s="8"/>
      <c r="S255" s="8"/>
      <c r="T255" s="8"/>
    </row>
    <row r="256" spans="5:20">
      <c r="E256" s="8"/>
      <c r="S256" s="8"/>
      <c r="T256" s="8"/>
    </row>
    <row r="257" spans="5:20">
      <c r="E257" s="8"/>
      <c r="S257" s="8"/>
      <c r="T257" s="8"/>
    </row>
    <row r="258" spans="5:20">
      <c r="E258" s="8"/>
      <c r="S258" s="8"/>
      <c r="T258" s="8"/>
    </row>
    <row r="259" spans="5:20">
      <c r="E259" s="8"/>
      <c r="S259" s="8"/>
      <c r="T259" s="8"/>
    </row>
    <row r="260" spans="5:20">
      <c r="E260" s="8"/>
      <c r="S260" s="8"/>
      <c r="T260" s="8"/>
    </row>
    <row r="261" spans="5:20">
      <c r="E261" s="8"/>
      <c r="S261" s="8"/>
      <c r="T261" s="8"/>
    </row>
    <row r="262" spans="5:20">
      <c r="E262" s="8"/>
      <c r="S262" s="8"/>
      <c r="T262" s="8"/>
    </row>
    <row r="263" spans="5:20">
      <c r="E263" s="8"/>
      <c r="S263" s="8"/>
      <c r="T263" s="8"/>
    </row>
    <row r="264" spans="5:20">
      <c r="E264" s="8"/>
      <c r="S264" s="8"/>
      <c r="T264" s="8"/>
    </row>
    <row r="265" spans="5:20">
      <c r="E265" s="8"/>
      <c r="S265" s="8"/>
      <c r="T265" s="8"/>
    </row>
    <row r="266" spans="5:20">
      <c r="E266" s="8"/>
      <c r="S266" s="8"/>
      <c r="T266" s="8"/>
    </row>
    <row r="267" spans="5:20">
      <c r="E267" s="8"/>
      <c r="S267" s="8"/>
      <c r="T267" s="8"/>
    </row>
    <row r="268" spans="5:20">
      <c r="E268" s="8"/>
      <c r="S268" s="8"/>
      <c r="T268" s="8"/>
    </row>
    <row r="269" spans="5:20">
      <c r="E269" s="8"/>
      <c r="S269" s="8"/>
      <c r="T269" s="8"/>
    </row>
    <row r="270" spans="5:20">
      <c r="E270" s="8"/>
      <c r="S270" s="8"/>
      <c r="T270" s="8"/>
    </row>
    <row r="271" spans="5:20">
      <c r="E271" s="8"/>
      <c r="S271" s="8"/>
      <c r="T271" s="8"/>
    </row>
    <row r="272" spans="5:20">
      <c r="E272" s="8"/>
      <c r="S272" s="8"/>
      <c r="T272" s="8"/>
    </row>
    <row r="273" spans="5:20">
      <c r="E273" s="8"/>
      <c r="S273" s="8"/>
      <c r="T273" s="8"/>
    </row>
    <row r="274" spans="5:20">
      <c r="E274" s="8"/>
      <c r="S274" s="8"/>
      <c r="T274" s="8"/>
    </row>
    <row r="275" spans="5:20">
      <c r="E275" s="8"/>
      <c r="S275" s="8"/>
      <c r="T275" s="8"/>
    </row>
    <row r="276" spans="5:20">
      <c r="E276" s="8"/>
      <c r="S276" s="8"/>
      <c r="T276" s="8"/>
    </row>
    <row r="277" spans="5:20">
      <c r="E277" s="8"/>
      <c r="S277" s="8"/>
      <c r="T277" s="8"/>
    </row>
    <row r="278" spans="5:20">
      <c r="E278" s="8"/>
      <c r="S278" s="8"/>
      <c r="T278" s="8"/>
    </row>
    <row r="279" spans="5:20">
      <c r="E279" s="8"/>
      <c r="S279" s="8"/>
      <c r="T279" s="8"/>
    </row>
    <row r="280" spans="5:20">
      <c r="E280" s="8"/>
      <c r="S280" s="8"/>
      <c r="T280" s="8"/>
    </row>
    <row r="281" spans="5:20">
      <c r="E281" s="8"/>
      <c r="S281" s="8"/>
      <c r="T281" s="8"/>
    </row>
    <row r="282" spans="5:20">
      <c r="E282" s="8"/>
      <c r="S282" s="8"/>
      <c r="T282" s="8"/>
    </row>
    <row r="283" spans="5:20">
      <c r="E283" s="8"/>
      <c r="S283" s="8"/>
      <c r="T283" s="8"/>
    </row>
    <row r="284" spans="5:20">
      <c r="E284" s="8"/>
      <c r="S284" s="8"/>
      <c r="T284" s="8"/>
    </row>
    <row r="285" spans="5:20">
      <c r="E285" s="8"/>
      <c r="S285" s="8"/>
      <c r="T285" s="8"/>
    </row>
    <row r="286" spans="5:20">
      <c r="E286" s="8"/>
      <c r="S286" s="8"/>
      <c r="T286" s="8"/>
    </row>
    <row r="287" spans="5:20">
      <c r="E287" s="8"/>
      <c r="S287" s="8"/>
      <c r="T287" s="8"/>
    </row>
    <row r="288" spans="5:20">
      <c r="E288" s="8"/>
      <c r="S288" s="8"/>
      <c r="T288" s="8"/>
    </row>
    <row r="289" spans="5:20">
      <c r="E289" s="8"/>
      <c r="S289" s="8"/>
      <c r="T289" s="8"/>
    </row>
    <row r="290" spans="5:20">
      <c r="E290" s="8"/>
      <c r="S290" s="8"/>
      <c r="T290" s="8"/>
    </row>
    <row r="291" spans="5:20">
      <c r="E291" s="8"/>
      <c r="S291" s="8"/>
      <c r="T291" s="8"/>
    </row>
    <row r="292" spans="5:20">
      <c r="E292" s="8"/>
      <c r="S292" s="8"/>
      <c r="T292" s="8"/>
    </row>
    <row r="293" spans="5:20">
      <c r="E293" s="8"/>
      <c r="S293" s="8"/>
      <c r="T293" s="8"/>
    </row>
    <row r="294" spans="5:20">
      <c r="E294" s="8"/>
      <c r="S294" s="8"/>
      <c r="T294" s="8"/>
    </row>
    <row r="295" spans="5:20">
      <c r="E295" s="8"/>
      <c r="S295" s="8"/>
      <c r="T295" s="8"/>
    </row>
    <row r="296" spans="5:20">
      <c r="E296" s="8"/>
      <c r="S296" s="8"/>
      <c r="T296" s="8"/>
    </row>
    <row r="297" spans="5:20">
      <c r="E297" s="8"/>
      <c r="S297" s="8"/>
      <c r="T297" s="8"/>
    </row>
    <row r="298" spans="5:20">
      <c r="E298" s="8"/>
      <c r="S298" s="8"/>
      <c r="T298" s="8"/>
    </row>
    <row r="299" spans="5:20">
      <c r="E299" s="8"/>
      <c r="S299" s="8"/>
      <c r="T299" s="8"/>
    </row>
    <row r="300" spans="5:20">
      <c r="E300" s="8"/>
      <c r="S300" s="8"/>
      <c r="T300" s="8"/>
    </row>
    <row r="301" spans="5:20">
      <c r="E301" s="8"/>
      <c r="S301" s="8"/>
      <c r="T301" s="8"/>
    </row>
    <row r="302" spans="5:20">
      <c r="E302" s="8"/>
      <c r="S302" s="8"/>
      <c r="T302" s="8"/>
    </row>
    <row r="303" spans="5:20">
      <c r="E303" s="8"/>
      <c r="S303" s="8"/>
      <c r="T303" s="8"/>
    </row>
    <row r="304" spans="5:20">
      <c r="E304" s="8"/>
      <c r="S304" s="8"/>
      <c r="T304" s="8"/>
    </row>
    <row r="305" spans="5:20">
      <c r="E305" s="8"/>
      <c r="S305" s="8"/>
      <c r="T305" s="8"/>
    </row>
    <row r="306" spans="5:20">
      <c r="E306" s="8"/>
      <c r="S306" s="8"/>
      <c r="T306" s="8"/>
    </row>
    <row r="307" spans="5:20">
      <c r="E307" s="8"/>
      <c r="S307" s="8"/>
      <c r="T307" s="8"/>
    </row>
    <row r="308" spans="5:20">
      <c r="E308" s="8"/>
      <c r="S308" s="8"/>
      <c r="T308" s="8"/>
    </row>
    <row r="309" spans="5:20">
      <c r="E309" s="8"/>
      <c r="S309" s="8"/>
      <c r="T309" s="8"/>
    </row>
    <row r="310" spans="5:20">
      <c r="E310" s="8"/>
      <c r="S310" s="8"/>
      <c r="T310" s="8"/>
    </row>
    <row r="311" spans="5:20">
      <c r="E311" s="8"/>
      <c r="S311" s="8"/>
      <c r="T311" s="8"/>
    </row>
    <row r="312" spans="5:20">
      <c r="E312" s="8"/>
      <c r="S312" s="8"/>
      <c r="T312" s="8"/>
    </row>
    <row r="313" spans="5:20">
      <c r="E313" s="8"/>
      <c r="S313" s="8"/>
      <c r="T313" s="8"/>
    </row>
    <row r="314" spans="5:20">
      <c r="E314" s="8"/>
      <c r="S314" s="8"/>
      <c r="T314" s="8"/>
    </row>
    <row r="315" spans="5:20">
      <c r="E315" s="8"/>
      <c r="S315" s="8"/>
      <c r="T315" s="8"/>
    </row>
    <row r="316" spans="5:20">
      <c r="E316" s="8"/>
      <c r="S316" s="8"/>
      <c r="T316" s="8"/>
    </row>
    <row r="317" spans="5:20">
      <c r="E317" s="8"/>
      <c r="S317" s="8"/>
      <c r="T317" s="8"/>
    </row>
    <row r="318" spans="5:20">
      <c r="E318" s="8"/>
      <c r="S318" s="8"/>
      <c r="T318" s="8"/>
    </row>
    <row r="319" spans="5:20">
      <c r="E319" s="8"/>
      <c r="S319" s="8"/>
      <c r="T319" s="8"/>
    </row>
    <row r="320" spans="5:20">
      <c r="E320" s="8"/>
      <c r="S320" s="8"/>
      <c r="T320" s="8"/>
    </row>
    <row r="321" spans="5:20">
      <c r="E321" s="8"/>
      <c r="S321" s="8"/>
      <c r="T321" s="8"/>
    </row>
    <row r="322" spans="5:20">
      <c r="E322" s="8"/>
      <c r="S322" s="8"/>
      <c r="T322" s="8"/>
    </row>
    <row r="323" spans="5:20">
      <c r="E323" s="8"/>
      <c r="S323" s="8"/>
      <c r="T323" s="8"/>
    </row>
    <row r="324" spans="5:20">
      <c r="E324" s="8"/>
      <c r="S324" s="8"/>
      <c r="T324" s="8"/>
    </row>
    <row r="325" spans="5:20">
      <c r="E325" s="8"/>
      <c r="S325" s="8"/>
      <c r="T325" s="8"/>
    </row>
    <row r="326" spans="5:20">
      <c r="E326" s="8"/>
      <c r="S326" s="8"/>
      <c r="T326" s="8"/>
    </row>
    <row r="327" spans="5:20">
      <c r="E327" s="8"/>
      <c r="S327" s="8"/>
      <c r="T327" s="8"/>
    </row>
    <row r="328" spans="5:20">
      <c r="E328" s="8"/>
      <c r="S328" s="8"/>
      <c r="T328" s="8"/>
    </row>
    <row r="329" spans="5:20">
      <c r="E329" s="8"/>
      <c r="S329" s="8"/>
      <c r="T329" s="8"/>
    </row>
    <row r="330" spans="5:20">
      <c r="E330" s="8"/>
      <c r="S330" s="8"/>
      <c r="T330" s="8"/>
    </row>
    <row r="331" spans="5:20">
      <c r="E331" s="8"/>
      <c r="S331" s="8"/>
      <c r="T331" s="8"/>
    </row>
    <row r="332" spans="5:20">
      <c r="E332" s="8"/>
      <c r="S332" s="8"/>
      <c r="T332" s="8"/>
    </row>
    <row r="333" spans="5:20">
      <c r="E333" s="8"/>
      <c r="S333" s="8"/>
      <c r="T333" s="8"/>
    </row>
    <row r="334" spans="5:20">
      <c r="E334" s="8"/>
      <c r="S334" s="8"/>
      <c r="T334" s="8"/>
    </row>
    <row r="335" spans="5:20">
      <c r="E335" s="8"/>
      <c r="S335" s="8"/>
      <c r="T335" s="8"/>
    </row>
    <row r="336" spans="5:20">
      <c r="E336" s="8"/>
      <c r="S336" s="8"/>
      <c r="T336" s="8"/>
    </row>
    <row r="337" spans="5:20">
      <c r="E337" s="8"/>
      <c r="S337" s="8"/>
      <c r="T337" s="8"/>
    </row>
    <row r="338" spans="5:20">
      <c r="E338" s="8"/>
      <c r="S338" s="8"/>
      <c r="T338" s="8"/>
    </row>
    <row r="339" spans="5:20">
      <c r="E339" s="8"/>
      <c r="S339" s="8"/>
      <c r="T339" s="8"/>
    </row>
    <row r="340" spans="5:20">
      <c r="E340" s="8"/>
      <c r="S340" s="8"/>
      <c r="T340" s="8"/>
    </row>
    <row r="341" spans="5:20">
      <c r="E341" s="8"/>
      <c r="S341" s="8"/>
      <c r="T341" s="8"/>
    </row>
    <row r="342" spans="5:20">
      <c r="E342" s="8"/>
      <c r="S342" s="8"/>
      <c r="T342" s="8"/>
    </row>
    <row r="343" spans="5:20">
      <c r="E343" s="8"/>
      <c r="S343" s="8"/>
      <c r="T343" s="8"/>
    </row>
    <row r="344" spans="5:20">
      <c r="E344" s="8"/>
      <c r="S344" s="8"/>
      <c r="T344" s="8"/>
    </row>
    <row r="345" spans="5:20">
      <c r="E345" s="8"/>
      <c r="S345" s="8"/>
      <c r="T345" s="8"/>
    </row>
    <row r="346" spans="5:20">
      <c r="E346" s="8"/>
      <c r="S346" s="8"/>
      <c r="T346" s="8"/>
    </row>
    <row r="347" spans="5:20">
      <c r="E347" s="8"/>
      <c r="S347" s="8"/>
      <c r="T347" s="8"/>
    </row>
    <row r="348" spans="5:20">
      <c r="E348" s="8"/>
      <c r="S348" s="8"/>
      <c r="T348" s="8"/>
    </row>
    <row r="349" spans="5:20">
      <c r="E349" s="8"/>
      <c r="S349" s="8"/>
      <c r="T349" s="8"/>
    </row>
    <row r="350" spans="5:20">
      <c r="E350" s="8"/>
      <c r="S350" s="8"/>
      <c r="T350" s="8"/>
    </row>
    <row r="351" spans="5:20">
      <c r="E351" s="8"/>
      <c r="S351" s="8"/>
      <c r="T351" s="8"/>
    </row>
    <row r="352" spans="5:20">
      <c r="E352" s="8"/>
      <c r="S352" s="8"/>
      <c r="T352" s="8"/>
    </row>
    <row r="353" spans="5:20">
      <c r="E353" s="8"/>
      <c r="S353" s="8"/>
      <c r="T353" s="8"/>
    </row>
    <row r="354" spans="5:20">
      <c r="E354" s="8"/>
      <c r="S354" s="8"/>
      <c r="T354" s="8"/>
    </row>
    <row r="355" spans="5:20">
      <c r="E355" s="8"/>
      <c r="S355" s="8"/>
      <c r="T355" s="8"/>
    </row>
    <row r="356" spans="5:20">
      <c r="E356" s="8"/>
      <c r="S356" s="8"/>
      <c r="T356" s="8"/>
    </row>
    <row r="357" spans="5:20">
      <c r="E357" s="8"/>
      <c r="S357" s="8"/>
      <c r="T357" s="8"/>
    </row>
    <row r="358" spans="5:20">
      <c r="E358" s="8"/>
      <c r="S358" s="8"/>
      <c r="T358" s="8"/>
    </row>
    <row r="359" spans="5:20">
      <c r="E359" s="8"/>
      <c r="S359" s="8"/>
      <c r="T359" s="8"/>
    </row>
    <row r="360" spans="5:20">
      <c r="E360" s="8"/>
      <c r="S360" s="8"/>
      <c r="T360" s="8"/>
    </row>
    <row r="361" spans="5:20">
      <c r="E361" s="8"/>
      <c r="S361" s="8"/>
      <c r="T361" s="8"/>
    </row>
    <row r="362" spans="5:20">
      <c r="E362" s="8"/>
      <c r="S362" s="8"/>
      <c r="T362" s="8"/>
    </row>
    <row r="363" spans="5:20">
      <c r="E363" s="8"/>
      <c r="S363" s="8"/>
      <c r="T363" s="8"/>
    </row>
    <row r="364" spans="5:20">
      <c r="E364" s="8"/>
      <c r="S364" s="8"/>
      <c r="T364" s="8"/>
    </row>
    <row r="365" spans="5:20">
      <c r="E365" s="8"/>
      <c r="S365" s="8"/>
      <c r="T365" s="8"/>
    </row>
    <row r="366" spans="5:20">
      <c r="E366" s="8"/>
      <c r="S366" s="8"/>
      <c r="T366" s="8"/>
    </row>
    <row r="367" spans="5:20">
      <c r="E367" s="8"/>
      <c r="S367" s="8"/>
      <c r="T367" s="8"/>
    </row>
    <row r="368" spans="5:20">
      <c r="E368" s="8"/>
      <c r="S368" s="8"/>
      <c r="T368" s="8"/>
    </row>
    <row r="369" spans="5:20">
      <c r="E369" s="8"/>
      <c r="S369" s="8"/>
      <c r="T369" s="8"/>
    </row>
    <row r="370" spans="5:20">
      <c r="E370" s="8"/>
      <c r="S370" s="8"/>
      <c r="T370" s="8"/>
    </row>
    <row r="371" spans="5:20">
      <c r="E371" s="8"/>
      <c r="S371" s="8"/>
      <c r="T371" s="8"/>
    </row>
    <row r="372" spans="5:20">
      <c r="E372" s="8"/>
      <c r="S372" s="8"/>
      <c r="T372" s="8"/>
    </row>
    <row r="373" spans="5:20">
      <c r="E373" s="8"/>
      <c r="S373" s="8"/>
      <c r="T373" s="8"/>
    </row>
    <row r="374" spans="5:20">
      <c r="E374" s="8"/>
      <c r="S374" s="8"/>
      <c r="T374" s="8"/>
    </row>
    <row r="375" spans="5:20">
      <c r="E375" s="8"/>
      <c r="S375" s="8"/>
      <c r="T375" s="8"/>
    </row>
    <row r="376" spans="5:20">
      <c r="E376" s="8"/>
      <c r="S376" s="8"/>
      <c r="T376" s="8"/>
    </row>
    <row r="377" spans="5:20">
      <c r="E377" s="8"/>
      <c r="S377" s="8"/>
      <c r="T377" s="8"/>
    </row>
    <row r="378" spans="5:20">
      <c r="E378" s="8"/>
      <c r="S378" s="8"/>
      <c r="T378" s="8"/>
    </row>
    <row r="379" spans="5:20">
      <c r="E379" s="8"/>
      <c r="S379" s="8"/>
      <c r="T379" s="8"/>
    </row>
    <row r="380" spans="5:20">
      <c r="E380" s="8"/>
      <c r="S380" s="8"/>
      <c r="T380" s="8"/>
    </row>
    <row r="381" spans="5:20">
      <c r="E381" s="8"/>
      <c r="S381" s="8"/>
      <c r="T381" s="8"/>
    </row>
    <row r="382" spans="5:20">
      <c r="E382" s="8"/>
      <c r="S382" s="8"/>
      <c r="T382" s="8"/>
    </row>
    <row r="383" spans="5:20">
      <c r="E383" s="8"/>
      <c r="S383" s="8"/>
      <c r="T383" s="8"/>
    </row>
    <row r="384" spans="5:20">
      <c r="E384" s="8"/>
      <c r="S384" s="8"/>
      <c r="T384" s="8"/>
    </row>
    <row r="385" spans="5:20">
      <c r="E385" s="8"/>
      <c r="S385" s="8"/>
      <c r="T385" s="8"/>
    </row>
    <row r="386" spans="5:20">
      <c r="E386" s="8"/>
      <c r="S386" s="8"/>
      <c r="T386" s="8"/>
    </row>
    <row r="387" spans="5:20">
      <c r="E387" s="8"/>
      <c r="S387" s="8"/>
      <c r="T387" s="8"/>
    </row>
    <row r="388" spans="5:20">
      <c r="E388" s="8"/>
      <c r="S388" s="8"/>
      <c r="T388" s="8"/>
    </row>
    <row r="389" spans="5:20">
      <c r="E389" s="8"/>
      <c r="S389" s="8"/>
      <c r="T389" s="8"/>
    </row>
    <row r="390" spans="5:20">
      <c r="E390" s="8"/>
      <c r="S390" s="8"/>
      <c r="T390" s="8"/>
    </row>
    <row r="391" spans="5:20">
      <c r="E391" s="8"/>
      <c r="S391" s="8"/>
      <c r="T391" s="8"/>
    </row>
    <row r="392" spans="5:20">
      <c r="E392" s="8"/>
      <c r="S392" s="8"/>
      <c r="T392" s="8"/>
    </row>
    <row r="393" spans="5:20">
      <c r="E393" s="8"/>
      <c r="S393" s="8"/>
      <c r="T393" s="8"/>
    </row>
    <row r="394" spans="5:20">
      <c r="E394" s="8"/>
      <c r="S394" s="8"/>
      <c r="T394" s="8"/>
    </row>
    <row r="395" spans="5:20">
      <c r="E395" s="8"/>
      <c r="S395" s="8"/>
      <c r="T395" s="8"/>
    </row>
    <row r="396" spans="5:20">
      <c r="E396" s="8"/>
      <c r="S396" s="8"/>
      <c r="T396" s="8"/>
    </row>
    <row r="397" spans="5:20">
      <c r="E397" s="8"/>
      <c r="S397" s="8"/>
      <c r="T397" s="8"/>
    </row>
    <row r="398" spans="5:20">
      <c r="E398" s="8"/>
      <c r="S398" s="8"/>
      <c r="T398" s="8"/>
    </row>
    <row r="399" spans="5:20">
      <c r="E399" s="8"/>
      <c r="S399" s="8"/>
      <c r="T399" s="8"/>
    </row>
    <row r="400" spans="5:20">
      <c r="E400" s="8"/>
      <c r="S400" s="8"/>
      <c r="T400" s="8"/>
    </row>
    <row r="401" spans="5:20">
      <c r="E401" s="8"/>
      <c r="S401" s="8"/>
      <c r="T401" s="8"/>
    </row>
    <row r="402" spans="5:20">
      <c r="E402" s="8"/>
      <c r="S402" s="8"/>
      <c r="T402" s="8"/>
    </row>
    <row r="403" spans="5:20">
      <c r="E403" s="8"/>
      <c r="S403" s="8"/>
      <c r="T403" s="8"/>
    </row>
    <row r="404" spans="5:20">
      <c r="E404" s="8"/>
      <c r="S404" s="8"/>
      <c r="T404" s="8"/>
    </row>
    <row r="405" spans="5:20">
      <c r="E405" s="8"/>
      <c r="S405" s="8"/>
      <c r="T405" s="8"/>
    </row>
    <row r="406" spans="5:20">
      <c r="E406" s="8"/>
      <c r="S406" s="8"/>
      <c r="T406" s="8"/>
    </row>
    <row r="407" spans="5:20">
      <c r="E407" s="8"/>
      <c r="S407" s="8"/>
      <c r="T407" s="8"/>
    </row>
    <row r="408" spans="5:20">
      <c r="E408" s="8"/>
      <c r="S408" s="8"/>
      <c r="T408" s="8"/>
    </row>
    <row r="409" spans="5:20">
      <c r="E409" s="8"/>
      <c r="S409" s="8"/>
      <c r="T409" s="8"/>
    </row>
    <row r="410" spans="5:20">
      <c r="E410" s="8"/>
      <c r="S410" s="8"/>
      <c r="T410" s="8"/>
    </row>
    <row r="411" spans="5:20">
      <c r="E411" s="8"/>
      <c r="S411" s="8"/>
      <c r="T411" s="8"/>
    </row>
    <row r="412" spans="5:20">
      <c r="E412" s="8"/>
      <c r="S412" s="8"/>
      <c r="T412" s="8"/>
    </row>
    <row r="413" spans="5:20">
      <c r="E413" s="8"/>
      <c r="S413" s="8"/>
      <c r="T413" s="8"/>
    </row>
    <row r="414" spans="5:20">
      <c r="E414" s="8"/>
      <c r="S414" s="8"/>
      <c r="T414" s="8"/>
    </row>
    <row r="415" spans="5:20">
      <c r="E415" s="8"/>
      <c r="S415" s="8"/>
      <c r="T415" s="8"/>
    </row>
    <row r="416" spans="5:20">
      <c r="E416" s="8"/>
      <c r="S416" s="8"/>
      <c r="T416" s="8"/>
    </row>
    <row r="417" spans="5:20">
      <c r="E417" s="8"/>
      <c r="S417" s="8"/>
      <c r="T417" s="8"/>
    </row>
    <row r="418" spans="5:20">
      <c r="E418" s="8"/>
      <c r="S418" s="8"/>
      <c r="T418" s="8"/>
    </row>
    <row r="419" spans="5:20">
      <c r="E419" s="8"/>
      <c r="S419" s="8"/>
      <c r="T419" s="8"/>
    </row>
    <row r="420" spans="5:20">
      <c r="E420" s="8"/>
      <c r="S420" s="8"/>
      <c r="T420" s="8"/>
    </row>
    <row r="421" spans="5:20">
      <c r="E421" s="8"/>
      <c r="S421" s="8"/>
      <c r="T421" s="8"/>
    </row>
    <row r="422" spans="5:20">
      <c r="E422" s="8"/>
      <c r="S422" s="8"/>
      <c r="T422" s="8"/>
    </row>
    <row r="423" spans="5:20">
      <c r="E423" s="8"/>
      <c r="S423" s="8"/>
      <c r="T423" s="8"/>
    </row>
    <row r="424" spans="5:20">
      <c r="E424" s="8"/>
      <c r="S424" s="8"/>
      <c r="T424" s="8"/>
    </row>
    <row r="425" spans="5:20">
      <c r="E425" s="8"/>
      <c r="S425" s="8"/>
      <c r="T425" s="8"/>
    </row>
    <row r="426" spans="5:20">
      <c r="E426" s="8"/>
      <c r="S426" s="8"/>
      <c r="T426" s="8"/>
    </row>
    <row r="427" spans="5:20">
      <c r="E427" s="8"/>
      <c r="S427" s="8"/>
      <c r="T427" s="8"/>
    </row>
    <row r="428" spans="5:20">
      <c r="E428" s="8"/>
      <c r="S428" s="8"/>
      <c r="T428" s="8"/>
    </row>
    <row r="429" spans="5:20">
      <c r="E429" s="8"/>
      <c r="S429" s="8"/>
      <c r="T429" s="8"/>
    </row>
    <row r="430" spans="5:20">
      <c r="E430" s="8"/>
      <c r="S430" s="8"/>
      <c r="T430" s="8"/>
    </row>
    <row r="431" spans="5:20">
      <c r="E431" s="8"/>
      <c r="S431" s="8"/>
      <c r="T431" s="8"/>
    </row>
    <row r="432" spans="5:20">
      <c r="E432" s="8"/>
      <c r="S432" s="8"/>
      <c r="T432" s="8"/>
    </row>
    <row r="433" spans="5:20">
      <c r="E433" s="8"/>
      <c r="S433" s="8"/>
      <c r="T433" s="8"/>
    </row>
    <row r="434" spans="5:20">
      <c r="E434" s="8"/>
      <c r="S434" s="8"/>
      <c r="T434" s="8"/>
    </row>
    <row r="435" spans="5:20">
      <c r="E435" s="8"/>
      <c r="S435" s="8"/>
      <c r="T435" s="8"/>
    </row>
    <row r="436" spans="5:20">
      <c r="E436" s="8"/>
      <c r="S436" s="8"/>
      <c r="T436" s="8"/>
    </row>
    <row r="437" spans="5:20">
      <c r="E437" s="8"/>
      <c r="S437" s="8"/>
      <c r="T437" s="8"/>
    </row>
    <row r="438" spans="5:20">
      <c r="E438" s="8"/>
      <c r="S438" s="8"/>
      <c r="T438" s="8"/>
    </row>
    <row r="439" spans="5:20">
      <c r="E439" s="8"/>
      <c r="S439" s="8"/>
      <c r="T439" s="8"/>
    </row>
    <row r="440" spans="5:20">
      <c r="E440" s="8"/>
      <c r="S440" s="8"/>
      <c r="T440" s="8"/>
    </row>
    <row r="441" spans="5:20">
      <c r="E441" s="8"/>
      <c r="S441" s="8"/>
      <c r="T441" s="8"/>
    </row>
    <row r="442" spans="5:20">
      <c r="E442" s="8"/>
      <c r="S442" s="8"/>
      <c r="T442" s="8"/>
    </row>
    <row r="443" spans="5:20">
      <c r="E443" s="8"/>
      <c r="S443" s="8"/>
      <c r="T443" s="8"/>
    </row>
    <row r="444" spans="5:20">
      <c r="E444" s="8"/>
      <c r="S444" s="8"/>
      <c r="T444" s="8"/>
    </row>
    <row r="445" spans="5:20">
      <c r="E445" s="8"/>
      <c r="S445" s="8"/>
      <c r="T445" s="8"/>
    </row>
    <row r="446" spans="5:20">
      <c r="E446" s="8"/>
      <c r="S446" s="8"/>
      <c r="T446" s="8"/>
    </row>
    <row r="447" spans="5:20">
      <c r="E447" s="8"/>
      <c r="S447" s="8"/>
      <c r="T447" s="8"/>
    </row>
    <row r="448" spans="5:20">
      <c r="E448" s="8"/>
      <c r="S448" s="8"/>
      <c r="T448" s="8"/>
    </row>
    <row r="449" spans="5:20">
      <c r="E449" s="8"/>
      <c r="S449" s="8"/>
      <c r="T449" s="8"/>
    </row>
    <row r="450" spans="5:20">
      <c r="E450" s="8"/>
      <c r="S450" s="8"/>
      <c r="T450" s="8"/>
    </row>
    <row r="451" spans="5:20">
      <c r="E451" s="8"/>
      <c r="S451" s="8"/>
      <c r="T451" s="8"/>
    </row>
    <row r="452" spans="5:20">
      <c r="E452" s="8"/>
      <c r="S452" s="8"/>
      <c r="T452" s="8"/>
    </row>
    <row r="453" spans="5:20">
      <c r="S453" s="8"/>
      <c r="T453" s="8"/>
    </row>
    <row r="454" spans="5:20">
      <c r="S454" s="8"/>
      <c r="T454" s="8"/>
    </row>
    <row r="455" spans="5:20">
      <c r="S455" s="8"/>
      <c r="T455" s="8"/>
    </row>
    <row r="456" spans="5:20">
      <c r="S456" s="8"/>
      <c r="T456" s="8"/>
    </row>
    <row r="457" spans="5:20">
      <c r="S457" s="8"/>
      <c r="T457" s="8"/>
    </row>
    <row r="458" spans="5:20">
      <c r="S458" s="8"/>
      <c r="T458" s="8"/>
    </row>
    <row r="459" spans="5:20">
      <c r="S459" s="8"/>
      <c r="T459" s="8"/>
    </row>
    <row r="460" spans="5:20">
      <c r="S460" s="8"/>
      <c r="T460" s="8"/>
    </row>
    <row r="461" spans="5:20">
      <c r="S461" s="8"/>
      <c r="T461" s="8"/>
    </row>
    <row r="462" spans="5:20">
      <c r="S462" s="8"/>
      <c r="T462" s="8"/>
    </row>
    <row r="463" spans="5:20">
      <c r="S463" s="8"/>
      <c r="T463" s="8"/>
    </row>
    <row r="464" spans="5:20">
      <c r="S464" s="8"/>
      <c r="T464" s="8"/>
    </row>
    <row r="465" spans="19:20">
      <c r="S465" s="8"/>
      <c r="T465" s="8"/>
    </row>
    <row r="466" spans="19:20">
      <c r="S466" s="8"/>
      <c r="T466" s="8"/>
    </row>
    <row r="467" spans="19:20">
      <c r="S467" s="8"/>
      <c r="T467" s="8"/>
    </row>
    <row r="468" spans="19:20">
      <c r="S468" s="8"/>
      <c r="T468" s="8"/>
    </row>
    <row r="469" spans="19:20">
      <c r="S469" s="8"/>
      <c r="T469" s="8"/>
    </row>
    <row r="470" spans="19:20">
      <c r="S470" s="8"/>
      <c r="T470" s="8"/>
    </row>
    <row r="471" spans="19:20">
      <c r="S471" s="8"/>
      <c r="T471" s="8"/>
    </row>
    <row r="472" spans="19:20">
      <c r="S472" s="8"/>
      <c r="T472" s="8"/>
    </row>
    <row r="473" spans="19:20">
      <c r="S473" s="8"/>
      <c r="T473" s="8"/>
    </row>
    <row r="474" spans="19:20">
      <c r="S474" s="8"/>
      <c r="T474" s="8"/>
    </row>
    <row r="475" spans="19:20">
      <c r="S475" s="8"/>
      <c r="T475" s="8"/>
    </row>
    <row r="476" spans="19:20">
      <c r="S476" s="8"/>
      <c r="T476" s="8"/>
    </row>
    <row r="477" spans="19:20">
      <c r="S477" s="8"/>
      <c r="T477" s="8"/>
    </row>
    <row r="478" spans="19:20">
      <c r="S478" s="8"/>
      <c r="T478" s="8"/>
    </row>
    <row r="479" spans="19:20">
      <c r="S479" s="8"/>
      <c r="T479" s="8"/>
    </row>
    <row r="480" spans="19:20">
      <c r="S480" s="8"/>
      <c r="T480" s="8"/>
    </row>
    <row r="481" spans="19:20">
      <c r="S481" s="8"/>
      <c r="T481" s="8"/>
    </row>
    <row r="482" spans="19:20">
      <c r="S482" s="8"/>
      <c r="T482" s="8"/>
    </row>
    <row r="483" spans="19:20">
      <c r="S483" s="8"/>
      <c r="T483" s="8"/>
    </row>
    <row r="484" spans="19:20">
      <c r="S484" s="8"/>
      <c r="T484" s="8"/>
    </row>
    <row r="485" spans="19:20">
      <c r="S485" s="8"/>
      <c r="T485" s="8"/>
    </row>
    <row r="486" spans="19:20">
      <c r="S486" s="8"/>
      <c r="T486" s="8"/>
    </row>
    <row r="487" spans="19:20">
      <c r="S487" s="8"/>
      <c r="T487" s="8"/>
    </row>
    <row r="488" spans="19:20">
      <c r="S488" s="8"/>
      <c r="T488" s="8"/>
    </row>
    <row r="489" spans="19:20">
      <c r="S489" s="8"/>
      <c r="T489" s="8"/>
    </row>
    <row r="490" spans="19:20">
      <c r="S490" s="8"/>
      <c r="T490" s="8"/>
    </row>
    <row r="491" spans="19:20">
      <c r="S491" s="8"/>
      <c r="T491" s="8"/>
    </row>
    <row r="492" spans="19:20">
      <c r="S492" s="8"/>
      <c r="T492" s="8"/>
    </row>
    <row r="493" spans="19:20">
      <c r="S493" s="8"/>
      <c r="T493" s="8"/>
    </row>
    <row r="494" spans="19:20">
      <c r="S494" s="8"/>
      <c r="T494" s="8"/>
    </row>
    <row r="495" spans="19:20">
      <c r="S495" s="8"/>
      <c r="T495" s="8"/>
    </row>
    <row r="496" spans="19:20">
      <c r="S496" s="8"/>
      <c r="T496" s="8"/>
    </row>
    <row r="497" spans="19:20">
      <c r="S497" s="8"/>
      <c r="T497" s="8"/>
    </row>
    <row r="498" spans="19:20">
      <c r="S498" s="8"/>
      <c r="T498" s="8"/>
    </row>
    <row r="499" spans="19:20">
      <c r="S499" s="8"/>
      <c r="T499" s="8"/>
    </row>
    <row r="500" spans="19:20">
      <c r="S500" s="8"/>
      <c r="T500" s="8"/>
    </row>
    <row r="501" spans="19:20">
      <c r="S501" s="8"/>
      <c r="T501" s="8"/>
    </row>
    <row r="502" spans="19:20">
      <c r="S502" s="8"/>
      <c r="T502" s="8"/>
    </row>
    <row r="503" spans="19:20">
      <c r="S503" s="8"/>
      <c r="T503" s="8"/>
    </row>
    <row r="504" spans="19:20">
      <c r="S504" s="8"/>
      <c r="T504" s="8"/>
    </row>
    <row r="505" spans="19:20">
      <c r="S505" s="8"/>
      <c r="T505" s="8"/>
    </row>
    <row r="506" spans="19:20">
      <c r="S506" s="8"/>
      <c r="T506" s="8"/>
    </row>
    <row r="507" spans="19:20">
      <c r="S507" s="8"/>
      <c r="T507" s="8"/>
    </row>
    <row r="508" spans="19:20">
      <c r="S508" s="8"/>
      <c r="T508" s="8"/>
    </row>
    <row r="509" spans="19:20">
      <c r="S509" s="8"/>
      <c r="T509" s="8"/>
    </row>
    <row r="510" spans="19:20">
      <c r="S510" s="8"/>
      <c r="T510" s="8"/>
    </row>
    <row r="511" spans="19:20">
      <c r="S511" s="8"/>
      <c r="T511" s="8"/>
    </row>
    <row r="512" spans="19:20">
      <c r="S512" s="8"/>
      <c r="T512" s="8"/>
    </row>
    <row r="513" spans="19:20">
      <c r="S513" s="8"/>
      <c r="T513" s="8"/>
    </row>
    <row r="514" spans="19:20">
      <c r="S514" s="8"/>
      <c r="T514" s="8"/>
    </row>
    <row r="515" spans="19:20">
      <c r="S515" s="8"/>
      <c r="T515" s="8"/>
    </row>
    <row r="516" spans="19:20">
      <c r="S516" s="8"/>
      <c r="T516" s="8"/>
    </row>
    <row r="517" spans="19:20">
      <c r="S517" s="8"/>
      <c r="T517" s="8"/>
    </row>
    <row r="518" spans="19:20">
      <c r="S518" s="8"/>
      <c r="T518" s="8"/>
    </row>
    <row r="519" spans="19:20">
      <c r="S519" s="8"/>
      <c r="T519" s="8"/>
    </row>
    <row r="520" spans="19:20">
      <c r="S520" s="8"/>
      <c r="T520" s="8"/>
    </row>
    <row r="521" spans="19:20">
      <c r="S521" s="8"/>
      <c r="T521" s="8"/>
    </row>
    <row r="522" spans="19:20">
      <c r="S522" s="8"/>
      <c r="T522" s="8"/>
    </row>
    <row r="523" spans="19:20">
      <c r="S523" s="8"/>
      <c r="T523" s="8"/>
    </row>
    <row r="524" spans="19:20">
      <c r="S524" s="8"/>
      <c r="T524" s="8"/>
    </row>
    <row r="525" spans="19:20">
      <c r="S525" s="8"/>
      <c r="T525" s="8"/>
    </row>
    <row r="526" spans="19:20">
      <c r="S526" s="8"/>
      <c r="T526" s="8"/>
    </row>
    <row r="527" spans="19:20">
      <c r="S527" s="8"/>
      <c r="T527" s="8"/>
    </row>
    <row r="528" spans="19:20">
      <c r="S528" s="8"/>
      <c r="T528" s="8"/>
    </row>
    <row r="529" spans="19:20">
      <c r="S529" s="8"/>
      <c r="T529" s="8"/>
    </row>
    <row r="530" spans="19:20">
      <c r="S530" s="8"/>
      <c r="T530" s="8"/>
    </row>
    <row r="531" spans="19:20">
      <c r="S531" s="8"/>
      <c r="T531" s="8"/>
    </row>
    <row r="532" spans="19:20">
      <c r="S532" s="8"/>
      <c r="T532" s="8"/>
    </row>
    <row r="533" spans="19:20">
      <c r="S533" s="8"/>
      <c r="T533" s="8"/>
    </row>
    <row r="534" spans="19:20">
      <c r="S534" s="8"/>
      <c r="T534" s="8"/>
    </row>
    <row r="535" spans="19:20">
      <c r="S535" s="8"/>
      <c r="T535" s="8"/>
    </row>
    <row r="536" spans="19:20">
      <c r="S536" s="8"/>
      <c r="T536" s="8"/>
    </row>
    <row r="537" spans="19:20">
      <c r="S537" s="8"/>
      <c r="T537" s="8"/>
    </row>
    <row r="538" spans="19:20">
      <c r="S538" s="8"/>
      <c r="T538" s="8"/>
    </row>
    <row r="539" spans="19:20">
      <c r="S539" s="8"/>
      <c r="T539" s="8"/>
    </row>
    <row r="540" spans="19:20">
      <c r="S540" s="8"/>
      <c r="T540" s="8"/>
    </row>
    <row r="541" spans="19:20">
      <c r="S541" s="8"/>
      <c r="T541" s="8"/>
    </row>
    <row r="542" spans="19:20">
      <c r="S542" s="8"/>
      <c r="T542" s="8"/>
    </row>
    <row r="543" spans="19:20">
      <c r="S543" s="8"/>
      <c r="T543" s="8"/>
    </row>
    <row r="544" spans="19:20">
      <c r="S544" s="8"/>
      <c r="T544" s="8"/>
    </row>
    <row r="545" spans="19:20">
      <c r="S545" s="8"/>
      <c r="T545" s="8"/>
    </row>
    <row r="546" spans="19:20">
      <c r="S546" s="8"/>
      <c r="T546" s="8"/>
    </row>
    <row r="547" spans="19:20">
      <c r="S547" s="8"/>
      <c r="T547" s="8"/>
    </row>
    <row r="548" spans="19:20">
      <c r="S548" s="8"/>
      <c r="T548" s="8"/>
    </row>
    <row r="549" spans="19:20">
      <c r="S549" s="8"/>
      <c r="T549" s="8"/>
    </row>
    <row r="550" spans="19:20">
      <c r="S550" s="8"/>
      <c r="T550" s="8"/>
    </row>
    <row r="551" spans="19:20">
      <c r="S551" s="8"/>
      <c r="T551" s="8"/>
    </row>
    <row r="552" spans="19:20">
      <c r="S552" s="8"/>
      <c r="T552" s="8"/>
    </row>
    <row r="553" spans="19:20">
      <c r="S553" s="8"/>
      <c r="T553" s="8"/>
    </row>
    <row r="554" spans="19:20">
      <c r="S554" s="8"/>
      <c r="T554" s="8"/>
    </row>
    <row r="555" spans="19:20">
      <c r="S555" s="8"/>
      <c r="T555" s="8"/>
    </row>
    <row r="556" spans="19:20">
      <c r="S556" s="8"/>
      <c r="T556" s="8"/>
    </row>
    <row r="557" spans="19:20">
      <c r="S557" s="8"/>
      <c r="T557" s="8"/>
    </row>
    <row r="558" spans="19:20">
      <c r="S558" s="8"/>
      <c r="T558" s="8"/>
    </row>
    <row r="559" spans="19:20">
      <c r="S559" s="8"/>
      <c r="T559" s="8"/>
    </row>
    <row r="560" spans="19:20">
      <c r="S560" s="8"/>
      <c r="T560" s="8"/>
    </row>
    <row r="561" spans="19:20">
      <c r="S561" s="8"/>
      <c r="T561" s="8"/>
    </row>
    <row r="562" spans="19:20">
      <c r="S562" s="8"/>
      <c r="T562" s="8"/>
    </row>
    <row r="563" spans="19:20">
      <c r="S563" s="8"/>
      <c r="T563" s="8"/>
    </row>
    <row r="564" spans="19:20">
      <c r="S564" s="8"/>
      <c r="T564" s="8"/>
    </row>
    <row r="565" spans="19:20">
      <c r="S565" s="8"/>
      <c r="T565" s="8"/>
    </row>
    <row r="566" spans="19:20">
      <c r="S566" s="8"/>
      <c r="T566" s="8"/>
    </row>
    <row r="567" spans="19:20">
      <c r="S567" s="8"/>
      <c r="T567" s="8"/>
    </row>
    <row r="568" spans="19:20">
      <c r="S568" s="8"/>
      <c r="T568" s="8"/>
    </row>
    <row r="569" spans="19:20">
      <c r="S569" s="8"/>
      <c r="T569" s="8"/>
    </row>
    <row r="570" spans="19:20">
      <c r="S570" s="8"/>
      <c r="T570" s="8"/>
    </row>
    <row r="571" spans="19:20">
      <c r="S571" s="8"/>
      <c r="T571" s="8"/>
    </row>
    <row r="572" spans="19:20">
      <c r="S572" s="8"/>
      <c r="T572" s="8"/>
    </row>
    <row r="573" spans="19:20">
      <c r="S573" s="8"/>
      <c r="T573" s="8"/>
    </row>
    <row r="574" spans="19:20">
      <c r="S574" s="8"/>
      <c r="T574" s="8"/>
    </row>
    <row r="575" spans="19:20">
      <c r="S575" s="8"/>
      <c r="T575" s="8"/>
    </row>
    <row r="576" spans="19:20">
      <c r="S576" s="8"/>
      <c r="T576" s="8"/>
    </row>
    <row r="577" spans="19:20">
      <c r="S577" s="8"/>
      <c r="T577" s="8"/>
    </row>
    <row r="578" spans="19:20">
      <c r="S578" s="8"/>
      <c r="T578" s="8"/>
    </row>
    <row r="579" spans="19:20">
      <c r="S579" s="8"/>
      <c r="T579" s="8"/>
    </row>
    <row r="580" spans="19:20">
      <c r="S580" s="8"/>
      <c r="T580" s="8"/>
    </row>
    <row r="581" spans="19:20">
      <c r="S581" s="8"/>
      <c r="T581" s="8"/>
    </row>
    <row r="582" spans="19:20">
      <c r="S582" s="8"/>
      <c r="T582" s="8"/>
    </row>
    <row r="583" spans="19:20">
      <c r="S583" s="8"/>
      <c r="T583" s="8"/>
    </row>
    <row r="584" spans="19:20">
      <c r="S584" s="8"/>
      <c r="T584" s="8"/>
    </row>
    <row r="585" spans="19:20">
      <c r="S585" s="8"/>
      <c r="T585" s="8"/>
    </row>
    <row r="586" spans="19:20">
      <c r="S586" s="8"/>
      <c r="T586" s="8"/>
    </row>
    <row r="587" spans="19:20">
      <c r="S587" s="8"/>
      <c r="T587" s="8"/>
    </row>
    <row r="588" spans="19:20">
      <c r="S588" s="8"/>
      <c r="T588" s="8"/>
    </row>
    <row r="589" spans="19:20">
      <c r="S589" s="8"/>
      <c r="T589" s="8"/>
    </row>
    <row r="590" spans="19:20">
      <c r="S590" s="8"/>
      <c r="T590" s="8"/>
    </row>
    <row r="591" spans="19:20">
      <c r="S591" s="8"/>
      <c r="T591" s="8"/>
    </row>
    <row r="592" spans="19:20">
      <c r="S592" s="8"/>
      <c r="T592" s="8"/>
    </row>
    <row r="593" spans="19:20">
      <c r="S593" s="8"/>
      <c r="T593" s="8"/>
    </row>
    <row r="594" spans="19:20">
      <c r="S594" s="8"/>
      <c r="T594" s="8"/>
    </row>
    <row r="595" spans="19:20">
      <c r="S595" s="8"/>
      <c r="T595" s="8"/>
    </row>
    <row r="596" spans="19:20">
      <c r="S596" s="8"/>
      <c r="T596" s="8"/>
    </row>
    <row r="597" spans="19:20">
      <c r="S597" s="8"/>
      <c r="T597" s="8"/>
    </row>
    <row r="598" spans="19:20">
      <c r="S598" s="8"/>
      <c r="T598" s="8"/>
    </row>
    <row r="599" spans="19:20">
      <c r="S599" s="8"/>
      <c r="T599" s="8"/>
    </row>
    <row r="600" spans="19:20">
      <c r="S600" s="8"/>
      <c r="T600" s="8"/>
    </row>
    <row r="601" spans="19:20">
      <c r="S601" s="8"/>
      <c r="T601" s="8"/>
    </row>
    <row r="602" spans="19:20">
      <c r="S602" s="8"/>
      <c r="T602" s="8"/>
    </row>
    <row r="603" spans="19:20">
      <c r="S603" s="8"/>
      <c r="T603" s="8"/>
    </row>
    <row r="604" spans="19:20">
      <c r="S604" s="8"/>
      <c r="T604" s="8"/>
    </row>
    <row r="605" spans="19:20">
      <c r="S605" s="8"/>
      <c r="T605" s="8"/>
    </row>
    <row r="606" spans="19:20">
      <c r="S606" s="8"/>
      <c r="T606" s="8"/>
    </row>
    <row r="607" spans="19:20">
      <c r="S607" s="8"/>
      <c r="T607" s="8"/>
    </row>
    <row r="608" spans="19:20">
      <c r="S608" s="8"/>
      <c r="T608" s="8"/>
    </row>
    <row r="609" spans="19:20">
      <c r="S609" s="8"/>
      <c r="T609" s="8"/>
    </row>
    <row r="610" spans="19:20">
      <c r="S610" s="8"/>
      <c r="T610" s="8"/>
    </row>
    <row r="611" spans="19:20">
      <c r="S611" s="8"/>
      <c r="T611" s="8"/>
    </row>
    <row r="612" spans="19:20">
      <c r="S612" s="8"/>
      <c r="T612" s="8"/>
    </row>
    <row r="613" spans="19:20">
      <c r="S613" s="8"/>
      <c r="T613" s="8"/>
    </row>
    <row r="614" spans="19:20">
      <c r="S614" s="8"/>
      <c r="T614" s="8"/>
    </row>
    <row r="615" spans="19:20">
      <c r="S615" s="8"/>
      <c r="T615" s="8"/>
    </row>
    <row r="616" spans="19:20">
      <c r="S616" s="8"/>
      <c r="T616" s="8"/>
    </row>
    <row r="617" spans="19:20">
      <c r="S617" s="8"/>
      <c r="T617" s="8"/>
    </row>
    <row r="618" spans="19:20">
      <c r="S618" s="8"/>
      <c r="T618" s="8"/>
    </row>
    <row r="619" spans="19:20">
      <c r="S619" s="8"/>
      <c r="T619" s="8"/>
    </row>
    <row r="620" spans="19:20">
      <c r="S620" s="8"/>
      <c r="T620" s="8"/>
    </row>
    <row r="621" spans="19:20">
      <c r="S621" s="8"/>
      <c r="T621" s="8"/>
    </row>
    <row r="622" spans="19:20">
      <c r="S622" s="8"/>
      <c r="T622" s="8"/>
    </row>
    <row r="623" spans="19:20">
      <c r="S623" s="8"/>
      <c r="T623" s="8"/>
    </row>
    <row r="624" spans="19:20">
      <c r="S624" s="8"/>
      <c r="T624" s="8"/>
    </row>
    <row r="625" spans="19:20">
      <c r="S625" s="8"/>
      <c r="T625" s="8"/>
    </row>
    <row r="626" spans="19:20">
      <c r="S626" s="8"/>
      <c r="T626" s="8"/>
    </row>
    <row r="627" spans="19:20">
      <c r="S627" s="8"/>
      <c r="T627" s="8"/>
    </row>
    <row r="628" spans="19:20">
      <c r="S628" s="8"/>
      <c r="T628" s="8"/>
    </row>
    <row r="629" spans="19:20">
      <c r="S629" s="8"/>
      <c r="T629" s="8"/>
    </row>
    <row r="630" spans="19:20">
      <c r="S630" s="8"/>
      <c r="T630" s="8"/>
    </row>
    <row r="631" spans="19:20">
      <c r="S631" s="8"/>
      <c r="T631" s="8"/>
    </row>
    <row r="632" spans="19:20">
      <c r="S632" s="8"/>
      <c r="T632" s="8"/>
    </row>
    <row r="633" spans="19:20">
      <c r="S633" s="8"/>
      <c r="T633" s="8"/>
    </row>
    <row r="634" spans="19:20">
      <c r="S634" s="8"/>
      <c r="T634" s="8"/>
    </row>
    <row r="635" spans="19:20">
      <c r="S635" s="8"/>
      <c r="T635" s="8"/>
    </row>
    <row r="636" spans="19:20">
      <c r="S636" s="8"/>
      <c r="T636" s="8"/>
    </row>
    <row r="637" spans="19:20">
      <c r="S637" s="8"/>
      <c r="T637" s="8"/>
    </row>
    <row r="638" spans="19:20">
      <c r="S638" s="8"/>
      <c r="T638" s="8"/>
    </row>
    <row r="639" spans="19:20">
      <c r="S639" s="8"/>
      <c r="T639" s="8"/>
    </row>
    <row r="640" spans="19:20">
      <c r="S640" s="8"/>
      <c r="T640" s="8"/>
    </row>
    <row r="641" spans="19:20">
      <c r="S641" s="8"/>
      <c r="T641" s="8"/>
    </row>
    <row r="642" spans="19:20">
      <c r="S642" s="8"/>
      <c r="T642" s="8"/>
    </row>
    <row r="643" spans="19:20">
      <c r="S643" s="8"/>
      <c r="T643" s="8"/>
    </row>
    <row r="644" spans="19:20">
      <c r="S644" s="8"/>
      <c r="T644" s="8"/>
    </row>
    <row r="645" spans="19:20">
      <c r="S645" s="8"/>
      <c r="T645" s="8"/>
    </row>
    <row r="646" spans="19:20">
      <c r="S646" s="8"/>
      <c r="T646" s="8"/>
    </row>
    <row r="647" spans="19:20">
      <c r="S647" s="8"/>
      <c r="T647" s="8"/>
    </row>
    <row r="648" spans="19:20">
      <c r="S648" s="8"/>
      <c r="T648" s="8"/>
    </row>
    <row r="649" spans="19:20">
      <c r="S649" s="8"/>
      <c r="T649" s="8"/>
    </row>
    <row r="650" spans="19:20">
      <c r="S650" s="8"/>
      <c r="T650" s="8"/>
    </row>
    <row r="651" spans="19:20">
      <c r="S651" s="8"/>
      <c r="T651" s="8"/>
    </row>
    <row r="652" spans="19:20">
      <c r="S652" s="8"/>
      <c r="T652" s="8"/>
    </row>
    <row r="653" spans="19:20">
      <c r="S653" s="8"/>
      <c r="T653" s="8"/>
    </row>
    <row r="654" spans="19:20">
      <c r="S654" s="8"/>
      <c r="T654" s="8"/>
    </row>
    <row r="655" spans="19:20">
      <c r="S655" s="8"/>
      <c r="T655" s="8"/>
    </row>
    <row r="656" spans="19:20">
      <c r="S656" s="8"/>
      <c r="T656" s="8"/>
    </row>
    <row r="657" spans="19:20">
      <c r="S657" s="8"/>
      <c r="T657" s="8"/>
    </row>
    <row r="658" spans="19:20">
      <c r="S658" s="8"/>
      <c r="T658" s="8"/>
    </row>
    <row r="659" spans="19:20">
      <c r="S659" s="8"/>
      <c r="T659" s="8"/>
    </row>
    <row r="660" spans="19:20">
      <c r="S660" s="8"/>
      <c r="T660" s="8"/>
    </row>
    <row r="661" spans="19:20">
      <c r="S661" s="8"/>
      <c r="T661" s="8"/>
    </row>
    <row r="662" spans="19:20">
      <c r="S662" s="8"/>
      <c r="T662" s="8"/>
    </row>
    <row r="663" spans="19:20">
      <c r="S663" s="8"/>
      <c r="T663" s="8"/>
    </row>
    <row r="664" spans="19:20">
      <c r="S664" s="8"/>
      <c r="T664" s="8"/>
    </row>
    <row r="665" spans="19:20">
      <c r="S665" s="8"/>
      <c r="T665" s="8"/>
    </row>
    <row r="666" spans="19:20">
      <c r="S666" s="8"/>
      <c r="T666" s="8"/>
    </row>
    <row r="667" spans="19:20">
      <c r="S667" s="8"/>
      <c r="T667" s="8"/>
    </row>
    <row r="668" spans="19:20">
      <c r="S668" s="8"/>
      <c r="T668" s="8"/>
    </row>
    <row r="669" spans="19:20">
      <c r="S669" s="8"/>
      <c r="T669" s="8"/>
    </row>
    <row r="670" spans="19:20">
      <c r="S670" s="8"/>
      <c r="T670" s="8"/>
    </row>
    <row r="671" spans="19:20">
      <c r="S671" s="8"/>
      <c r="T671" s="8"/>
    </row>
    <row r="672" spans="19:20">
      <c r="S672" s="8"/>
      <c r="T672" s="8"/>
    </row>
    <row r="673" spans="19:20">
      <c r="S673" s="8"/>
      <c r="T673" s="8"/>
    </row>
    <row r="674" spans="19:20">
      <c r="S674" s="8"/>
      <c r="T674" s="8"/>
    </row>
    <row r="675" spans="19:20">
      <c r="S675" s="8"/>
      <c r="T675" s="8"/>
    </row>
    <row r="676" spans="19:20">
      <c r="S676" s="8"/>
      <c r="T676" s="8"/>
    </row>
    <row r="677" spans="19:20">
      <c r="S677" s="8"/>
      <c r="T677" s="8"/>
    </row>
    <row r="678" spans="19:20">
      <c r="S678" s="8"/>
      <c r="T678" s="8"/>
    </row>
    <row r="679" spans="19:20">
      <c r="S679" s="8"/>
      <c r="T679" s="8"/>
    </row>
    <row r="680" spans="19:20">
      <c r="S680" s="8"/>
      <c r="T680" s="8"/>
    </row>
    <row r="681" spans="19:20">
      <c r="S681" s="8"/>
      <c r="T681" s="8"/>
    </row>
    <row r="682" spans="19:20">
      <c r="S682" s="8"/>
      <c r="T682" s="8"/>
    </row>
    <row r="683" spans="19:20">
      <c r="S683" s="8"/>
      <c r="T683" s="8"/>
    </row>
    <row r="684" spans="19:20">
      <c r="S684" s="8"/>
      <c r="T684" s="8"/>
    </row>
    <row r="685" spans="19:20">
      <c r="S685" s="8"/>
      <c r="T685" s="8"/>
    </row>
    <row r="686" spans="19:20">
      <c r="S686" s="8"/>
      <c r="T686" s="8"/>
    </row>
    <row r="687" spans="19:20">
      <c r="S687" s="8"/>
      <c r="T687" s="8"/>
    </row>
    <row r="688" spans="19:20">
      <c r="S688" s="8"/>
      <c r="T688" s="8"/>
    </row>
    <row r="689" spans="19:20">
      <c r="S689" s="8"/>
      <c r="T689" s="8"/>
    </row>
    <row r="690" spans="19:20">
      <c r="S690" s="8"/>
      <c r="T690" s="8"/>
    </row>
    <row r="691" spans="19:20">
      <c r="S691" s="8"/>
      <c r="T691" s="8"/>
    </row>
    <row r="692" spans="19:20">
      <c r="S692" s="8"/>
      <c r="T692" s="8"/>
    </row>
    <row r="693" spans="19:20">
      <c r="S693" s="8"/>
      <c r="T693" s="8"/>
    </row>
    <row r="694" spans="19:20">
      <c r="S694" s="8"/>
      <c r="T694" s="8"/>
    </row>
    <row r="695" spans="19:20">
      <c r="S695" s="8"/>
      <c r="T695" s="8"/>
    </row>
    <row r="696" spans="19:20">
      <c r="S696" s="8"/>
      <c r="T696" s="8"/>
    </row>
    <row r="697" spans="19:20">
      <c r="S697" s="8"/>
      <c r="T697" s="8"/>
    </row>
    <row r="698" spans="19:20">
      <c r="S698" s="8"/>
      <c r="T698" s="8"/>
    </row>
    <row r="699" spans="19:20">
      <c r="S699" s="8"/>
      <c r="T699" s="8"/>
    </row>
    <row r="700" spans="19:20">
      <c r="S700" s="8"/>
      <c r="T700" s="8"/>
    </row>
    <row r="701" spans="19:20">
      <c r="S701" s="8"/>
      <c r="T701" s="8"/>
    </row>
    <row r="702" spans="19:20">
      <c r="S702" s="8"/>
      <c r="T702" s="8"/>
    </row>
    <row r="703" spans="19:20">
      <c r="S703" s="8"/>
      <c r="T703" s="8"/>
    </row>
    <row r="704" spans="19:20">
      <c r="S704" s="8"/>
      <c r="T704" s="8"/>
    </row>
    <row r="705" spans="19:20">
      <c r="S705" s="8"/>
      <c r="T705" s="8"/>
    </row>
    <row r="706" spans="19:20">
      <c r="S706" s="8"/>
      <c r="T706" s="8"/>
    </row>
    <row r="707" spans="19:20">
      <c r="S707" s="8"/>
      <c r="T707" s="8"/>
    </row>
    <row r="708" spans="19:20">
      <c r="S708" s="8"/>
      <c r="T708" s="8"/>
    </row>
    <row r="709" spans="19:20">
      <c r="S709" s="8"/>
      <c r="T709" s="8"/>
    </row>
    <row r="710" spans="19:20">
      <c r="S710" s="8"/>
      <c r="T710" s="8"/>
    </row>
    <row r="711" spans="19:20">
      <c r="S711" s="8"/>
      <c r="T711" s="8"/>
    </row>
    <row r="712" spans="19:20">
      <c r="S712" s="8"/>
      <c r="T712" s="8"/>
    </row>
    <row r="713" spans="19:20">
      <c r="S713" s="8"/>
      <c r="T713" s="8"/>
    </row>
    <row r="714" spans="19:20">
      <c r="S714" s="8"/>
      <c r="T714" s="8"/>
    </row>
    <row r="715" spans="19:20">
      <c r="S715" s="8"/>
      <c r="T715" s="8"/>
    </row>
    <row r="716" spans="19:20">
      <c r="S716" s="8"/>
      <c r="T716" s="8"/>
    </row>
    <row r="717" spans="19:20">
      <c r="S717" s="8"/>
      <c r="T717" s="8"/>
    </row>
    <row r="718" spans="19:20">
      <c r="S718" s="8"/>
      <c r="T718" s="8"/>
    </row>
    <row r="719" spans="19:20">
      <c r="S719" s="8"/>
      <c r="T719" s="8"/>
    </row>
    <row r="720" spans="19:20">
      <c r="S720" s="8"/>
      <c r="T720" s="8"/>
    </row>
    <row r="721" spans="19:20">
      <c r="S721" s="8"/>
      <c r="T721" s="8"/>
    </row>
    <row r="722" spans="19:20">
      <c r="S722" s="8"/>
      <c r="T722" s="8"/>
    </row>
    <row r="723" spans="19:20">
      <c r="S723" s="8"/>
      <c r="T723" s="8"/>
    </row>
    <row r="724" spans="19:20">
      <c r="S724" s="8"/>
      <c r="T724" s="8"/>
    </row>
    <row r="725" spans="19:20">
      <c r="S725" s="8"/>
      <c r="T725" s="8"/>
    </row>
    <row r="726" spans="19:20">
      <c r="S726" s="8"/>
      <c r="T726" s="8"/>
    </row>
    <row r="727" spans="19:20">
      <c r="S727" s="8"/>
      <c r="T727" s="8"/>
    </row>
    <row r="728" spans="19:20">
      <c r="S728" s="8"/>
      <c r="T728" s="8"/>
    </row>
    <row r="729" spans="19:20">
      <c r="S729" s="8"/>
      <c r="T729" s="8"/>
    </row>
    <row r="730" spans="19:20">
      <c r="S730" s="8"/>
      <c r="T730" s="8"/>
    </row>
    <row r="731" spans="19:20">
      <c r="S731" s="8"/>
      <c r="T731" s="8"/>
    </row>
    <row r="732" spans="19:20">
      <c r="S732" s="8"/>
      <c r="T732" s="8"/>
    </row>
    <row r="733" spans="19:20">
      <c r="S733" s="8"/>
      <c r="T733" s="8"/>
    </row>
    <row r="734" spans="19:20">
      <c r="S734" s="8"/>
      <c r="T734" s="8"/>
    </row>
    <row r="735" spans="19:20">
      <c r="S735" s="8"/>
      <c r="T735" s="8"/>
    </row>
    <row r="736" spans="19:20">
      <c r="S736" s="8"/>
      <c r="T736" s="8"/>
    </row>
    <row r="737" spans="19:20">
      <c r="S737" s="8"/>
      <c r="T737" s="8"/>
    </row>
    <row r="738" spans="19:20">
      <c r="S738" s="8"/>
      <c r="T738" s="8"/>
    </row>
    <row r="739" spans="19:20">
      <c r="S739" s="8"/>
      <c r="T739" s="8"/>
    </row>
    <row r="740" spans="19:20">
      <c r="S740" s="8"/>
      <c r="T740" s="8"/>
    </row>
    <row r="741" spans="19:20">
      <c r="S741" s="8"/>
      <c r="T741" s="8"/>
    </row>
    <row r="742" spans="19:20">
      <c r="S742" s="8"/>
      <c r="T742" s="8"/>
    </row>
    <row r="743" spans="19:20">
      <c r="S743" s="8"/>
      <c r="T743" s="8"/>
    </row>
    <row r="744" spans="19:20">
      <c r="S744" s="8"/>
      <c r="T744" s="8"/>
    </row>
    <row r="745" spans="19:20">
      <c r="S745" s="8"/>
      <c r="T745" s="8"/>
    </row>
    <row r="746" spans="19:20">
      <c r="S746" s="8"/>
      <c r="T746" s="8"/>
    </row>
    <row r="747" spans="19:20">
      <c r="S747" s="8"/>
      <c r="T747" s="8"/>
    </row>
    <row r="748" spans="19:20">
      <c r="S748" s="8"/>
      <c r="T748" s="8"/>
    </row>
    <row r="749" spans="19:20">
      <c r="S749" s="8"/>
      <c r="T749" s="8"/>
    </row>
    <row r="750" spans="19:20">
      <c r="S750" s="8"/>
      <c r="T750" s="8"/>
    </row>
    <row r="751" spans="19:20">
      <c r="S751" s="8"/>
      <c r="T751" s="8"/>
    </row>
    <row r="752" spans="19:20">
      <c r="S752" s="8"/>
      <c r="T752" s="8"/>
    </row>
    <row r="753" spans="19:20">
      <c r="S753" s="8"/>
      <c r="T753" s="8"/>
    </row>
    <row r="754" spans="19:20">
      <c r="S754" s="8"/>
      <c r="T754" s="8"/>
    </row>
    <row r="755" spans="19:20">
      <c r="S755" s="8"/>
      <c r="T755" s="8"/>
    </row>
    <row r="756" spans="19:20">
      <c r="S756" s="8"/>
      <c r="T756" s="8"/>
    </row>
    <row r="757" spans="19:20">
      <c r="S757" s="8"/>
      <c r="T757" s="8"/>
    </row>
    <row r="758" spans="19:20">
      <c r="S758" s="8"/>
      <c r="T758" s="8"/>
    </row>
    <row r="759" spans="19:20">
      <c r="S759" s="8"/>
      <c r="T759" s="8"/>
    </row>
    <row r="760" spans="19:20">
      <c r="S760" s="8"/>
      <c r="T760" s="8"/>
    </row>
    <row r="761" spans="19:20">
      <c r="S761" s="8"/>
      <c r="T761" s="8"/>
    </row>
    <row r="762" spans="19:20">
      <c r="S762" s="8"/>
      <c r="T762" s="8"/>
    </row>
    <row r="763" spans="19:20">
      <c r="S763" s="8"/>
      <c r="T763" s="8"/>
    </row>
    <row r="764" spans="19:20">
      <c r="S764" s="8"/>
      <c r="T764" s="8"/>
    </row>
    <row r="765" spans="19:20">
      <c r="S765" s="8"/>
      <c r="T765" s="8"/>
    </row>
    <row r="766" spans="19:20">
      <c r="S766" s="8"/>
      <c r="T766" s="8"/>
    </row>
    <row r="767" spans="19:20">
      <c r="S767" s="8"/>
      <c r="T767" s="8"/>
    </row>
    <row r="768" spans="19:20">
      <c r="S768" s="8"/>
      <c r="T768" s="8"/>
    </row>
    <row r="769" spans="19:20">
      <c r="S769" s="8"/>
      <c r="T769" s="8"/>
    </row>
    <row r="770" spans="19:20">
      <c r="S770" s="8"/>
      <c r="T770" s="8"/>
    </row>
    <row r="771" spans="19:20">
      <c r="S771" s="8"/>
      <c r="T771" s="8"/>
    </row>
    <row r="772" spans="19:20">
      <c r="S772" s="8"/>
      <c r="T772" s="8"/>
    </row>
    <row r="773" spans="19:20">
      <c r="S773" s="8"/>
      <c r="T773" s="8"/>
    </row>
    <row r="774" spans="19:20">
      <c r="S774" s="8"/>
      <c r="T774" s="8"/>
    </row>
    <row r="775" spans="19:20">
      <c r="S775" s="8"/>
      <c r="T775" s="8"/>
    </row>
    <row r="776" spans="19:20">
      <c r="S776" s="8"/>
      <c r="T776" s="8"/>
    </row>
    <row r="777" spans="19:20">
      <c r="S777" s="8"/>
      <c r="T777" s="8"/>
    </row>
    <row r="778" spans="19:20">
      <c r="S778" s="8"/>
      <c r="T778" s="8"/>
    </row>
    <row r="779" spans="19:20">
      <c r="S779" s="8"/>
      <c r="T779" s="8"/>
    </row>
    <row r="780" spans="19:20">
      <c r="S780" s="8"/>
      <c r="T780" s="8"/>
    </row>
    <row r="781" spans="19:20">
      <c r="S781" s="8"/>
      <c r="T781" s="8"/>
    </row>
    <row r="782" spans="19:20">
      <c r="S782" s="8"/>
      <c r="T782" s="8"/>
    </row>
    <row r="783" spans="19:20">
      <c r="S783" s="8"/>
      <c r="T783" s="8"/>
    </row>
    <row r="784" spans="19:20">
      <c r="S784" s="8"/>
      <c r="T784" s="8"/>
    </row>
    <row r="785" spans="19:20">
      <c r="S785" s="8"/>
      <c r="T785" s="8"/>
    </row>
    <row r="786" spans="19:20">
      <c r="S786" s="8"/>
      <c r="T786" s="8"/>
    </row>
    <row r="787" spans="19:20">
      <c r="S787" s="8"/>
      <c r="T787" s="8"/>
    </row>
    <row r="788" spans="19:20">
      <c r="S788" s="8"/>
      <c r="T788" s="8"/>
    </row>
    <row r="789" spans="19:20">
      <c r="S789" s="8"/>
      <c r="T789" s="8"/>
    </row>
    <row r="790" spans="19:20">
      <c r="S790" s="8"/>
      <c r="T790" s="8"/>
    </row>
    <row r="791" spans="19:20">
      <c r="S791" s="8"/>
      <c r="T791" s="8"/>
    </row>
    <row r="792" spans="19:20">
      <c r="S792" s="8"/>
      <c r="T792" s="8"/>
    </row>
    <row r="793" spans="19:20">
      <c r="S793" s="8"/>
      <c r="T793" s="8"/>
    </row>
    <row r="794" spans="19:20">
      <c r="S794" s="8"/>
      <c r="T794" s="8"/>
    </row>
    <row r="795" spans="19:20">
      <c r="S795" s="8"/>
      <c r="T795" s="8"/>
    </row>
    <row r="796" spans="19:20">
      <c r="S796" s="8"/>
      <c r="T796" s="8"/>
    </row>
    <row r="797" spans="19:20">
      <c r="S797" s="8"/>
      <c r="T797" s="8"/>
    </row>
    <row r="798" spans="19:20">
      <c r="S798" s="8"/>
      <c r="T798" s="8"/>
    </row>
    <row r="799" spans="19:20">
      <c r="S799" s="8"/>
      <c r="T799" s="8"/>
    </row>
    <row r="800" spans="19:20">
      <c r="S800" s="8"/>
      <c r="T800" s="8"/>
    </row>
    <row r="801" spans="19:20">
      <c r="S801" s="8"/>
      <c r="T801" s="8"/>
    </row>
    <row r="802" spans="19:20">
      <c r="S802" s="8"/>
      <c r="T802" s="8"/>
    </row>
    <row r="803" spans="19:20">
      <c r="S803" s="8"/>
      <c r="T803" s="8"/>
    </row>
    <row r="804" spans="19:20">
      <c r="S804" s="8"/>
      <c r="T804" s="8"/>
    </row>
    <row r="805" spans="19:20">
      <c r="S805" s="8"/>
      <c r="T805" s="8"/>
    </row>
    <row r="806" spans="19:20">
      <c r="S806" s="8"/>
      <c r="T806" s="8"/>
    </row>
    <row r="807" spans="19:20">
      <c r="S807" s="8"/>
      <c r="T807" s="8"/>
    </row>
    <row r="808" spans="19:20">
      <c r="S808" s="8"/>
      <c r="T808" s="8"/>
    </row>
    <row r="809" spans="19:20">
      <c r="S809" s="8"/>
      <c r="T809" s="8"/>
    </row>
    <row r="810" spans="19:20">
      <c r="S810" s="8"/>
      <c r="T810" s="8"/>
    </row>
    <row r="811" spans="19:20">
      <c r="S811" s="8"/>
      <c r="T811" s="8"/>
    </row>
    <row r="812" spans="19:20">
      <c r="S812" s="8"/>
      <c r="T812" s="8"/>
    </row>
    <row r="813" spans="19:20">
      <c r="S813" s="8"/>
      <c r="T813" s="8"/>
    </row>
    <row r="814" spans="19:20">
      <c r="S814" s="8"/>
      <c r="T814" s="8"/>
    </row>
    <row r="815" spans="19:20">
      <c r="S815" s="8"/>
      <c r="T815" s="8"/>
    </row>
    <row r="816" spans="19:20">
      <c r="S816" s="8"/>
      <c r="T816" s="8"/>
    </row>
    <row r="817" spans="19:20">
      <c r="S817" s="8"/>
      <c r="T817" s="8"/>
    </row>
    <row r="818" spans="19:20">
      <c r="S818" s="8"/>
      <c r="T818" s="8"/>
    </row>
    <row r="819" spans="19:20">
      <c r="S819" s="8"/>
      <c r="T819" s="8"/>
    </row>
    <row r="820" spans="19:20">
      <c r="S820" s="8"/>
      <c r="T820" s="8"/>
    </row>
    <row r="821" spans="19:20">
      <c r="S821" s="8"/>
      <c r="T821" s="8"/>
    </row>
    <row r="822" spans="19:20">
      <c r="S822" s="8"/>
      <c r="T822" s="8"/>
    </row>
    <row r="823" spans="19:20">
      <c r="S823" s="8"/>
      <c r="T823" s="8"/>
    </row>
    <row r="824" spans="19:20">
      <c r="S824" s="8"/>
      <c r="T824" s="8"/>
    </row>
    <row r="825" spans="19:20">
      <c r="S825" s="8"/>
      <c r="T825" s="8"/>
    </row>
    <row r="826" spans="19:20">
      <c r="S826" s="8"/>
      <c r="T826" s="8"/>
    </row>
    <row r="827" spans="19:20">
      <c r="S827" s="8"/>
      <c r="T827" s="8"/>
    </row>
    <row r="828" spans="19:20">
      <c r="S828" s="8"/>
      <c r="T828" s="8"/>
    </row>
    <row r="829" spans="19:20">
      <c r="S829" s="8"/>
      <c r="T829" s="8"/>
    </row>
    <row r="830" spans="19:20">
      <c r="S830" s="8"/>
      <c r="T830" s="8"/>
    </row>
    <row r="831" spans="19:20">
      <c r="S831" s="8"/>
      <c r="T831" s="8"/>
    </row>
    <row r="832" spans="19:20">
      <c r="S832" s="8"/>
      <c r="T832" s="8"/>
    </row>
    <row r="833" spans="19:20">
      <c r="S833" s="8"/>
      <c r="T833" s="8"/>
    </row>
    <row r="834" spans="19:20">
      <c r="S834" s="8"/>
      <c r="T834" s="8"/>
    </row>
    <row r="835" spans="19:20">
      <c r="S835" s="8"/>
      <c r="T835" s="8"/>
    </row>
    <row r="836" spans="19:20">
      <c r="S836" s="8"/>
      <c r="T836" s="8"/>
    </row>
    <row r="837" spans="19:20">
      <c r="S837" s="8"/>
      <c r="T837" s="8"/>
    </row>
    <row r="838" spans="19:20">
      <c r="S838" s="8"/>
      <c r="T838" s="8"/>
    </row>
    <row r="839" spans="19:20">
      <c r="S839" s="8"/>
      <c r="T839" s="8"/>
    </row>
    <row r="840" spans="19:20">
      <c r="S840" s="8"/>
      <c r="T840" s="8"/>
    </row>
    <row r="841" spans="19:20">
      <c r="S841" s="8"/>
      <c r="T841" s="8"/>
    </row>
    <row r="842" spans="19:20">
      <c r="S842" s="8"/>
      <c r="T842" s="8"/>
    </row>
    <row r="843" spans="19:20">
      <c r="S843" s="8"/>
      <c r="T843" s="8"/>
    </row>
    <row r="844" spans="19:20">
      <c r="S844" s="8"/>
      <c r="T844" s="8"/>
    </row>
    <row r="845" spans="19:20">
      <c r="S845" s="8"/>
      <c r="T845" s="8"/>
    </row>
    <row r="846" spans="19:20">
      <c r="S846" s="8"/>
      <c r="T846" s="8"/>
    </row>
    <row r="847" spans="19:20">
      <c r="S847" s="8"/>
      <c r="T847" s="8"/>
    </row>
    <row r="848" spans="19:20">
      <c r="S848" s="8"/>
      <c r="T848" s="8"/>
    </row>
    <row r="849" spans="19:20">
      <c r="S849" s="8"/>
      <c r="T849" s="8"/>
    </row>
    <row r="850" spans="19:20">
      <c r="S850" s="8"/>
      <c r="T850" s="8"/>
    </row>
    <row r="851" spans="19:20">
      <c r="S851" s="8"/>
      <c r="T851" s="8"/>
    </row>
    <row r="852" spans="19:20">
      <c r="S852" s="8"/>
      <c r="T852" s="8"/>
    </row>
    <row r="853" spans="19:20">
      <c r="S853" s="8"/>
      <c r="T853" s="8"/>
    </row>
    <row r="854" spans="19:20">
      <c r="S854" s="8"/>
      <c r="T854" s="8"/>
    </row>
    <row r="855" spans="19:20">
      <c r="S855" s="8"/>
      <c r="T855" s="8"/>
    </row>
    <row r="856" spans="19:20">
      <c r="S856" s="8"/>
      <c r="T856" s="8"/>
    </row>
    <row r="857" spans="19:20">
      <c r="S857" s="8"/>
      <c r="T857" s="8"/>
    </row>
    <row r="858" spans="19:20">
      <c r="S858" s="8"/>
      <c r="T858" s="8"/>
    </row>
    <row r="859" spans="19:20">
      <c r="S859" s="8"/>
      <c r="T859" s="8"/>
    </row>
    <row r="860" spans="19:20">
      <c r="S860" s="8"/>
      <c r="T860" s="8"/>
    </row>
    <row r="861" spans="19:20">
      <c r="S861" s="8"/>
      <c r="T861" s="8"/>
    </row>
    <row r="862" spans="19:20">
      <c r="S862" s="8"/>
      <c r="T862" s="8"/>
    </row>
    <row r="863" spans="19:20">
      <c r="S863" s="8"/>
      <c r="T863" s="8"/>
    </row>
    <row r="864" spans="19:20">
      <c r="S864" s="8"/>
      <c r="T864" s="8"/>
    </row>
    <row r="865" spans="19:20">
      <c r="S865" s="8"/>
      <c r="T865" s="8"/>
    </row>
    <row r="866" spans="19:20">
      <c r="S866" s="8"/>
      <c r="T866" s="8"/>
    </row>
    <row r="867" spans="19:20">
      <c r="S867" s="8"/>
      <c r="T867" s="8"/>
    </row>
    <row r="868" spans="19:20">
      <c r="S868" s="8"/>
      <c r="T868" s="8"/>
    </row>
    <row r="869" spans="19:20">
      <c r="S869" s="8"/>
      <c r="T869" s="8"/>
    </row>
    <row r="870" spans="19:20">
      <c r="S870" s="8"/>
      <c r="T870" s="8"/>
    </row>
    <row r="871" spans="19:20">
      <c r="S871" s="8"/>
      <c r="T871" s="8"/>
    </row>
    <row r="872" spans="19:20">
      <c r="S872" s="8"/>
      <c r="T872" s="8"/>
    </row>
    <row r="873" spans="19:20">
      <c r="S873" s="8"/>
      <c r="T873" s="8"/>
    </row>
    <row r="874" spans="19:20">
      <c r="S874" s="8"/>
      <c r="T874" s="8"/>
    </row>
    <row r="875" spans="19:20">
      <c r="S875" s="8"/>
      <c r="T875" s="8"/>
    </row>
    <row r="876" spans="19:20">
      <c r="S876" s="8"/>
      <c r="T876" s="8"/>
    </row>
    <row r="877" spans="19:20">
      <c r="S877" s="8"/>
      <c r="T877" s="8"/>
    </row>
    <row r="878" spans="19:20">
      <c r="S878" s="8"/>
      <c r="T878" s="8"/>
    </row>
    <row r="879" spans="19:20">
      <c r="S879" s="8"/>
      <c r="T879" s="8"/>
    </row>
    <row r="880" spans="19:20">
      <c r="S880" s="8"/>
      <c r="T880" s="8"/>
    </row>
    <row r="881" spans="19:20">
      <c r="S881" s="8"/>
      <c r="T881" s="8"/>
    </row>
    <row r="882" spans="19:20">
      <c r="S882" s="8"/>
      <c r="T882" s="8"/>
    </row>
    <row r="883" spans="19:20">
      <c r="S883" s="8"/>
      <c r="T883" s="8"/>
    </row>
    <row r="884" spans="19:20">
      <c r="S884" s="8"/>
      <c r="T884" s="8"/>
    </row>
    <row r="885" spans="19:20">
      <c r="S885" s="8"/>
      <c r="T885" s="8"/>
    </row>
    <row r="886" spans="19:20">
      <c r="S886" s="8"/>
      <c r="T886" s="8"/>
    </row>
    <row r="887" spans="19:20">
      <c r="S887" s="8"/>
      <c r="T887" s="8"/>
    </row>
    <row r="888" spans="19:20">
      <c r="S888" s="8"/>
      <c r="T888" s="8"/>
    </row>
    <row r="889" spans="19:20">
      <c r="S889" s="8"/>
      <c r="T889" s="8"/>
    </row>
    <row r="890" spans="19:20">
      <c r="S890" s="8"/>
      <c r="T890" s="8"/>
    </row>
    <row r="891" spans="19:20">
      <c r="S891" s="8"/>
      <c r="T891" s="8"/>
    </row>
    <row r="892" spans="19:20">
      <c r="S892" s="8"/>
      <c r="T892" s="8"/>
    </row>
    <row r="893" spans="19:20">
      <c r="S893" s="8"/>
      <c r="T893" s="8"/>
    </row>
    <row r="894" spans="19:20">
      <c r="S894" s="8"/>
      <c r="T894" s="8"/>
    </row>
    <row r="895" spans="19:20">
      <c r="S895" s="8"/>
      <c r="T895" s="8"/>
    </row>
    <row r="896" spans="19:20">
      <c r="S896" s="8"/>
      <c r="T896" s="8"/>
    </row>
    <row r="897" spans="19:20">
      <c r="S897" s="8"/>
      <c r="T897" s="8"/>
    </row>
    <row r="898" spans="19:20">
      <c r="S898" s="8"/>
      <c r="T898" s="8"/>
    </row>
    <row r="899" spans="19:20">
      <c r="S899" s="8"/>
      <c r="T899" s="8"/>
    </row>
    <row r="900" spans="19:20">
      <c r="S900" s="8"/>
      <c r="T900" s="8"/>
    </row>
    <row r="901" spans="19:20">
      <c r="S901" s="8"/>
      <c r="T901" s="8"/>
    </row>
    <row r="902" spans="19:20">
      <c r="S902" s="8"/>
      <c r="T902" s="8"/>
    </row>
    <row r="903" spans="19:20">
      <c r="S903" s="8"/>
      <c r="T903" s="8"/>
    </row>
    <row r="904" spans="19:20">
      <c r="S904" s="8"/>
      <c r="T904" s="8"/>
    </row>
    <row r="905" spans="19:20">
      <c r="S905" s="8"/>
      <c r="T905" s="8"/>
    </row>
    <row r="906" spans="19:20">
      <c r="S906" s="8"/>
      <c r="T906" s="8"/>
    </row>
    <row r="907" spans="19:20">
      <c r="S907" s="8"/>
      <c r="T907" s="8"/>
    </row>
    <row r="908" spans="19:20">
      <c r="S908" s="8"/>
      <c r="T908" s="8"/>
    </row>
    <row r="909" spans="19:20">
      <c r="S909" s="8"/>
      <c r="T909" s="8"/>
    </row>
    <row r="910" spans="19:20">
      <c r="S910" s="8"/>
      <c r="T910" s="8"/>
    </row>
    <row r="911" spans="19:20">
      <c r="S911" s="8"/>
      <c r="T911" s="8"/>
    </row>
    <row r="912" spans="19:20">
      <c r="S912" s="8"/>
      <c r="T912" s="8"/>
    </row>
    <row r="913" spans="19:20">
      <c r="S913" s="8"/>
      <c r="T913" s="8"/>
    </row>
    <row r="914" spans="19:20">
      <c r="S914" s="8"/>
      <c r="T914" s="8"/>
    </row>
    <row r="915" spans="19:20">
      <c r="S915" s="8"/>
      <c r="T915" s="8"/>
    </row>
    <row r="916" spans="19:20">
      <c r="S916" s="8"/>
      <c r="T916" s="8"/>
    </row>
    <row r="917" spans="19:20">
      <c r="S917" s="8"/>
      <c r="T917" s="8"/>
    </row>
    <row r="918" spans="19:20">
      <c r="S918" s="8"/>
      <c r="T918" s="8"/>
    </row>
    <row r="919" spans="19:20">
      <c r="S919" s="8"/>
      <c r="T919" s="8"/>
    </row>
    <row r="920" spans="19:20">
      <c r="S920" s="8"/>
      <c r="T920" s="8"/>
    </row>
    <row r="921" spans="19:20">
      <c r="S921" s="8"/>
      <c r="T921" s="8"/>
    </row>
    <row r="922" spans="19:20">
      <c r="S922" s="8"/>
      <c r="T922" s="8"/>
    </row>
    <row r="923" spans="19:20">
      <c r="S923" s="8"/>
      <c r="T923" s="8"/>
    </row>
    <row r="924" spans="19:20">
      <c r="S924" s="8"/>
      <c r="T924" s="8"/>
    </row>
    <row r="925" spans="19:20">
      <c r="S925" s="8"/>
      <c r="T925" s="8"/>
    </row>
    <row r="926" spans="19:20">
      <c r="S926" s="8"/>
      <c r="T926" s="8"/>
    </row>
    <row r="927" spans="19:20">
      <c r="S927" s="8"/>
      <c r="T927" s="8"/>
    </row>
    <row r="928" spans="19:20">
      <c r="S928" s="8"/>
      <c r="T928" s="8"/>
    </row>
    <row r="929" spans="19:20">
      <c r="S929" s="8"/>
      <c r="T929" s="8"/>
    </row>
    <row r="930" spans="19:20">
      <c r="S930" s="8"/>
      <c r="T930" s="8"/>
    </row>
    <row r="931" spans="19:20">
      <c r="S931" s="8"/>
      <c r="T931" s="8"/>
    </row>
    <row r="932" spans="19:20">
      <c r="S932" s="8"/>
      <c r="T932" s="8"/>
    </row>
    <row r="933" spans="19:20">
      <c r="S933" s="8"/>
      <c r="T933" s="8"/>
    </row>
    <row r="934" spans="19:20">
      <c r="S934" s="8"/>
      <c r="T934" s="8"/>
    </row>
    <row r="935" spans="19:20">
      <c r="S935" s="8"/>
      <c r="T935" s="8"/>
    </row>
    <row r="936" spans="19:20">
      <c r="S936" s="8"/>
      <c r="T936" s="8"/>
    </row>
    <row r="937" spans="19:20">
      <c r="S937" s="8"/>
      <c r="T937" s="8"/>
    </row>
    <row r="938" spans="19:20">
      <c r="S938" s="8"/>
      <c r="T938" s="8"/>
    </row>
    <row r="939" spans="19:20">
      <c r="S939" s="8"/>
      <c r="T939" s="8"/>
    </row>
    <row r="940" spans="19:20">
      <c r="S940" s="8"/>
      <c r="T940" s="8"/>
    </row>
    <row r="941" spans="19:20">
      <c r="S941" s="8"/>
      <c r="T941" s="8"/>
    </row>
    <row r="942" spans="19:20">
      <c r="S942" s="8"/>
      <c r="T942" s="8"/>
    </row>
    <row r="943" spans="19:20">
      <c r="S943" s="8"/>
      <c r="T943" s="8"/>
    </row>
    <row r="944" spans="19:20">
      <c r="S944" s="8"/>
      <c r="T944" s="8"/>
    </row>
    <row r="945" spans="19:20">
      <c r="S945" s="8"/>
      <c r="T945" s="8"/>
    </row>
    <row r="946" spans="19:20">
      <c r="S946" s="8"/>
      <c r="T946" s="8"/>
    </row>
    <row r="947" spans="19:20">
      <c r="S947" s="8"/>
      <c r="T947" s="8"/>
    </row>
    <row r="948" spans="19:20">
      <c r="S948" s="8"/>
      <c r="T948" s="8"/>
    </row>
    <row r="949" spans="19:20">
      <c r="S949" s="8"/>
      <c r="T949" s="8"/>
    </row>
    <row r="950" spans="19:20">
      <c r="S950" s="8"/>
      <c r="T950" s="8"/>
    </row>
    <row r="951" spans="19:20">
      <c r="S951" s="8"/>
      <c r="T951" s="8"/>
    </row>
    <row r="952" spans="19:20">
      <c r="S952" s="8"/>
      <c r="T952" s="8"/>
    </row>
    <row r="953" spans="19:20">
      <c r="S953" s="8"/>
      <c r="T953" s="8"/>
    </row>
    <row r="954" spans="19:20">
      <c r="S954" s="8"/>
      <c r="T954" s="8"/>
    </row>
    <row r="955" spans="19:20">
      <c r="S955" s="8"/>
      <c r="T955" s="8"/>
    </row>
    <row r="956" spans="19:20">
      <c r="S956" s="8"/>
      <c r="T956" s="8"/>
    </row>
    <row r="957" spans="19:20">
      <c r="S957" s="8"/>
      <c r="T957" s="8"/>
    </row>
    <row r="958" spans="19:20">
      <c r="S958" s="8"/>
      <c r="T958" s="8"/>
    </row>
    <row r="959" spans="19:20">
      <c r="S959" s="8"/>
      <c r="T959" s="8"/>
    </row>
    <row r="960" spans="19:20">
      <c r="S960" s="8"/>
      <c r="T960" s="8"/>
    </row>
    <row r="961" spans="19:20">
      <c r="S961" s="8"/>
      <c r="T961" s="8"/>
    </row>
    <row r="962" spans="19:20">
      <c r="S962" s="8"/>
      <c r="T962" s="8"/>
    </row>
    <row r="963" spans="19:20">
      <c r="S963" s="8"/>
      <c r="T963" s="8"/>
    </row>
    <row r="964" spans="19:20">
      <c r="S964" s="8"/>
      <c r="T964" s="8"/>
    </row>
    <row r="965" spans="19:20">
      <c r="S965" s="8"/>
      <c r="T965" s="8"/>
    </row>
    <row r="966" spans="19:20">
      <c r="S966" s="8"/>
      <c r="T966" s="8"/>
    </row>
    <row r="967" spans="19:20">
      <c r="S967" s="8"/>
      <c r="T967" s="8"/>
    </row>
    <row r="968" spans="19:20">
      <c r="S968" s="8"/>
      <c r="T968" s="8"/>
    </row>
    <row r="969" spans="19:20">
      <c r="S969" s="8"/>
      <c r="T969" s="8"/>
    </row>
    <row r="970" spans="19:20">
      <c r="S970" s="8"/>
      <c r="T970" s="8"/>
    </row>
    <row r="971" spans="19:20">
      <c r="S971" s="8"/>
      <c r="T971" s="8"/>
    </row>
    <row r="972" spans="19:20">
      <c r="S972" s="8"/>
      <c r="T972" s="8"/>
    </row>
    <row r="973" spans="19:20">
      <c r="S973" s="8"/>
      <c r="T973" s="8"/>
    </row>
    <row r="974" spans="19:20">
      <c r="S974" s="8"/>
      <c r="T974" s="8"/>
    </row>
    <row r="975" spans="19:20">
      <c r="S975" s="8"/>
      <c r="T975" s="8"/>
    </row>
    <row r="976" spans="19:20">
      <c r="S976" s="8"/>
      <c r="T976" s="8"/>
    </row>
    <row r="977" spans="19:20">
      <c r="S977" s="8"/>
      <c r="T977" s="8"/>
    </row>
    <row r="978" spans="19:20">
      <c r="S978" s="8"/>
      <c r="T978" s="8"/>
    </row>
    <row r="979" spans="19:20">
      <c r="S979" s="8"/>
      <c r="T979" s="8"/>
    </row>
    <row r="980" spans="19:20">
      <c r="S980" s="8"/>
      <c r="T980" s="8"/>
    </row>
    <row r="981" spans="19:20">
      <c r="S981" s="8"/>
      <c r="T981" s="8"/>
    </row>
    <row r="982" spans="19:20">
      <c r="S982" s="8"/>
      <c r="T982" s="8"/>
    </row>
    <row r="983" spans="19:20">
      <c r="S983" s="8"/>
      <c r="T983" s="8"/>
    </row>
    <row r="984" spans="19:20">
      <c r="S984" s="8"/>
      <c r="T984" s="8"/>
    </row>
    <row r="985" spans="19:20">
      <c r="S985" s="8"/>
      <c r="T985" s="8"/>
    </row>
    <row r="986" spans="19:20">
      <c r="S986" s="8"/>
      <c r="T986" s="8"/>
    </row>
    <row r="987" spans="19:20">
      <c r="S987" s="8"/>
      <c r="T987" s="8"/>
    </row>
    <row r="988" spans="19:20">
      <c r="S988" s="8"/>
      <c r="T988" s="8"/>
    </row>
    <row r="989" spans="19:20">
      <c r="S989" s="8"/>
      <c r="T989" s="8"/>
    </row>
    <row r="990" spans="19:20">
      <c r="S990" s="8"/>
      <c r="T990" s="8"/>
    </row>
    <row r="991" spans="19:20">
      <c r="S991" s="8"/>
      <c r="T991" s="8"/>
    </row>
    <row r="992" spans="19:20">
      <c r="S992" s="8"/>
      <c r="T992" s="8"/>
    </row>
    <row r="993" spans="19:20">
      <c r="S993" s="8"/>
      <c r="T993" s="8"/>
    </row>
    <row r="994" spans="19:20">
      <c r="S994" s="8"/>
      <c r="T994" s="8"/>
    </row>
    <row r="995" spans="19:20">
      <c r="S995" s="8"/>
      <c r="T995" s="8"/>
    </row>
    <row r="996" spans="19:20">
      <c r="S996" s="8"/>
      <c r="T996" s="8"/>
    </row>
    <row r="997" spans="19:20">
      <c r="S997" s="8"/>
      <c r="T997" s="8"/>
    </row>
    <row r="998" spans="19:20">
      <c r="S998" s="8"/>
      <c r="T998" s="8"/>
    </row>
    <row r="999" spans="19:20">
      <c r="S999" s="8"/>
      <c r="T999" s="8"/>
    </row>
    <row r="1000" spans="19:20">
      <c r="S1000" s="8"/>
      <c r="T1000" s="8"/>
    </row>
    <row r="1001" spans="19:20">
      <c r="S1001" s="8"/>
      <c r="T1001" s="8"/>
    </row>
    <row r="1002" spans="19:20">
      <c r="S1002" s="8"/>
      <c r="T1002" s="8"/>
    </row>
    <row r="1003" spans="19:20">
      <c r="S1003" s="8"/>
      <c r="T1003" s="8"/>
    </row>
    <row r="1004" spans="19:20">
      <c r="S1004" s="8"/>
      <c r="T1004" s="8"/>
    </row>
    <row r="1005" spans="19:20">
      <c r="S1005" s="8"/>
      <c r="T1005" s="8"/>
    </row>
    <row r="1006" spans="19:20">
      <c r="S1006" s="8"/>
      <c r="T1006" s="8"/>
    </row>
    <row r="1007" spans="19:20">
      <c r="S1007" s="8"/>
      <c r="T1007" s="8"/>
    </row>
    <row r="1008" spans="19:20">
      <c r="S1008" s="8"/>
      <c r="T1008" s="8"/>
    </row>
    <row r="1009" spans="19:20">
      <c r="S1009" s="8"/>
      <c r="T1009" s="8"/>
    </row>
    <row r="1010" spans="19:20">
      <c r="S1010" s="8"/>
      <c r="T1010" s="8"/>
    </row>
    <row r="1011" spans="19:20">
      <c r="S1011" s="8"/>
      <c r="T1011" s="8"/>
    </row>
    <row r="1012" spans="19:20">
      <c r="S1012" s="8"/>
      <c r="T1012" s="8"/>
    </row>
    <row r="1013" spans="19:20">
      <c r="S1013" s="8"/>
      <c r="T1013" s="8"/>
    </row>
    <row r="1014" spans="19:20">
      <c r="S1014" s="8"/>
      <c r="T1014" s="8"/>
    </row>
    <row r="1015" spans="19:20">
      <c r="S1015" s="8"/>
      <c r="T1015" s="8"/>
    </row>
    <row r="1016" spans="19:20">
      <c r="S1016" s="8"/>
      <c r="T1016" s="8"/>
    </row>
    <row r="1017" spans="19:20">
      <c r="S1017" s="8"/>
      <c r="T1017" s="8"/>
    </row>
    <row r="1018" spans="19:20">
      <c r="S1018" s="8"/>
      <c r="T1018" s="8"/>
    </row>
    <row r="1019" spans="19:20">
      <c r="S1019" s="8"/>
      <c r="T1019" s="8"/>
    </row>
    <row r="1020" spans="19:20">
      <c r="S1020" s="8"/>
      <c r="T1020" s="8"/>
    </row>
    <row r="1021" spans="19:20">
      <c r="S1021" s="8"/>
      <c r="T1021" s="8"/>
    </row>
    <row r="1022" spans="19:20">
      <c r="S1022" s="8"/>
      <c r="T1022" s="8"/>
    </row>
    <row r="1023" spans="19:20">
      <c r="S1023" s="8"/>
      <c r="T1023" s="8"/>
    </row>
    <row r="1024" spans="19:20">
      <c r="S1024" s="8"/>
      <c r="T1024" s="8"/>
    </row>
    <row r="1025" spans="19:20">
      <c r="S1025" s="8"/>
      <c r="T1025" s="8"/>
    </row>
    <row r="1026" spans="19:20">
      <c r="S1026" s="8"/>
      <c r="T1026" s="8"/>
    </row>
    <row r="1027" spans="19:20">
      <c r="S1027" s="8"/>
      <c r="T1027" s="8"/>
    </row>
    <row r="1028" spans="19:20">
      <c r="S1028" s="8"/>
      <c r="T1028" s="8"/>
    </row>
    <row r="1029" spans="19:20">
      <c r="S1029" s="8"/>
      <c r="T1029" s="8"/>
    </row>
    <row r="1030" spans="19:20">
      <c r="S1030" s="8"/>
      <c r="T1030" s="8"/>
    </row>
    <row r="1031" spans="19:20">
      <c r="S1031" s="8"/>
      <c r="T1031" s="8"/>
    </row>
    <row r="1032" spans="19:20">
      <c r="S1032" s="8"/>
      <c r="T1032" s="8"/>
    </row>
    <row r="1033" spans="19:20">
      <c r="S1033" s="8"/>
      <c r="T1033" s="8"/>
    </row>
    <row r="1034" spans="19:20">
      <c r="S1034" s="8"/>
      <c r="T1034" s="8"/>
    </row>
    <row r="1035" spans="19:20">
      <c r="S1035" s="8"/>
      <c r="T1035" s="8"/>
    </row>
    <row r="1036" spans="19:20">
      <c r="S1036" s="8"/>
      <c r="T1036" s="8"/>
    </row>
    <row r="1037" spans="19:20">
      <c r="S1037" s="8"/>
      <c r="T1037" s="8"/>
    </row>
    <row r="1038" spans="19:20">
      <c r="S1038" s="8"/>
      <c r="T1038" s="8"/>
    </row>
    <row r="1039" spans="19:20">
      <c r="S1039" s="8"/>
      <c r="T1039" s="8"/>
    </row>
    <row r="1040" spans="19:20">
      <c r="S1040" s="8"/>
      <c r="T1040" s="8"/>
    </row>
    <row r="1041" spans="19:20">
      <c r="S1041" s="8"/>
      <c r="T1041" s="8"/>
    </row>
    <row r="1042" spans="19:20">
      <c r="S1042" s="8"/>
      <c r="T1042" s="8"/>
    </row>
    <row r="1043" spans="19:20">
      <c r="S1043" s="8"/>
      <c r="T1043" s="8"/>
    </row>
    <row r="1044" spans="19:20">
      <c r="S1044" s="8"/>
      <c r="T1044" s="8"/>
    </row>
    <row r="1045" spans="19:20">
      <c r="S1045" s="8"/>
      <c r="T1045" s="8"/>
    </row>
    <row r="1046" spans="19:20">
      <c r="S1046" s="8"/>
      <c r="T1046" s="8"/>
    </row>
    <row r="1047" spans="19:20">
      <c r="S1047" s="8"/>
      <c r="T1047" s="8"/>
    </row>
    <row r="1048" spans="19:20">
      <c r="S1048" s="8"/>
      <c r="T1048" s="8"/>
    </row>
    <row r="1049" spans="19:20">
      <c r="S1049" s="8"/>
      <c r="T1049" s="8"/>
    </row>
    <row r="1050" spans="19:20">
      <c r="S1050" s="8"/>
      <c r="T1050" s="8"/>
    </row>
    <row r="1051" spans="19:20">
      <c r="S1051" s="8"/>
      <c r="T1051" s="8"/>
    </row>
    <row r="1052" spans="19:20">
      <c r="S1052" s="8"/>
      <c r="T1052" s="8"/>
    </row>
    <row r="1053" spans="19:20">
      <c r="S1053" s="8"/>
      <c r="T1053" s="8"/>
    </row>
    <row r="1054" spans="19:20">
      <c r="S1054" s="8"/>
      <c r="T1054" s="8"/>
    </row>
    <row r="1055" spans="19:20">
      <c r="S1055" s="8"/>
      <c r="T1055" s="8"/>
    </row>
    <row r="1056" spans="19:20">
      <c r="S1056" s="8"/>
      <c r="T1056" s="8"/>
    </row>
    <row r="1057" spans="19:20">
      <c r="S1057" s="8"/>
      <c r="T1057" s="8"/>
    </row>
    <row r="1058" spans="19:20">
      <c r="S1058" s="8"/>
      <c r="T1058" s="8"/>
    </row>
    <row r="1059" spans="19:20">
      <c r="S1059" s="8"/>
      <c r="T1059" s="8"/>
    </row>
    <row r="1060" spans="19:20">
      <c r="S1060" s="8"/>
      <c r="T1060" s="8"/>
    </row>
    <row r="1061" spans="19:20">
      <c r="S1061" s="8"/>
      <c r="T1061" s="8"/>
    </row>
    <row r="1062" spans="19:20">
      <c r="S1062" s="8"/>
      <c r="T1062" s="8"/>
    </row>
    <row r="1063" spans="19:20">
      <c r="S1063" s="8"/>
      <c r="T1063" s="8"/>
    </row>
    <row r="1064" spans="19:20">
      <c r="S1064" s="8"/>
      <c r="T1064" s="8"/>
    </row>
    <row r="1065" spans="19:20">
      <c r="S1065" s="8"/>
      <c r="T1065" s="8"/>
    </row>
    <row r="1066" spans="19:20">
      <c r="S1066" s="8"/>
      <c r="T1066" s="8"/>
    </row>
    <row r="1067" spans="19:20">
      <c r="S1067" s="8"/>
      <c r="T1067" s="8"/>
    </row>
    <row r="1068" spans="19:20">
      <c r="S1068" s="8"/>
      <c r="T1068" s="8"/>
    </row>
    <row r="1069" spans="19:20">
      <c r="S1069" s="8"/>
      <c r="T1069" s="8"/>
    </row>
    <row r="1070" spans="19:20">
      <c r="S1070" s="8"/>
      <c r="T1070" s="8"/>
    </row>
    <row r="1071" spans="19:20">
      <c r="S1071" s="8"/>
      <c r="T1071" s="8"/>
    </row>
    <row r="1072" spans="19:20">
      <c r="S1072" s="8"/>
      <c r="T1072" s="8"/>
    </row>
    <row r="1073" spans="19:20">
      <c r="S1073" s="8"/>
      <c r="T1073" s="8"/>
    </row>
    <row r="1074" spans="19:20">
      <c r="S1074" s="8"/>
      <c r="T1074" s="8"/>
    </row>
    <row r="1075" spans="19:20">
      <c r="S1075" s="8"/>
      <c r="T1075" s="8"/>
    </row>
    <row r="1076" spans="19:20">
      <c r="S1076" s="8"/>
      <c r="T1076" s="8"/>
    </row>
    <row r="1077" spans="19:20">
      <c r="S1077" s="8"/>
      <c r="T1077" s="8"/>
    </row>
    <row r="1078" spans="19:20">
      <c r="S1078" s="8"/>
      <c r="T1078" s="8"/>
    </row>
    <row r="1079" spans="19:20">
      <c r="S1079" s="8"/>
      <c r="T1079" s="8"/>
    </row>
    <row r="1080" spans="19:20">
      <c r="S1080" s="8"/>
      <c r="T1080" s="8"/>
    </row>
    <row r="1081" spans="19:20">
      <c r="S1081" s="8"/>
      <c r="T1081" s="8"/>
    </row>
    <row r="1082" spans="19:20">
      <c r="S1082" s="8"/>
      <c r="T1082" s="8"/>
    </row>
    <row r="1083" spans="19:20">
      <c r="S1083" s="8"/>
      <c r="T1083" s="8"/>
    </row>
    <row r="1084" spans="19:20">
      <c r="S1084" s="8"/>
      <c r="T1084" s="8"/>
    </row>
    <row r="1085" spans="19:20">
      <c r="S1085" s="8"/>
      <c r="T1085" s="8"/>
    </row>
    <row r="1086" spans="19:20">
      <c r="S1086" s="8"/>
      <c r="T1086" s="8"/>
    </row>
    <row r="1087" spans="19:20">
      <c r="S1087" s="8"/>
      <c r="T1087" s="8"/>
    </row>
    <row r="1088" spans="19:20">
      <c r="S1088" s="8"/>
      <c r="T1088" s="8"/>
    </row>
    <row r="1089" spans="19:20">
      <c r="S1089" s="8"/>
      <c r="T1089" s="8"/>
    </row>
    <row r="1090" spans="19:20">
      <c r="S1090" s="8"/>
      <c r="T1090" s="8"/>
    </row>
    <row r="1091" spans="19:20">
      <c r="S1091" s="8"/>
      <c r="T1091" s="8"/>
    </row>
    <row r="1092" spans="19:20">
      <c r="S1092" s="8"/>
      <c r="T1092" s="8"/>
    </row>
    <row r="1093" spans="19:20">
      <c r="S1093" s="8"/>
      <c r="T1093" s="8"/>
    </row>
    <row r="1094" spans="19:20">
      <c r="S1094" s="8"/>
      <c r="T1094" s="8"/>
    </row>
    <row r="1095" spans="19:20">
      <c r="S1095" s="8"/>
      <c r="T1095" s="8"/>
    </row>
    <row r="1096" spans="19:20">
      <c r="S1096" s="8"/>
      <c r="T1096" s="8"/>
    </row>
    <row r="1097" spans="19:20">
      <c r="S1097" s="8"/>
      <c r="T1097" s="8"/>
    </row>
    <row r="1098" spans="19:20">
      <c r="S1098" s="8"/>
      <c r="T1098" s="8"/>
    </row>
    <row r="1099" spans="19:20">
      <c r="S1099" s="8"/>
      <c r="T1099" s="8"/>
    </row>
    <row r="1100" spans="19:20">
      <c r="S1100" s="8"/>
      <c r="T1100" s="8"/>
    </row>
    <row r="1101" spans="19:20">
      <c r="S1101" s="8"/>
      <c r="T1101" s="8"/>
    </row>
    <row r="1102" spans="19:20">
      <c r="S1102" s="8"/>
      <c r="T1102" s="8"/>
    </row>
    <row r="1103" spans="19:20">
      <c r="S1103" s="8"/>
      <c r="T1103" s="8"/>
    </row>
    <row r="1104" spans="19:20">
      <c r="S1104" s="8"/>
      <c r="T1104" s="8"/>
    </row>
    <row r="1105" spans="19:20">
      <c r="S1105" s="8"/>
      <c r="T1105" s="8"/>
    </row>
    <row r="1106" spans="19:20">
      <c r="S1106" s="8"/>
      <c r="T1106" s="8"/>
    </row>
    <row r="1107" spans="19:20">
      <c r="S1107" s="8"/>
      <c r="T1107" s="8"/>
    </row>
    <row r="1108" spans="19:20">
      <c r="S1108" s="8"/>
      <c r="T1108" s="8"/>
    </row>
    <row r="1109" spans="19:20">
      <c r="S1109" s="8"/>
      <c r="T1109" s="8"/>
    </row>
    <row r="1110" spans="19:20">
      <c r="S1110" s="8"/>
      <c r="T1110" s="8"/>
    </row>
    <row r="1111" spans="19:20">
      <c r="S1111" s="8"/>
      <c r="T1111" s="8"/>
    </row>
    <row r="1112" spans="19:20">
      <c r="S1112" s="8"/>
      <c r="T1112" s="8"/>
    </row>
    <row r="1113" spans="19:20">
      <c r="S1113" s="8"/>
      <c r="T1113" s="8"/>
    </row>
    <row r="1114" spans="19:20">
      <c r="S1114" s="8"/>
      <c r="T1114" s="8"/>
    </row>
    <row r="1115" spans="19:20">
      <c r="S1115" s="8"/>
      <c r="T1115" s="8"/>
    </row>
    <row r="1116" spans="19:20">
      <c r="S1116" s="8"/>
      <c r="T1116" s="8"/>
    </row>
    <row r="1117" spans="19:20">
      <c r="S1117" s="8"/>
      <c r="T1117" s="8"/>
    </row>
    <row r="1118" spans="19:20">
      <c r="S1118" s="8"/>
      <c r="T1118" s="8"/>
    </row>
    <row r="1119" spans="19:20">
      <c r="S1119" s="8"/>
      <c r="T1119" s="8"/>
    </row>
    <row r="1120" spans="19:20">
      <c r="S1120" s="8"/>
      <c r="T1120" s="8"/>
    </row>
    <row r="1121" spans="19:20">
      <c r="S1121" s="8"/>
      <c r="T1121" s="8"/>
    </row>
    <row r="1122" spans="19:20">
      <c r="S1122" s="8"/>
      <c r="T1122" s="8"/>
    </row>
    <row r="1123" spans="19:20">
      <c r="S1123" s="8"/>
      <c r="T1123" s="8"/>
    </row>
    <row r="1124" spans="19:20">
      <c r="S1124" s="8"/>
      <c r="T1124" s="8"/>
    </row>
    <row r="1125" spans="19:20">
      <c r="S1125" s="8"/>
      <c r="T1125" s="8"/>
    </row>
    <row r="1126" spans="19:20">
      <c r="S1126" s="8"/>
      <c r="T1126" s="8"/>
    </row>
    <row r="1127" spans="19:20">
      <c r="S1127" s="8"/>
      <c r="T1127" s="8"/>
    </row>
    <row r="1128" spans="19:20">
      <c r="S1128" s="8"/>
      <c r="T1128" s="8"/>
    </row>
    <row r="1129" spans="19:20">
      <c r="S1129" s="8"/>
      <c r="T1129" s="8"/>
    </row>
    <row r="1130" spans="19:20">
      <c r="S1130" s="8"/>
      <c r="T1130" s="8"/>
    </row>
    <row r="1131" spans="19:20">
      <c r="S1131" s="8"/>
      <c r="T1131" s="8"/>
    </row>
    <row r="1132" spans="19:20">
      <c r="S1132" s="8"/>
      <c r="T1132" s="8"/>
    </row>
    <row r="1133" spans="19:20">
      <c r="S1133" s="8"/>
      <c r="T1133" s="8"/>
    </row>
    <row r="1134" spans="19:20">
      <c r="S1134" s="8"/>
      <c r="T1134" s="8"/>
    </row>
    <row r="1135" spans="19:20">
      <c r="S1135" s="8"/>
      <c r="T1135" s="8"/>
    </row>
    <row r="1136" spans="19:20">
      <c r="S1136" s="8"/>
      <c r="T1136" s="8"/>
    </row>
    <row r="1137" spans="19:20">
      <c r="S1137" s="8"/>
      <c r="T1137" s="8"/>
    </row>
    <row r="1138" spans="19:20">
      <c r="S1138" s="8"/>
      <c r="T1138" s="8"/>
    </row>
    <row r="1139" spans="19:20">
      <c r="S1139" s="8"/>
      <c r="T1139" s="8"/>
    </row>
    <row r="1140" spans="19:20">
      <c r="S1140" s="8"/>
      <c r="T1140" s="8"/>
    </row>
    <row r="1141" spans="19:20">
      <c r="S1141" s="8"/>
      <c r="T1141" s="8"/>
    </row>
    <row r="1142" spans="19:20">
      <c r="S1142" s="8"/>
      <c r="T1142" s="8"/>
    </row>
    <row r="1143" spans="19:20">
      <c r="S1143" s="8"/>
      <c r="T1143" s="8"/>
    </row>
    <row r="1144" spans="19:20">
      <c r="S1144" s="8"/>
      <c r="T1144" s="8"/>
    </row>
    <row r="1145" spans="19:20">
      <c r="S1145" s="8"/>
      <c r="T1145" s="8"/>
    </row>
    <row r="1146" spans="19:20">
      <c r="S1146" s="8"/>
      <c r="T1146" s="8"/>
    </row>
    <row r="1147" spans="19:20">
      <c r="S1147" s="8"/>
      <c r="T1147" s="8"/>
    </row>
    <row r="1148" spans="19:20">
      <c r="S1148" s="8"/>
      <c r="T1148" s="8"/>
    </row>
    <row r="1149" spans="19:20">
      <c r="S1149" s="8"/>
      <c r="T1149" s="8"/>
    </row>
    <row r="1150" spans="19:20">
      <c r="S1150" s="8"/>
      <c r="T1150" s="8"/>
    </row>
    <row r="1151" spans="19:20">
      <c r="S1151" s="8"/>
      <c r="T1151" s="8"/>
    </row>
    <row r="1152" spans="19:20">
      <c r="S1152" s="8"/>
      <c r="T1152" s="8"/>
    </row>
    <row r="1153" spans="19:20">
      <c r="S1153" s="8"/>
      <c r="T1153" s="8"/>
    </row>
    <row r="1154" spans="19:20">
      <c r="S1154" s="8"/>
      <c r="T1154" s="8"/>
    </row>
    <row r="1155" spans="19:20">
      <c r="S1155" s="8"/>
      <c r="T1155" s="8"/>
    </row>
    <row r="1156" spans="19:20">
      <c r="S1156" s="8"/>
      <c r="T1156" s="8"/>
    </row>
    <row r="1157" spans="19:20">
      <c r="S1157" s="8"/>
      <c r="T1157" s="8"/>
    </row>
    <row r="1158" spans="19:20">
      <c r="S1158" s="8"/>
      <c r="T1158" s="8"/>
    </row>
    <row r="1159" spans="19:20">
      <c r="S1159" s="8"/>
      <c r="T1159" s="8"/>
    </row>
    <row r="1160" spans="19:20">
      <c r="S1160" s="8"/>
      <c r="T1160" s="8"/>
    </row>
    <row r="1161" spans="19:20">
      <c r="S1161" s="8"/>
      <c r="T1161" s="8"/>
    </row>
    <row r="1162" spans="19:20">
      <c r="S1162" s="8"/>
      <c r="T1162" s="8"/>
    </row>
    <row r="1163" spans="19:20">
      <c r="S1163" s="8"/>
      <c r="T1163" s="8"/>
    </row>
    <row r="1164" spans="19:20">
      <c r="S1164" s="8"/>
      <c r="T1164" s="8"/>
    </row>
    <row r="1165" spans="19:20">
      <c r="S1165" s="8"/>
      <c r="T1165" s="8"/>
    </row>
    <row r="1166" spans="19:20">
      <c r="S1166" s="8"/>
      <c r="T1166" s="8"/>
    </row>
    <row r="1167" spans="19:20">
      <c r="S1167" s="8"/>
      <c r="T1167" s="8"/>
    </row>
    <row r="1168" spans="19:20">
      <c r="S1168" s="8"/>
      <c r="T1168" s="8"/>
    </row>
    <row r="1169" spans="19:20">
      <c r="S1169" s="8"/>
      <c r="T1169" s="8"/>
    </row>
    <row r="1170" spans="19:20">
      <c r="S1170" s="8"/>
      <c r="T1170" s="8"/>
    </row>
    <row r="1171" spans="19:20">
      <c r="S1171" s="8"/>
      <c r="T1171" s="8"/>
    </row>
    <row r="1172" spans="19:20">
      <c r="S1172" s="8"/>
      <c r="T1172" s="8"/>
    </row>
    <row r="1173" spans="19:20">
      <c r="S1173" s="8"/>
      <c r="T1173" s="8"/>
    </row>
    <row r="1174" spans="19:20">
      <c r="S1174" s="8"/>
      <c r="T1174" s="8"/>
    </row>
    <row r="1175" spans="19:20">
      <c r="S1175" s="8"/>
      <c r="T1175" s="8"/>
    </row>
    <row r="1176" spans="19:20">
      <c r="S1176" s="8"/>
      <c r="T1176" s="8"/>
    </row>
    <row r="1177" spans="19:20">
      <c r="S1177" s="8"/>
      <c r="T1177" s="8"/>
    </row>
    <row r="1178" spans="19:20">
      <c r="S1178" s="8"/>
      <c r="T1178" s="8"/>
    </row>
    <row r="1179" spans="19:20">
      <c r="S1179" s="8"/>
      <c r="T1179" s="8"/>
    </row>
    <row r="1180" spans="19:20">
      <c r="S1180" s="8"/>
      <c r="T1180" s="8"/>
    </row>
    <row r="1181" spans="19:20">
      <c r="S1181" s="8"/>
      <c r="T1181" s="8"/>
    </row>
    <row r="1182" spans="19:20">
      <c r="S1182" s="8"/>
      <c r="T1182" s="8"/>
    </row>
    <row r="1183" spans="19:20">
      <c r="S1183" s="8"/>
      <c r="T1183" s="8"/>
    </row>
    <row r="1184" spans="19:20">
      <c r="S1184" s="8"/>
      <c r="T1184" s="8"/>
    </row>
    <row r="1185" spans="19:20">
      <c r="S1185" s="8"/>
      <c r="T1185" s="8"/>
    </row>
    <row r="1186" spans="19:20">
      <c r="S1186" s="8"/>
      <c r="T1186" s="8"/>
    </row>
    <row r="1187" spans="19:20">
      <c r="S1187" s="8"/>
      <c r="T1187" s="8"/>
    </row>
    <row r="1188" spans="19:20">
      <c r="S1188" s="8"/>
      <c r="T1188" s="8"/>
    </row>
    <row r="1189" spans="19:20">
      <c r="S1189" s="8"/>
      <c r="T1189" s="8"/>
    </row>
    <row r="1190" spans="19:20">
      <c r="S1190" s="8"/>
      <c r="T1190" s="8"/>
    </row>
    <row r="1191" spans="19:20">
      <c r="S1191" s="8"/>
      <c r="T1191" s="8"/>
    </row>
    <row r="1192" spans="19:20">
      <c r="S1192" s="8"/>
      <c r="T1192" s="8"/>
    </row>
    <row r="1193" spans="19:20">
      <c r="S1193" s="8"/>
      <c r="T1193" s="8"/>
    </row>
    <row r="1194" spans="19:20">
      <c r="S1194" s="8"/>
      <c r="T1194" s="8"/>
    </row>
    <row r="1195" spans="19:20">
      <c r="S1195" s="8"/>
      <c r="T1195" s="8"/>
    </row>
    <row r="1196" spans="19:20">
      <c r="S1196" s="8"/>
      <c r="T1196" s="8"/>
    </row>
    <row r="1197" spans="19:20">
      <c r="S1197" s="8"/>
      <c r="T1197" s="8"/>
    </row>
    <row r="1198" spans="19:20">
      <c r="S1198" s="8"/>
      <c r="T1198" s="8"/>
    </row>
    <row r="1199" spans="19:20">
      <c r="S1199" s="8"/>
      <c r="T1199" s="8"/>
    </row>
    <row r="1200" spans="19:20">
      <c r="S1200" s="8"/>
      <c r="T1200" s="8"/>
    </row>
    <row r="1201" spans="19:20">
      <c r="S1201" s="8"/>
      <c r="T1201" s="8"/>
    </row>
    <row r="1202" spans="19:20">
      <c r="S1202" s="8"/>
      <c r="T1202" s="8"/>
    </row>
    <row r="1203" spans="19:20">
      <c r="S1203" s="8"/>
      <c r="T1203" s="8"/>
    </row>
    <row r="1204" spans="19:20">
      <c r="S1204" s="8"/>
      <c r="T1204" s="8"/>
    </row>
    <row r="1205" spans="19:20">
      <c r="S1205" s="8"/>
      <c r="T1205" s="8"/>
    </row>
    <row r="1206" spans="19:20">
      <c r="S1206" s="8"/>
      <c r="T1206" s="8"/>
    </row>
    <row r="1207" spans="19:20">
      <c r="S1207" s="8"/>
      <c r="T1207" s="8"/>
    </row>
    <row r="1208" spans="19:20">
      <c r="S1208" s="8"/>
      <c r="T1208" s="8"/>
    </row>
    <row r="1209" spans="19:20">
      <c r="S1209" s="8"/>
      <c r="T1209" s="8"/>
    </row>
    <row r="1210" spans="19:20">
      <c r="S1210" s="8"/>
      <c r="T1210" s="8"/>
    </row>
    <row r="1211" spans="19:20">
      <c r="S1211" s="8"/>
      <c r="T1211" s="8"/>
    </row>
    <row r="1212" spans="19:20">
      <c r="S1212" s="8"/>
      <c r="T1212" s="8"/>
    </row>
    <row r="1213" spans="19:20">
      <c r="S1213" s="8"/>
      <c r="T1213" s="8"/>
    </row>
    <row r="1214" spans="19:20">
      <c r="S1214" s="8"/>
      <c r="T1214" s="8"/>
    </row>
    <row r="1215" spans="19:20">
      <c r="S1215" s="8"/>
      <c r="T1215" s="8"/>
    </row>
    <row r="1216" spans="19:20">
      <c r="S1216" s="8"/>
      <c r="T1216" s="8"/>
    </row>
    <row r="1217" spans="19:20">
      <c r="S1217" s="8"/>
      <c r="T1217" s="8"/>
    </row>
    <row r="1218" spans="19:20">
      <c r="S1218" s="8"/>
      <c r="T1218" s="8"/>
    </row>
    <row r="1219" spans="19:20">
      <c r="S1219" s="8"/>
      <c r="T1219" s="8"/>
    </row>
    <row r="1220" spans="19:20">
      <c r="S1220" s="8"/>
      <c r="T1220" s="8"/>
    </row>
    <row r="1221" spans="19:20">
      <c r="S1221" s="8"/>
      <c r="T1221" s="8"/>
    </row>
    <row r="1222" spans="19:20">
      <c r="S1222" s="8"/>
      <c r="T1222" s="8"/>
    </row>
    <row r="1223" spans="19:20">
      <c r="S1223" s="8"/>
      <c r="T1223" s="8"/>
    </row>
    <row r="1224" spans="19:20">
      <c r="S1224" s="8"/>
      <c r="T1224" s="8"/>
    </row>
    <row r="1225" spans="19:20">
      <c r="S1225" s="8"/>
      <c r="T1225" s="8"/>
    </row>
    <row r="1226" spans="19:20">
      <c r="S1226" s="8"/>
      <c r="T1226" s="8"/>
    </row>
    <row r="1227" spans="19:20">
      <c r="S1227" s="8"/>
      <c r="T1227" s="8"/>
    </row>
    <row r="1228" spans="19:20">
      <c r="S1228" s="8"/>
      <c r="T1228" s="8"/>
    </row>
    <row r="1229" spans="19:20">
      <c r="S1229" s="8"/>
      <c r="T1229" s="8"/>
    </row>
    <row r="1230" spans="19:20">
      <c r="S1230" s="8"/>
      <c r="T1230" s="8"/>
    </row>
    <row r="1231" spans="19:20">
      <c r="S1231" s="8"/>
      <c r="T1231" s="8"/>
    </row>
    <row r="1232" spans="19:20">
      <c r="S1232" s="8"/>
      <c r="T1232" s="8"/>
    </row>
    <row r="1233" spans="19:20">
      <c r="S1233" s="8"/>
      <c r="T1233" s="8"/>
    </row>
    <row r="1234" spans="19:20">
      <c r="S1234" s="8"/>
      <c r="T1234" s="8"/>
    </row>
    <row r="1235" spans="19:20">
      <c r="S1235" s="8"/>
      <c r="T1235" s="8"/>
    </row>
    <row r="1236" spans="19:20">
      <c r="S1236" s="8"/>
      <c r="T1236" s="8"/>
    </row>
    <row r="1237" spans="19:20">
      <c r="S1237" s="8"/>
      <c r="T1237" s="8"/>
    </row>
    <row r="1238" spans="19:20">
      <c r="S1238" s="8"/>
      <c r="T1238" s="8"/>
    </row>
    <row r="1239" spans="19:20">
      <c r="S1239" s="8"/>
      <c r="T1239" s="8"/>
    </row>
    <row r="1240" spans="19:20">
      <c r="S1240" s="8"/>
      <c r="T1240" s="8"/>
    </row>
    <row r="1241" spans="19:20">
      <c r="S1241" s="8"/>
      <c r="T1241" s="8"/>
    </row>
    <row r="1242" spans="19:20">
      <c r="S1242" s="8"/>
      <c r="T1242" s="8"/>
    </row>
    <row r="1243" spans="19:20">
      <c r="S1243" s="8"/>
      <c r="T1243" s="8"/>
    </row>
    <row r="1244" spans="19:20">
      <c r="S1244" s="8"/>
      <c r="T1244" s="8"/>
    </row>
    <row r="1245" spans="19:20">
      <c r="S1245" s="8"/>
      <c r="T1245" s="8"/>
    </row>
    <row r="1246" spans="19:20">
      <c r="S1246" s="8"/>
      <c r="T1246" s="8"/>
    </row>
    <row r="1247" spans="19:20">
      <c r="S1247" s="8"/>
      <c r="T1247" s="8"/>
    </row>
    <row r="1248" spans="19:20">
      <c r="S1248" s="8"/>
      <c r="T1248" s="8"/>
    </row>
    <row r="1249" spans="19:20">
      <c r="S1249" s="8"/>
      <c r="T1249" s="8"/>
    </row>
    <row r="1250" spans="19:20">
      <c r="S1250" s="8"/>
      <c r="T1250" s="8"/>
    </row>
    <row r="1251" spans="19:20">
      <c r="S1251" s="8"/>
      <c r="T1251" s="8"/>
    </row>
    <row r="1252" spans="19:20">
      <c r="S1252" s="8"/>
      <c r="T1252" s="8"/>
    </row>
    <row r="1253" spans="19:20">
      <c r="S1253" s="8"/>
      <c r="T1253" s="8"/>
    </row>
    <row r="1254" spans="19:20">
      <c r="S1254" s="8"/>
      <c r="T1254" s="8"/>
    </row>
    <row r="1255" spans="19:20">
      <c r="S1255" s="8"/>
      <c r="T1255" s="8"/>
    </row>
    <row r="1256" spans="19:20">
      <c r="S1256" s="8"/>
      <c r="T1256" s="8"/>
    </row>
    <row r="1257" spans="19:20">
      <c r="S1257" s="8"/>
      <c r="T1257" s="8"/>
    </row>
    <row r="1258" spans="19:20">
      <c r="S1258" s="8"/>
      <c r="T1258" s="8"/>
    </row>
    <row r="1259" spans="19:20">
      <c r="S1259" s="8"/>
      <c r="T1259" s="8"/>
    </row>
    <row r="1260" spans="19:20">
      <c r="S1260" s="8"/>
      <c r="T1260" s="8"/>
    </row>
    <row r="1261" spans="19:20">
      <c r="S1261" s="8"/>
      <c r="T1261" s="8"/>
    </row>
    <row r="1262" spans="19:20">
      <c r="S1262" s="8"/>
      <c r="T1262" s="8"/>
    </row>
    <row r="1263" spans="19:20">
      <c r="S1263" s="8"/>
      <c r="T1263" s="8"/>
    </row>
    <row r="1264" spans="19:20">
      <c r="S1264" s="8"/>
      <c r="T1264" s="8"/>
    </row>
    <row r="1265" spans="19:20">
      <c r="S1265" s="8"/>
      <c r="T1265" s="8"/>
    </row>
    <row r="1266" spans="19:20">
      <c r="S1266" s="8"/>
      <c r="T1266" s="8"/>
    </row>
    <row r="1267" spans="19:20">
      <c r="S1267" s="8"/>
      <c r="T1267" s="8"/>
    </row>
    <row r="1268" spans="19:20">
      <c r="S1268" s="8"/>
      <c r="T1268" s="8"/>
    </row>
    <row r="1269" spans="19:20">
      <c r="S1269" s="8"/>
      <c r="T1269" s="8"/>
    </row>
    <row r="1270" spans="19:20">
      <c r="S1270" s="8"/>
      <c r="T1270" s="8"/>
    </row>
    <row r="1271" spans="19:20">
      <c r="S1271" s="8"/>
      <c r="T1271" s="8"/>
    </row>
    <row r="1272" spans="19:20">
      <c r="S1272" s="8"/>
      <c r="T1272" s="8"/>
    </row>
    <row r="1273" spans="19:20">
      <c r="S1273" s="8"/>
      <c r="T1273" s="8"/>
    </row>
    <row r="1274" spans="19:20">
      <c r="S1274" s="8"/>
      <c r="T1274" s="8"/>
    </row>
    <row r="1275" spans="19:20">
      <c r="S1275" s="8"/>
      <c r="T1275" s="8"/>
    </row>
    <row r="1276" spans="19:20">
      <c r="S1276" s="8"/>
      <c r="T1276" s="8"/>
    </row>
    <row r="1277" spans="19:20">
      <c r="S1277" s="8"/>
      <c r="T1277" s="8"/>
    </row>
    <row r="1278" spans="19:20">
      <c r="S1278" s="8"/>
      <c r="T1278" s="8"/>
    </row>
    <row r="1279" spans="19:20">
      <c r="S1279" s="8"/>
      <c r="T1279" s="8"/>
    </row>
    <row r="1280" spans="19:20">
      <c r="S1280" s="8"/>
      <c r="T1280" s="8"/>
    </row>
    <row r="1281" spans="19:20">
      <c r="S1281" s="8"/>
      <c r="T1281" s="8"/>
    </row>
    <row r="1282" spans="19:20">
      <c r="S1282" s="8"/>
      <c r="T1282" s="8"/>
    </row>
    <row r="1283" spans="19:20">
      <c r="S1283" s="8"/>
      <c r="T1283" s="8"/>
    </row>
    <row r="1284" spans="19:20">
      <c r="S1284" s="8"/>
      <c r="T1284" s="8"/>
    </row>
    <row r="1285" spans="19:20">
      <c r="S1285" s="8"/>
      <c r="T1285" s="8"/>
    </row>
    <row r="1286" spans="19:20">
      <c r="S1286" s="8"/>
      <c r="T1286" s="8"/>
    </row>
    <row r="1287" spans="19:20">
      <c r="S1287" s="8"/>
      <c r="T1287" s="8"/>
    </row>
    <row r="1288" spans="19:20">
      <c r="S1288" s="8"/>
      <c r="T1288" s="8"/>
    </row>
    <row r="1289" spans="19:20">
      <c r="S1289" s="8"/>
      <c r="T1289" s="8"/>
    </row>
    <row r="1290" spans="19:20">
      <c r="S1290" s="8"/>
      <c r="T1290" s="8"/>
    </row>
    <row r="1291" spans="19:20">
      <c r="S1291" s="8"/>
      <c r="T1291" s="8"/>
    </row>
    <row r="1292" spans="19:20">
      <c r="S1292" s="8"/>
      <c r="T1292" s="8"/>
    </row>
    <row r="1293" spans="19:20">
      <c r="S1293" s="8"/>
      <c r="T1293" s="8"/>
    </row>
    <row r="1294" spans="19:20">
      <c r="S1294" s="8"/>
      <c r="T1294" s="8"/>
    </row>
    <row r="1295" spans="19:20">
      <c r="S1295" s="8"/>
      <c r="T1295" s="8"/>
    </row>
    <row r="1296" spans="19:20">
      <c r="S1296" s="8"/>
      <c r="T1296" s="8"/>
    </row>
    <row r="1297" spans="19:20">
      <c r="S1297" s="8"/>
      <c r="T1297" s="8"/>
    </row>
    <row r="1298" spans="19:20">
      <c r="S1298" s="8"/>
      <c r="T1298" s="8"/>
    </row>
    <row r="1299" spans="19:20">
      <c r="S1299" s="8"/>
      <c r="T1299" s="8"/>
    </row>
    <row r="1300" spans="19:20">
      <c r="S1300" s="8"/>
      <c r="T1300" s="8"/>
    </row>
    <row r="1301" spans="19:20">
      <c r="S1301" s="8"/>
      <c r="T1301" s="8"/>
    </row>
    <row r="1302" spans="19:20">
      <c r="S1302" s="8"/>
      <c r="T1302" s="8"/>
    </row>
    <row r="1303" spans="19:20">
      <c r="S1303" s="8"/>
      <c r="T1303" s="8"/>
    </row>
    <row r="1304" spans="19:20">
      <c r="S1304" s="8"/>
      <c r="T1304" s="8"/>
    </row>
    <row r="1305" spans="19:20">
      <c r="S1305" s="8"/>
      <c r="T1305" s="8"/>
    </row>
    <row r="1306" spans="19:20">
      <c r="S1306" s="8"/>
      <c r="T1306" s="8"/>
    </row>
    <row r="1307" spans="19:20">
      <c r="S1307" s="8"/>
      <c r="T1307" s="8"/>
    </row>
    <row r="1308" spans="19:20">
      <c r="S1308" s="8"/>
      <c r="T1308" s="8"/>
    </row>
    <row r="1309" spans="19:20">
      <c r="S1309" s="8"/>
      <c r="T1309" s="8"/>
    </row>
    <row r="1310" spans="19:20">
      <c r="S1310" s="8"/>
      <c r="T1310" s="8"/>
    </row>
    <row r="1311" spans="19:20">
      <c r="S1311" s="8"/>
      <c r="T1311" s="8"/>
    </row>
    <row r="1312" spans="19:20">
      <c r="S1312" s="8"/>
      <c r="T1312" s="8"/>
    </row>
    <row r="1313" spans="19:20">
      <c r="S1313" s="8"/>
      <c r="T1313" s="8"/>
    </row>
    <row r="1314" spans="19:20">
      <c r="S1314" s="8"/>
      <c r="T1314" s="8"/>
    </row>
    <row r="1315" spans="19:20">
      <c r="S1315" s="8"/>
      <c r="T1315" s="8"/>
    </row>
    <row r="1316" spans="19:20">
      <c r="S1316" s="8"/>
      <c r="T1316" s="8"/>
    </row>
    <row r="1317" spans="19:20">
      <c r="S1317" s="8"/>
      <c r="T1317" s="8"/>
    </row>
    <row r="1318" spans="19:20">
      <c r="S1318" s="8"/>
      <c r="T1318" s="8"/>
    </row>
    <row r="1319" spans="19:20">
      <c r="S1319" s="8"/>
      <c r="T1319" s="8"/>
    </row>
    <row r="1320" spans="19:20">
      <c r="S1320" s="8"/>
      <c r="T1320" s="8"/>
    </row>
    <row r="1321" spans="19:20">
      <c r="S1321" s="8"/>
      <c r="T1321" s="8"/>
    </row>
    <row r="1322" spans="19:20">
      <c r="S1322" s="8"/>
      <c r="T1322" s="8"/>
    </row>
    <row r="1323" spans="19:20">
      <c r="S1323" s="8"/>
      <c r="T1323" s="8"/>
    </row>
    <row r="1324" spans="19:20">
      <c r="S1324" s="8"/>
      <c r="T1324" s="8"/>
    </row>
    <row r="1325" spans="19:20">
      <c r="S1325" s="8"/>
      <c r="T1325" s="8"/>
    </row>
    <row r="1326" spans="19:20">
      <c r="S1326" s="8"/>
      <c r="T1326" s="8"/>
    </row>
    <row r="1327" spans="19:20">
      <c r="S1327" s="8"/>
      <c r="T1327" s="8"/>
    </row>
    <row r="1328" spans="19:20">
      <c r="S1328" s="8"/>
      <c r="T1328" s="8"/>
    </row>
    <row r="1329" spans="19:20">
      <c r="S1329" s="8"/>
      <c r="T1329" s="8"/>
    </row>
    <row r="1330" spans="19:20">
      <c r="S1330" s="8"/>
      <c r="T1330" s="8"/>
    </row>
    <row r="1331" spans="19:20">
      <c r="S1331" s="8"/>
      <c r="T1331" s="8"/>
    </row>
    <row r="1332" spans="19:20">
      <c r="S1332" s="8"/>
      <c r="T1332" s="8"/>
    </row>
    <row r="1333" spans="19:20">
      <c r="S1333" s="8"/>
      <c r="T1333" s="8"/>
    </row>
    <row r="1334" spans="19:20">
      <c r="S1334" s="8"/>
      <c r="T1334" s="8"/>
    </row>
    <row r="1335" spans="19:20">
      <c r="S1335" s="8"/>
      <c r="T1335" s="8"/>
    </row>
    <row r="1336" spans="19:20">
      <c r="S1336" s="8"/>
      <c r="T1336" s="8"/>
    </row>
    <row r="1337" spans="19:20">
      <c r="S1337" s="8"/>
      <c r="T1337" s="8"/>
    </row>
    <row r="1338" spans="19:20">
      <c r="S1338" s="8"/>
      <c r="T1338" s="8"/>
    </row>
    <row r="1339" spans="19:20">
      <c r="S1339" s="8"/>
      <c r="T1339" s="8"/>
    </row>
    <row r="1340" spans="19:20">
      <c r="S1340" s="8"/>
      <c r="T1340" s="8"/>
    </row>
    <row r="1341" spans="19:20">
      <c r="S1341" s="8"/>
      <c r="T1341" s="8"/>
    </row>
    <row r="1342" spans="19:20">
      <c r="S1342" s="8"/>
      <c r="T1342" s="8"/>
    </row>
    <row r="1343" spans="19:20">
      <c r="S1343" s="8"/>
      <c r="T1343" s="8"/>
    </row>
    <row r="1344" spans="19:20">
      <c r="S1344" s="8"/>
      <c r="T1344" s="8"/>
    </row>
    <row r="1345" spans="19:20">
      <c r="S1345" s="8"/>
      <c r="T1345" s="8"/>
    </row>
    <row r="1346" spans="19:20">
      <c r="S1346" s="8"/>
      <c r="T1346" s="8"/>
    </row>
    <row r="1347" spans="19:20">
      <c r="S1347" s="8"/>
      <c r="T1347" s="8"/>
    </row>
    <row r="1348" spans="19:20">
      <c r="S1348" s="8"/>
      <c r="T1348" s="8"/>
    </row>
    <row r="1349" spans="19:20">
      <c r="S1349" s="8"/>
      <c r="T1349" s="8"/>
    </row>
    <row r="1350" spans="19:20">
      <c r="S1350" s="8"/>
      <c r="T1350" s="8"/>
    </row>
    <row r="1351" spans="19:20">
      <c r="S1351" s="8"/>
      <c r="T1351" s="8"/>
    </row>
    <row r="1352" spans="19:20">
      <c r="S1352" s="8"/>
      <c r="T1352" s="8"/>
    </row>
    <row r="1353" spans="19:20">
      <c r="S1353" s="8"/>
      <c r="T1353" s="8"/>
    </row>
    <row r="1354" spans="19:20">
      <c r="S1354" s="8"/>
      <c r="T1354" s="8"/>
    </row>
    <row r="1355" spans="19:20">
      <c r="S1355" s="8"/>
      <c r="T1355" s="8"/>
    </row>
    <row r="1356" spans="19:20">
      <c r="S1356" s="8"/>
      <c r="T1356" s="8"/>
    </row>
    <row r="1357" spans="19:20">
      <c r="S1357" s="8"/>
      <c r="T1357" s="8"/>
    </row>
    <row r="1358" spans="19:20">
      <c r="S1358" s="8"/>
      <c r="T1358" s="8"/>
    </row>
    <row r="1359" spans="19:20">
      <c r="S1359" s="8"/>
      <c r="T1359" s="8"/>
    </row>
    <row r="1360" spans="19:20">
      <c r="S1360" s="8"/>
      <c r="T1360" s="8"/>
    </row>
    <row r="1361" spans="19:20">
      <c r="S1361" s="8"/>
      <c r="T1361" s="8"/>
    </row>
    <row r="1362" spans="19:20">
      <c r="S1362" s="8"/>
      <c r="T1362" s="8"/>
    </row>
    <row r="1363" spans="19:20">
      <c r="S1363" s="8"/>
      <c r="T1363" s="8"/>
    </row>
    <row r="1364" spans="19:20">
      <c r="S1364" s="8"/>
      <c r="T1364" s="8"/>
    </row>
    <row r="1365" spans="19:20">
      <c r="S1365" s="8"/>
      <c r="T1365" s="8"/>
    </row>
    <row r="1366" spans="19:20">
      <c r="S1366" s="8"/>
      <c r="T1366" s="8"/>
    </row>
    <row r="1367" spans="19:20">
      <c r="S1367" s="8"/>
      <c r="T1367" s="8"/>
    </row>
    <row r="1368" spans="19:20">
      <c r="S1368" s="8"/>
      <c r="T1368" s="8"/>
    </row>
    <row r="1369" spans="19:20">
      <c r="S1369" s="8"/>
      <c r="T1369" s="8"/>
    </row>
    <row r="1370" spans="19:20">
      <c r="S1370" s="8"/>
      <c r="T1370" s="8"/>
    </row>
    <row r="1371" spans="19:20">
      <c r="S1371" s="8"/>
      <c r="T1371" s="8"/>
    </row>
    <row r="1372" spans="19:20">
      <c r="S1372" s="8"/>
      <c r="T1372" s="8"/>
    </row>
    <row r="1373" spans="19:20">
      <c r="S1373" s="8"/>
      <c r="T1373" s="8"/>
    </row>
    <row r="1374" spans="19:20">
      <c r="S1374" s="8"/>
      <c r="T1374" s="8"/>
    </row>
    <row r="1375" spans="19:20">
      <c r="S1375" s="8"/>
      <c r="T1375" s="8"/>
    </row>
    <row r="1376" spans="19:20">
      <c r="S1376" s="8"/>
      <c r="T1376" s="8"/>
    </row>
    <row r="1377" spans="19:20">
      <c r="S1377" s="8"/>
      <c r="T1377" s="8"/>
    </row>
    <row r="1378" spans="19:20">
      <c r="S1378" s="8"/>
      <c r="T1378" s="8"/>
    </row>
    <row r="1379" spans="19:20">
      <c r="S1379" s="8"/>
      <c r="T1379" s="8"/>
    </row>
    <row r="1380" spans="19:20">
      <c r="S1380" s="8"/>
      <c r="T1380" s="8"/>
    </row>
    <row r="1381" spans="19:20">
      <c r="S1381" s="8"/>
      <c r="T1381" s="8"/>
    </row>
    <row r="1382" spans="19:20">
      <c r="S1382" s="8"/>
      <c r="T1382" s="8"/>
    </row>
    <row r="1383" spans="19:20">
      <c r="S1383" s="8"/>
      <c r="T1383" s="8"/>
    </row>
    <row r="1384" spans="19:20">
      <c r="S1384" s="8"/>
      <c r="T1384" s="8"/>
    </row>
    <row r="1385" spans="19:20">
      <c r="S1385" s="8"/>
      <c r="T1385" s="8"/>
    </row>
    <row r="1386" spans="19:20">
      <c r="S1386" s="8"/>
      <c r="T1386" s="8"/>
    </row>
    <row r="1387" spans="19:20">
      <c r="S1387" s="8"/>
      <c r="T1387" s="8"/>
    </row>
    <row r="1388" spans="19:20">
      <c r="S1388" s="8"/>
      <c r="T1388" s="8"/>
    </row>
    <row r="1389" spans="19:20">
      <c r="S1389" s="8"/>
      <c r="T1389" s="8"/>
    </row>
    <row r="1390" spans="19:20">
      <c r="S1390" s="8"/>
      <c r="T1390" s="8"/>
    </row>
    <row r="1391" spans="19:20">
      <c r="S1391" s="8"/>
      <c r="T1391" s="8"/>
    </row>
    <row r="1392" spans="19:20">
      <c r="S1392" s="8"/>
      <c r="T1392" s="8"/>
    </row>
    <row r="1393" spans="19:20">
      <c r="S1393" s="8"/>
      <c r="T1393" s="8"/>
    </row>
    <row r="1394" spans="19:20">
      <c r="S1394" s="8"/>
      <c r="T1394" s="8"/>
    </row>
    <row r="1395" spans="19:20">
      <c r="S1395" s="8"/>
      <c r="T1395" s="8"/>
    </row>
    <row r="1396" spans="19:20">
      <c r="S1396" s="8"/>
      <c r="T1396" s="8"/>
    </row>
    <row r="1397" spans="19:20">
      <c r="S1397" s="8"/>
      <c r="T1397" s="8"/>
    </row>
    <row r="1398" spans="19:20">
      <c r="S1398" s="8"/>
      <c r="T1398" s="8"/>
    </row>
    <row r="1399" spans="19:20">
      <c r="S1399" s="8"/>
      <c r="T1399" s="8"/>
    </row>
    <row r="1400" spans="19:20">
      <c r="S1400" s="8"/>
      <c r="T1400" s="8"/>
    </row>
    <row r="1401" spans="19:20">
      <c r="S1401" s="8"/>
      <c r="T1401" s="8"/>
    </row>
    <row r="1402" spans="19:20">
      <c r="S1402" s="8"/>
      <c r="T1402" s="8"/>
    </row>
    <row r="1403" spans="19:20">
      <c r="S1403" s="8"/>
      <c r="T1403" s="8"/>
    </row>
    <row r="1404" spans="19:20">
      <c r="S1404" s="8"/>
      <c r="T1404" s="8"/>
    </row>
    <row r="1405" spans="19:20">
      <c r="S1405" s="8"/>
      <c r="T1405" s="8"/>
    </row>
    <row r="1406" spans="19:20">
      <c r="S1406" s="8"/>
      <c r="T1406" s="8"/>
    </row>
    <row r="1407" spans="19:20">
      <c r="S1407" s="8"/>
      <c r="T1407" s="8"/>
    </row>
    <row r="1408" spans="19:20">
      <c r="S1408" s="8"/>
      <c r="T1408" s="8"/>
    </row>
    <row r="1409" spans="19:20">
      <c r="S1409" s="8"/>
      <c r="T1409" s="8"/>
    </row>
    <row r="1410" spans="19:20">
      <c r="S1410" s="8"/>
      <c r="T1410" s="8"/>
    </row>
    <row r="1411" spans="19:20">
      <c r="S1411" s="8"/>
      <c r="T1411" s="8"/>
    </row>
    <row r="1412" spans="19:20">
      <c r="S1412" s="8"/>
      <c r="T1412" s="8"/>
    </row>
    <row r="1413" spans="19:20">
      <c r="S1413" s="8"/>
      <c r="T1413" s="8"/>
    </row>
    <row r="1414" spans="19:20">
      <c r="S1414" s="8"/>
      <c r="T1414" s="8"/>
    </row>
    <row r="1415" spans="19:20">
      <c r="S1415" s="8"/>
      <c r="T1415" s="8"/>
    </row>
    <row r="1416" spans="19:20">
      <c r="S1416" s="8"/>
      <c r="T1416" s="8"/>
    </row>
    <row r="1417" spans="19:20">
      <c r="S1417" s="8"/>
      <c r="T1417" s="8"/>
    </row>
    <row r="1418" spans="19:20">
      <c r="S1418" s="8"/>
      <c r="T1418" s="8"/>
    </row>
    <row r="1419" spans="19:20">
      <c r="S1419" s="8"/>
      <c r="T1419" s="8"/>
    </row>
    <row r="1420" spans="19:20">
      <c r="S1420" s="8"/>
      <c r="T1420" s="8"/>
    </row>
    <row r="1421" spans="19:20">
      <c r="S1421" s="8"/>
      <c r="T1421" s="8"/>
    </row>
    <row r="1422" spans="19:20">
      <c r="S1422" s="8"/>
      <c r="T1422" s="8"/>
    </row>
    <row r="1423" spans="19:20">
      <c r="S1423" s="8"/>
      <c r="T1423" s="8"/>
    </row>
    <row r="1424" spans="19:20">
      <c r="S1424" s="8"/>
      <c r="T1424" s="8"/>
    </row>
    <row r="1425" spans="19:20">
      <c r="S1425" s="8"/>
      <c r="T1425" s="8"/>
    </row>
    <row r="1426" spans="19:20">
      <c r="S1426" s="8"/>
      <c r="T1426" s="8"/>
    </row>
    <row r="1427" spans="19:20">
      <c r="S1427" s="8"/>
      <c r="T1427" s="8"/>
    </row>
    <row r="1428" spans="19:20">
      <c r="S1428" s="8"/>
      <c r="T1428" s="8"/>
    </row>
    <row r="1429" spans="19:20">
      <c r="S1429" s="8"/>
      <c r="T1429" s="8"/>
    </row>
    <row r="1430" spans="19:20">
      <c r="S1430" s="8"/>
      <c r="T1430" s="8"/>
    </row>
    <row r="1431" spans="19:20">
      <c r="S1431" s="8"/>
      <c r="T1431" s="8"/>
    </row>
    <row r="1432" spans="19:20">
      <c r="S1432" s="8"/>
      <c r="T1432" s="8"/>
    </row>
    <row r="1433" spans="19:20">
      <c r="S1433" s="8"/>
      <c r="T1433" s="8"/>
    </row>
    <row r="1434" spans="19:20">
      <c r="S1434" s="8"/>
      <c r="T1434" s="8"/>
    </row>
    <row r="1435" spans="19:20">
      <c r="S1435" s="8"/>
      <c r="T1435" s="8"/>
    </row>
    <row r="1436" spans="19:20">
      <c r="S1436" s="8"/>
      <c r="T1436" s="8"/>
    </row>
    <row r="1437" spans="19:20">
      <c r="S1437" s="8"/>
      <c r="T1437" s="8"/>
    </row>
    <row r="1438" spans="19:20">
      <c r="S1438" s="8"/>
      <c r="T1438" s="8"/>
    </row>
    <row r="1439" spans="19:20">
      <c r="S1439" s="8"/>
      <c r="T1439" s="8"/>
    </row>
    <row r="1440" spans="19:20">
      <c r="S1440" s="8"/>
      <c r="T1440" s="8"/>
    </row>
    <row r="1441" spans="19:20">
      <c r="S1441" s="8"/>
      <c r="T1441" s="8"/>
    </row>
    <row r="1442" spans="19:20">
      <c r="S1442" s="8"/>
      <c r="T1442" s="8"/>
    </row>
    <row r="1443" spans="19:20">
      <c r="S1443" s="8"/>
      <c r="T1443" s="8"/>
    </row>
    <row r="1444" spans="19:20">
      <c r="S1444" s="8"/>
      <c r="T1444" s="8"/>
    </row>
    <row r="1445" spans="19:20">
      <c r="S1445" s="8"/>
      <c r="T1445" s="8"/>
    </row>
    <row r="1446" spans="19:20">
      <c r="S1446" s="8"/>
      <c r="T1446" s="8"/>
    </row>
    <row r="1447" spans="19:20">
      <c r="S1447" s="8"/>
      <c r="T1447" s="8"/>
    </row>
    <row r="1448" spans="19:20">
      <c r="S1448" s="8"/>
      <c r="T1448" s="8"/>
    </row>
    <row r="1449" spans="19:20">
      <c r="S1449" s="8"/>
      <c r="T1449" s="8"/>
    </row>
    <row r="1450" spans="19:20">
      <c r="S1450" s="8"/>
      <c r="T1450" s="8"/>
    </row>
    <row r="1451" spans="19:20">
      <c r="S1451" s="8"/>
      <c r="T1451" s="8"/>
    </row>
    <row r="1452" spans="19:20">
      <c r="S1452" s="8"/>
      <c r="T1452" s="8"/>
    </row>
    <row r="1453" spans="19:20">
      <c r="S1453" s="8"/>
      <c r="T1453" s="8"/>
    </row>
    <row r="1454" spans="19:20">
      <c r="S1454" s="8"/>
      <c r="T1454" s="8"/>
    </row>
    <row r="1455" spans="19:20">
      <c r="S1455" s="8"/>
      <c r="T1455" s="8"/>
    </row>
    <row r="1456" spans="19:20">
      <c r="S1456" s="8"/>
      <c r="T1456" s="8"/>
    </row>
    <row r="1457" spans="19:20">
      <c r="S1457" s="8"/>
      <c r="T1457" s="8"/>
    </row>
    <row r="1458" spans="19:20">
      <c r="S1458" s="8"/>
      <c r="T1458" s="8"/>
    </row>
    <row r="1459" spans="19:20">
      <c r="S1459" s="8"/>
      <c r="T1459" s="8"/>
    </row>
    <row r="1460" spans="19:20">
      <c r="S1460" s="8"/>
      <c r="T1460" s="8"/>
    </row>
    <row r="1461" spans="19:20">
      <c r="S1461" s="8"/>
      <c r="T1461" s="8"/>
    </row>
    <row r="1462" spans="19:20">
      <c r="S1462" s="8"/>
      <c r="T1462" s="8"/>
    </row>
    <row r="1463" spans="19:20">
      <c r="S1463" s="8"/>
      <c r="T1463" s="8"/>
    </row>
    <row r="1464" spans="19:20">
      <c r="S1464" s="8"/>
      <c r="T1464" s="8"/>
    </row>
    <row r="1465" spans="19:20">
      <c r="S1465" s="8"/>
      <c r="T1465" s="8"/>
    </row>
    <row r="1466" spans="19:20">
      <c r="S1466" s="8"/>
      <c r="T1466" s="8"/>
    </row>
    <row r="1467" spans="19:20">
      <c r="S1467" s="8"/>
      <c r="T1467" s="8"/>
    </row>
    <row r="1468" spans="19:20">
      <c r="S1468" s="8"/>
      <c r="T1468" s="8"/>
    </row>
    <row r="1469" spans="19:20">
      <c r="S1469" s="8"/>
      <c r="T1469" s="8"/>
    </row>
    <row r="1470" spans="19:20">
      <c r="S1470" s="8"/>
      <c r="T1470" s="8"/>
    </row>
    <row r="1471" spans="19:20">
      <c r="S1471" s="8"/>
      <c r="T1471" s="8"/>
    </row>
    <row r="1472" spans="19:20">
      <c r="S1472" s="8"/>
      <c r="T1472" s="8"/>
    </row>
    <row r="1473" spans="19:20">
      <c r="S1473" s="8"/>
      <c r="T1473" s="8"/>
    </row>
    <row r="1474" spans="19:20">
      <c r="S1474" s="8"/>
      <c r="T1474" s="8"/>
    </row>
    <row r="1475" spans="19:20">
      <c r="S1475" s="8"/>
      <c r="T1475" s="8"/>
    </row>
    <row r="1476" spans="19:20">
      <c r="S1476" s="8"/>
      <c r="T1476" s="8"/>
    </row>
    <row r="1477" spans="19:20">
      <c r="S1477" s="8"/>
      <c r="T1477" s="8"/>
    </row>
    <row r="1478" spans="19:20">
      <c r="S1478" s="8"/>
      <c r="T1478" s="8"/>
    </row>
    <row r="1479" spans="19:20">
      <c r="S1479" s="8"/>
      <c r="T1479" s="8"/>
    </row>
    <row r="1480" spans="19:20">
      <c r="S1480" s="8"/>
      <c r="T1480" s="8"/>
    </row>
    <row r="1481" spans="19:20">
      <c r="S1481" s="8"/>
      <c r="T1481" s="8"/>
    </row>
    <row r="1482" spans="19:20">
      <c r="S1482" s="8"/>
      <c r="T1482" s="8"/>
    </row>
    <row r="1483" spans="19:20">
      <c r="S1483" s="8"/>
      <c r="T1483" s="8"/>
    </row>
    <row r="1484" spans="19:20">
      <c r="S1484" s="8"/>
      <c r="T1484" s="8"/>
    </row>
    <row r="1485" spans="19:20">
      <c r="S1485" s="8"/>
      <c r="T1485" s="8"/>
    </row>
    <row r="1486" spans="19:20">
      <c r="S1486" s="8"/>
      <c r="T1486" s="8"/>
    </row>
    <row r="1487" spans="19:20">
      <c r="S1487" s="8"/>
      <c r="T1487" s="8"/>
    </row>
    <row r="1488" spans="19:20">
      <c r="S1488" s="8"/>
      <c r="T1488" s="8"/>
    </row>
    <row r="1489" spans="19:20">
      <c r="S1489" s="8"/>
      <c r="T1489" s="8"/>
    </row>
    <row r="1490" spans="19:20">
      <c r="S1490" s="8"/>
      <c r="T1490" s="8"/>
    </row>
    <row r="1491" spans="19:20">
      <c r="S1491" s="8"/>
      <c r="T1491" s="8"/>
    </row>
    <row r="1492" spans="19:20">
      <c r="S1492" s="8"/>
      <c r="T1492" s="8"/>
    </row>
    <row r="1493" spans="19:20">
      <c r="S1493" s="8"/>
      <c r="T1493" s="8"/>
    </row>
    <row r="1494" spans="19:20">
      <c r="S1494" s="8"/>
      <c r="T1494" s="8"/>
    </row>
    <row r="1495" spans="19:20">
      <c r="S1495" s="8"/>
      <c r="T1495" s="8"/>
    </row>
    <row r="1496" spans="19:20">
      <c r="S1496" s="8"/>
      <c r="T1496" s="8"/>
    </row>
    <row r="1497" spans="19:20">
      <c r="S1497" s="8"/>
      <c r="T1497" s="8"/>
    </row>
    <row r="1498" spans="19:20">
      <c r="S1498" s="8"/>
      <c r="T1498" s="8"/>
    </row>
    <row r="1499" spans="19:20">
      <c r="S1499" s="8"/>
      <c r="T1499" s="8"/>
    </row>
    <row r="1500" spans="19:20">
      <c r="S1500" s="8"/>
      <c r="T1500" s="8"/>
    </row>
    <row r="1501" spans="19:20">
      <c r="S1501" s="8"/>
      <c r="T1501" s="8"/>
    </row>
    <row r="1502" spans="19:20">
      <c r="S1502" s="8"/>
      <c r="T1502" s="8"/>
    </row>
    <row r="1503" spans="19:20">
      <c r="S1503" s="8"/>
      <c r="T1503" s="8"/>
    </row>
    <row r="1504" spans="19:20">
      <c r="S1504" s="8"/>
      <c r="T1504" s="8"/>
    </row>
    <row r="1505" spans="19:20">
      <c r="S1505" s="8"/>
      <c r="T1505" s="8"/>
    </row>
    <row r="1506" spans="19:20">
      <c r="S1506" s="8"/>
      <c r="T1506" s="8"/>
    </row>
    <row r="1507" spans="19:20">
      <c r="S1507" s="8"/>
      <c r="T1507" s="8"/>
    </row>
    <row r="1508" spans="19:20">
      <c r="S1508" s="8"/>
      <c r="T1508" s="8"/>
    </row>
    <row r="1509" spans="19:20">
      <c r="S1509" s="8"/>
      <c r="T1509" s="8"/>
    </row>
    <row r="1510" spans="19:20">
      <c r="S1510" s="8"/>
      <c r="T1510" s="8"/>
    </row>
    <row r="1511" spans="19:20">
      <c r="S1511" s="8"/>
      <c r="T1511" s="8"/>
    </row>
    <row r="1512" spans="19:20">
      <c r="S1512" s="8"/>
      <c r="T1512" s="8"/>
    </row>
    <row r="1513" spans="19:20">
      <c r="S1513" s="8"/>
      <c r="T1513" s="8"/>
    </row>
    <row r="1514" spans="19:20">
      <c r="S1514" s="8"/>
      <c r="T1514" s="8"/>
    </row>
    <row r="1515" spans="19:20">
      <c r="S1515" s="8"/>
      <c r="T1515" s="8"/>
    </row>
    <row r="1516" spans="19:20">
      <c r="S1516" s="8"/>
      <c r="T1516" s="8"/>
    </row>
    <row r="1517" spans="19:20">
      <c r="S1517" s="8"/>
      <c r="T1517" s="8"/>
    </row>
    <row r="1518" spans="19:20">
      <c r="S1518" s="8"/>
      <c r="T1518" s="8"/>
    </row>
    <row r="1519" spans="19:20">
      <c r="S1519" s="8"/>
      <c r="T1519" s="8"/>
    </row>
    <row r="1520" spans="19:20">
      <c r="S1520" s="8"/>
      <c r="T1520" s="8"/>
    </row>
    <row r="1521" spans="19:20">
      <c r="S1521" s="8"/>
      <c r="T1521" s="8"/>
    </row>
    <row r="1522" spans="19:20">
      <c r="S1522" s="8"/>
      <c r="T1522" s="8"/>
    </row>
    <row r="1523" spans="19:20">
      <c r="S1523" s="8"/>
      <c r="T1523" s="8"/>
    </row>
    <row r="1524" spans="19:20">
      <c r="S1524" s="8"/>
      <c r="T1524" s="8"/>
    </row>
    <row r="1525" spans="19:20">
      <c r="S1525" s="8"/>
      <c r="T1525" s="8"/>
    </row>
    <row r="1526" spans="19:20">
      <c r="S1526" s="8"/>
      <c r="T1526" s="8"/>
    </row>
    <row r="1527" spans="19:20">
      <c r="S1527" s="8"/>
      <c r="T1527" s="8"/>
    </row>
    <row r="1528" spans="19:20">
      <c r="S1528" s="8"/>
      <c r="T1528" s="8"/>
    </row>
    <row r="1529" spans="19:20">
      <c r="S1529" s="8"/>
      <c r="T1529" s="8"/>
    </row>
    <row r="1530" spans="19:20">
      <c r="S1530" s="8"/>
      <c r="T1530" s="8"/>
    </row>
    <row r="1531" spans="19:20">
      <c r="S1531" s="8"/>
      <c r="T1531" s="8"/>
    </row>
    <row r="1532" spans="19:20">
      <c r="S1532" s="8"/>
      <c r="T1532" s="8"/>
    </row>
    <row r="1533" spans="19:20">
      <c r="S1533" s="8"/>
      <c r="T1533" s="8"/>
    </row>
    <row r="1534" spans="19:20">
      <c r="S1534" s="8"/>
      <c r="T1534" s="8"/>
    </row>
    <row r="1535" spans="19:20">
      <c r="S1535" s="8"/>
      <c r="T1535" s="8"/>
    </row>
    <row r="1536" spans="19:20">
      <c r="S1536" s="8"/>
      <c r="T1536" s="8"/>
    </row>
    <row r="1537" spans="19:20">
      <c r="S1537" s="8"/>
      <c r="T1537" s="8"/>
    </row>
    <row r="1538" spans="19:20">
      <c r="S1538" s="8"/>
      <c r="T1538" s="8"/>
    </row>
    <row r="1539" spans="19:20">
      <c r="S1539" s="8"/>
      <c r="T1539" s="8"/>
    </row>
    <row r="1540" spans="19:20">
      <c r="S1540" s="8"/>
      <c r="T1540" s="8"/>
    </row>
    <row r="1541" spans="19:20">
      <c r="S1541" s="8"/>
      <c r="T1541" s="8"/>
    </row>
    <row r="1542" spans="19:20">
      <c r="S1542" s="8"/>
      <c r="T1542" s="8"/>
    </row>
    <row r="1543" spans="19:20">
      <c r="S1543" s="8"/>
      <c r="T1543" s="8"/>
    </row>
    <row r="1544" spans="19:20">
      <c r="S1544" s="8"/>
      <c r="T1544" s="8"/>
    </row>
    <row r="1545" spans="19:20">
      <c r="S1545" s="8"/>
      <c r="T1545" s="8"/>
    </row>
    <row r="1546" spans="19:20">
      <c r="S1546" s="8"/>
      <c r="T1546" s="8"/>
    </row>
    <row r="1547" spans="19:20">
      <c r="S1547" s="8"/>
      <c r="T1547" s="8"/>
    </row>
    <row r="1548" spans="19:20">
      <c r="S1548" s="8"/>
      <c r="T1548" s="8"/>
    </row>
    <row r="1549" spans="19:20">
      <c r="S1549" s="8"/>
      <c r="T1549" s="8"/>
    </row>
    <row r="1550" spans="19:20">
      <c r="S1550" s="8"/>
      <c r="T1550" s="8"/>
    </row>
    <row r="1551" spans="19:20">
      <c r="S1551" s="8"/>
      <c r="T1551" s="8"/>
    </row>
    <row r="1552" spans="19:20">
      <c r="S1552" s="8"/>
      <c r="T1552" s="8"/>
    </row>
    <row r="1553" spans="19:20">
      <c r="S1553" s="8"/>
      <c r="T1553" s="8"/>
    </row>
    <row r="1554" spans="19:20">
      <c r="S1554" s="8"/>
      <c r="T1554" s="8"/>
    </row>
    <row r="1555" spans="19:20">
      <c r="S1555" s="8"/>
      <c r="T1555" s="8"/>
    </row>
    <row r="1556" spans="19:20">
      <c r="S1556" s="8"/>
      <c r="T1556" s="8"/>
    </row>
    <row r="1557" spans="19:20">
      <c r="S1557" s="8"/>
      <c r="T1557" s="8"/>
    </row>
    <row r="1558" spans="19:20">
      <c r="S1558" s="8"/>
      <c r="T1558" s="8"/>
    </row>
    <row r="1559" spans="19:20">
      <c r="S1559" s="8"/>
      <c r="T1559" s="8"/>
    </row>
    <row r="1560" spans="19:20">
      <c r="S1560" s="8"/>
      <c r="T1560" s="8"/>
    </row>
    <row r="1561" spans="19:20">
      <c r="S1561" s="8"/>
      <c r="T1561" s="8"/>
    </row>
    <row r="1562" spans="19:20">
      <c r="S1562" s="8"/>
      <c r="T1562" s="8"/>
    </row>
    <row r="1563" spans="19:20">
      <c r="S1563" s="8"/>
      <c r="T1563" s="8"/>
    </row>
    <row r="1564" spans="19:20">
      <c r="S1564" s="8"/>
      <c r="T1564" s="8"/>
    </row>
    <row r="1565" spans="19:20">
      <c r="S1565" s="8"/>
      <c r="T1565" s="8"/>
    </row>
    <row r="1566" spans="19:20">
      <c r="S1566" s="8"/>
      <c r="T1566" s="8"/>
    </row>
    <row r="1567" spans="19:20">
      <c r="S1567" s="8"/>
      <c r="T1567" s="8"/>
    </row>
    <row r="1568" spans="19:20">
      <c r="S1568" s="8"/>
      <c r="T1568" s="8"/>
    </row>
    <row r="1569" spans="19:20">
      <c r="S1569" s="8"/>
      <c r="T1569" s="8"/>
    </row>
    <row r="1570" spans="19:20">
      <c r="S1570" s="8"/>
      <c r="T1570" s="8"/>
    </row>
    <row r="1571" spans="19:20">
      <c r="S1571" s="8"/>
      <c r="T1571" s="8"/>
    </row>
    <row r="1572" spans="19:20">
      <c r="S1572" s="8"/>
      <c r="T1572" s="8"/>
    </row>
    <row r="1573" spans="19:20">
      <c r="S1573" s="8"/>
      <c r="T1573" s="8"/>
    </row>
    <row r="1574" spans="19:20">
      <c r="S1574" s="8"/>
      <c r="T1574" s="8"/>
    </row>
    <row r="1575" spans="19:20">
      <c r="S1575" s="8"/>
      <c r="T1575" s="8"/>
    </row>
    <row r="1576" spans="19:20">
      <c r="S1576" s="8"/>
      <c r="T1576" s="8"/>
    </row>
    <row r="1577" spans="19:20">
      <c r="S1577" s="8"/>
      <c r="T1577" s="8"/>
    </row>
    <row r="1578" spans="19:20">
      <c r="S1578" s="8"/>
      <c r="T1578" s="8"/>
    </row>
    <row r="1579" spans="19:20">
      <c r="S1579" s="8"/>
      <c r="T1579" s="8"/>
    </row>
    <row r="1580" spans="19:20">
      <c r="S1580" s="8"/>
      <c r="T1580" s="8"/>
    </row>
    <row r="1581" spans="19:20">
      <c r="S1581" s="8"/>
      <c r="T1581" s="8"/>
    </row>
    <row r="1582" spans="19:20">
      <c r="S1582" s="8"/>
      <c r="T1582" s="8"/>
    </row>
    <row r="1583" spans="19:20">
      <c r="S1583" s="8"/>
      <c r="T1583" s="8"/>
    </row>
    <row r="1584" spans="19:20">
      <c r="S1584" s="8"/>
      <c r="T1584" s="8"/>
    </row>
    <row r="1585" spans="19:20">
      <c r="S1585" s="8"/>
      <c r="T1585" s="8"/>
    </row>
    <row r="1586" spans="19:20">
      <c r="S1586" s="8"/>
      <c r="T1586" s="8"/>
    </row>
    <row r="1587" spans="19:20">
      <c r="S1587" s="8"/>
      <c r="T1587" s="8"/>
    </row>
    <row r="1588" spans="19:20">
      <c r="S1588" s="8"/>
      <c r="T1588" s="8"/>
    </row>
    <row r="1589" spans="19:20">
      <c r="S1589" s="8"/>
      <c r="T1589" s="8"/>
    </row>
    <row r="1590" spans="19:20">
      <c r="S1590" s="8"/>
      <c r="T1590" s="8"/>
    </row>
    <row r="1591" spans="19:20">
      <c r="S1591" s="8"/>
      <c r="T1591" s="8"/>
    </row>
    <row r="1592" spans="19:20">
      <c r="S1592" s="8"/>
      <c r="T1592" s="8"/>
    </row>
    <row r="1593" spans="19:20">
      <c r="S1593" s="8"/>
      <c r="T1593" s="8"/>
    </row>
    <row r="1594" spans="19:20">
      <c r="S1594" s="8"/>
      <c r="T1594" s="8"/>
    </row>
    <row r="1595" spans="19:20">
      <c r="S1595" s="8"/>
      <c r="T1595" s="8"/>
    </row>
    <row r="1596" spans="19:20">
      <c r="S1596" s="8"/>
      <c r="T1596" s="8"/>
    </row>
    <row r="1597" spans="19:20">
      <c r="S1597" s="8"/>
      <c r="T1597" s="8"/>
    </row>
    <row r="1598" spans="19:20">
      <c r="S1598" s="8"/>
      <c r="T1598" s="8"/>
    </row>
    <row r="1599" spans="19:20">
      <c r="S1599" s="8"/>
      <c r="T1599" s="8"/>
    </row>
    <row r="1600" spans="19:20">
      <c r="S1600" s="8"/>
      <c r="T1600" s="8"/>
    </row>
    <row r="1601" spans="19:20">
      <c r="S1601" s="8"/>
      <c r="T1601" s="8"/>
    </row>
    <row r="1602" spans="19:20">
      <c r="S1602" s="8"/>
      <c r="T1602" s="8"/>
    </row>
    <row r="1603" spans="19:20">
      <c r="S1603" s="8"/>
      <c r="T1603" s="8"/>
    </row>
    <row r="1604" spans="19:20">
      <c r="S1604" s="8"/>
      <c r="T1604" s="8"/>
    </row>
    <row r="1605" spans="19:20">
      <c r="S1605" s="8"/>
      <c r="T1605" s="8"/>
    </row>
    <row r="1606" spans="19:20">
      <c r="S1606" s="8"/>
      <c r="T1606" s="8"/>
    </row>
    <row r="1607" spans="19:20">
      <c r="S1607" s="8"/>
      <c r="T1607" s="8"/>
    </row>
    <row r="1608" spans="19:20">
      <c r="S1608" s="8"/>
      <c r="T1608" s="8"/>
    </row>
    <row r="1609" spans="19:20">
      <c r="S1609" s="8"/>
      <c r="T1609" s="8"/>
    </row>
    <row r="1610" spans="19:20">
      <c r="S1610" s="8"/>
      <c r="T1610" s="8"/>
    </row>
    <row r="1611" spans="19:20">
      <c r="S1611" s="8"/>
      <c r="T1611" s="8"/>
    </row>
    <row r="1612" spans="19:20">
      <c r="S1612" s="8"/>
      <c r="T1612" s="8"/>
    </row>
    <row r="1613" spans="19:20">
      <c r="S1613" s="8"/>
      <c r="T1613" s="8"/>
    </row>
    <row r="1614" spans="19:20">
      <c r="S1614" s="8"/>
      <c r="T1614" s="8"/>
    </row>
    <row r="1615" spans="19:20">
      <c r="S1615" s="8"/>
      <c r="T1615" s="8"/>
    </row>
    <row r="1616" spans="19:20">
      <c r="S1616" s="8"/>
      <c r="T1616" s="8"/>
    </row>
    <row r="1617" spans="19:20">
      <c r="S1617" s="8"/>
      <c r="T1617" s="8"/>
    </row>
    <row r="1618" spans="19:20">
      <c r="S1618" s="8"/>
      <c r="T1618" s="8"/>
    </row>
    <row r="1619" spans="19:20">
      <c r="S1619" s="8"/>
      <c r="T1619" s="8"/>
    </row>
    <row r="1620" spans="19:20">
      <c r="S1620" s="8"/>
      <c r="T1620" s="8"/>
    </row>
    <row r="1621" spans="19:20">
      <c r="S1621" s="8"/>
      <c r="T1621" s="8"/>
    </row>
    <row r="1622" spans="19:20">
      <c r="S1622" s="8"/>
      <c r="T1622" s="8"/>
    </row>
    <row r="1623" spans="19:20">
      <c r="S1623" s="8"/>
      <c r="T1623" s="8"/>
    </row>
    <row r="1624" spans="19:20">
      <c r="S1624" s="8"/>
      <c r="T1624" s="8"/>
    </row>
    <row r="1625" spans="19:20">
      <c r="S1625" s="8"/>
      <c r="T1625" s="8"/>
    </row>
    <row r="1626" spans="19:20">
      <c r="S1626" s="8"/>
      <c r="T1626" s="8"/>
    </row>
    <row r="1627" spans="19:20">
      <c r="S1627" s="8"/>
      <c r="T1627" s="8"/>
    </row>
    <row r="1628" spans="19:20">
      <c r="S1628" s="8"/>
      <c r="T1628" s="8"/>
    </row>
    <row r="1629" spans="19:20">
      <c r="S1629" s="8"/>
      <c r="T1629" s="8"/>
    </row>
    <row r="1630" spans="19:20">
      <c r="S1630" s="8"/>
      <c r="T1630" s="8"/>
    </row>
    <row r="1631" spans="19:20">
      <c r="S1631" s="8"/>
      <c r="T1631" s="8"/>
    </row>
    <row r="1632" spans="19:20">
      <c r="S1632" s="8"/>
      <c r="T1632" s="8"/>
    </row>
    <row r="1633" spans="19:20">
      <c r="S1633" s="8"/>
      <c r="T1633" s="8"/>
    </row>
    <row r="1634" spans="19:20">
      <c r="S1634" s="8"/>
      <c r="T1634" s="8"/>
    </row>
    <row r="1635" spans="19:20">
      <c r="S1635" s="8"/>
      <c r="T1635" s="8"/>
    </row>
    <row r="1636" spans="19:20">
      <c r="S1636" s="8"/>
      <c r="T1636" s="8"/>
    </row>
    <row r="1637" spans="19:20">
      <c r="S1637" s="8"/>
      <c r="T1637" s="8"/>
    </row>
    <row r="1638" spans="19:20">
      <c r="S1638" s="8"/>
      <c r="T1638" s="8"/>
    </row>
    <row r="1639" spans="19:20">
      <c r="S1639" s="8"/>
      <c r="T1639" s="8"/>
    </row>
    <row r="1640" spans="19:20">
      <c r="S1640" s="8"/>
      <c r="T1640" s="8"/>
    </row>
    <row r="1641" spans="19:20">
      <c r="S1641" s="8"/>
      <c r="T1641" s="8"/>
    </row>
    <row r="1642" spans="19:20">
      <c r="S1642" s="8"/>
      <c r="T1642" s="8"/>
    </row>
    <row r="1643" spans="19:20">
      <c r="S1643" s="8"/>
      <c r="T1643" s="8"/>
    </row>
    <row r="1644" spans="19:20">
      <c r="S1644" s="8"/>
      <c r="T1644" s="8"/>
    </row>
    <row r="1645" spans="19:20">
      <c r="S1645" s="8"/>
      <c r="T1645" s="8"/>
    </row>
    <row r="1646" spans="19:20">
      <c r="S1646" s="8"/>
      <c r="T1646" s="8"/>
    </row>
    <row r="1647" spans="19:20">
      <c r="S1647" s="8"/>
      <c r="T1647" s="8"/>
    </row>
    <row r="1648" spans="19:20">
      <c r="S1648" s="8"/>
      <c r="T1648" s="8"/>
    </row>
    <row r="1649" spans="19:20">
      <c r="S1649" s="8"/>
      <c r="T1649" s="8"/>
    </row>
    <row r="1650" spans="19:20">
      <c r="S1650" s="8"/>
      <c r="T1650" s="8"/>
    </row>
    <row r="1651" spans="19:20">
      <c r="S1651" s="8"/>
      <c r="T1651" s="8"/>
    </row>
    <row r="1652" spans="19:20">
      <c r="S1652" s="8"/>
      <c r="T1652" s="8"/>
    </row>
    <row r="1653" spans="19:20">
      <c r="S1653" s="8"/>
      <c r="T1653" s="8"/>
    </row>
    <row r="1654" spans="19:20">
      <c r="S1654" s="8"/>
      <c r="T1654" s="8"/>
    </row>
    <row r="1655" spans="19:20">
      <c r="S1655" s="8"/>
      <c r="T1655" s="8"/>
    </row>
    <row r="1656" spans="19:20">
      <c r="S1656" s="8"/>
      <c r="T1656" s="8"/>
    </row>
    <row r="1657" spans="19:20">
      <c r="S1657" s="8"/>
      <c r="T1657" s="8"/>
    </row>
    <row r="1658" spans="19:20">
      <c r="S1658" s="8"/>
      <c r="T1658" s="8"/>
    </row>
    <row r="1659" spans="19:20">
      <c r="S1659" s="8"/>
      <c r="T1659" s="8"/>
    </row>
    <row r="1660" spans="19:20">
      <c r="S1660" s="8"/>
      <c r="T1660" s="8"/>
    </row>
    <row r="1661" spans="19:20">
      <c r="S1661" s="8"/>
      <c r="T1661" s="8"/>
    </row>
    <row r="1662" spans="19:20">
      <c r="S1662" s="8"/>
      <c r="T1662" s="8"/>
    </row>
    <row r="1663" spans="19:20">
      <c r="S1663" s="8"/>
      <c r="T1663" s="8"/>
    </row>
    <row r="1664" spans="19:20">
      <c r="S1664" s="8"/>
      <c r="T1664" s="8"/>
    </row>
    <row r="1665" spans="19:20">
      <c r="S1665" s="8"/>
      <c r="T1665" s="8"/>
    </row>
    <row r="1666" spans="19:20">
      <c r="S1666" s="8"/>
      <c r="T1666" s="8"/>
    </row>
    <row r="1667" spans="19:20">
      <c r="S1667" s="8"/>
      <c r="T1667" s="8"/>
    </row>
    <row r="1668" spans="19:20">
      <c r="S1668" s="8"/>
      <c r="T1668" s="8"/>
    </row>
    <row r="1669" spans="19:20">
      <c r="S1669" s="8"/>
      <c r="T1669" s="8"/>
    </row>
    <row r="1670" spans="19:20">
      <c r="S1670" s="8"/>
      <c r="T1670" s="8"/>
    </row>
    <row r="1671" spans="19:20">
      <c r="S1671" s="8"/>
      <c r="T1671" s="8"/>
    </row>
    <row r="1672" spans="19:20">
      <c r="S1672" s="8"/>
      <c r="T1672" s="8"/>
    </row>
    <row r="1673" spans="19:20">
      <c r="S1673" s="8"/>
      <c r="T1673" s="8"/>
    </row>
    <row r="1674" spans="19:20">
      <c r="S1674" s="8"/>
      <c r="T1674" s="8"/>
    </row>
    <row r="1675" spans="19:20">
      <c r="S1675" s="8"/>
      <c r="T1675" s="8"/>
    </row>
    <row r="1676" spans="19:20">
      <c r="S1676" s="8"/>
      <c r="T1676" s="8"/>
    </row>
    <row r="1677" spans="19:20">
      <c r="S1677" s="8"/>
      <c r="T1677" s="8"/>
    </row>
    <row r="1678" spans="19:20">
      <c r="S1678" s="8"/>
      <c r="T1678" s="8"/>
    </row>
    <row r="1679" spans="19:20">
      <c r="S1679" s="8"/>
      <c r="T1679" s="8"/>
    </row>
    <row r="1680" spans="19:20">
      <c r="S1680" s="8"/>
      <c r="T1680" s="8"/>
    </row>
    <row r="1681" spans="19:20">
      <c r="S1681" s="8"/>
      <c r="T1681" s="8"/>
    </row>
    <row r="1682" spans="19:20">
      <c r="S1682" s="8"/>
      <c r="T1682" s="8"/>
    </row>
    <row r="1683" spans="19:20">
      <c r="S1683" s="8"/>
      <c r="T1683" s="8"/>
    </row>
    <row r="1684" spans="19:20">
      <c r="S1684" s="8"/>
      <c r="T1684" s="8"/>
    </row>
    <row r="1685" spans="19:20">
      <c r="S1685" s="8"/>
      <c r="T1685" s="8"/>
    </row>
    <row r="1686" spans="19:20">
      <c r="S1686" s="8"/>
      <c r="T1686" s="8"/>
    </row>
    <row r="1687" spans="19:20">
      <c r="S1687" s="8"/>
      <c r="T1687" s="8"/>
    </row>
    <row r="1688" spans="19:20">
      <c r="S1688" s="8"/>
      <c r="T1688" s="8"/>
    </row>
    <row r="1689" spans="19:20">
      <c r="S1689" s="8"/>
      <c r="T1689" s="8"/>
    </row>
    <row r="1690" spans="19:20">
      <c r="S1690" s="8"/>
      <c r="T1690" s="8"/>
    </row>
    <row r="1691" spans="19:20">
      <c r="S1691" s="8"/>
      <c r="T1691" s="8"/>
    </row>
    <row r="1692" spans="19:20">
      <c r="S1692" s="8"/>
      <c r="T1692" s="8"/>
    </row>
    <row r="1693" spans="19:20">
      <c r="S1693" s="8"/>
      <c r="T1693" s="8"/>
    </row>
    <row r="1694" spans="19:20">
      <c r="S1694" s="8"/>
      <c r="T1694" s="8"/>
    </row>
    <row r="1695" spans="19:20">
      <c r="S1695" s="8"/>
      <c r="T1695" s="8"/>
    </row>
    <row r="1696" spans="19:20">
      <c r="S1696" s="8"/>
      <c r="T1696" s="8"/>
    </row>
    <row r="1697" spans="19:20">
      <c r="S1697" s="8"/>
      <c r="T1697" s="8"/>
    </row>
    <row r="1698" spans="19:20">
      <c r="S1698" s="8"/>
      <c r="T1698" s="8"/>
    </row>
    <row r="1699" spans="19:20">
      <c r="S1699" s="8"/>
      <c r="T1699" s="8"/>
    </row>
    <row r="1700" spans="19:20">
      <c r="S1700" s="8"/>
      <c r="T1700" s="8"/>
    </row>
    <row r="1701" spans="19:20">
      <c r="S1701" s="8"/>
      <c r="T1701" s="8"/>
    </row>
    <row r="1702" spans="19:20">
      <c r="S1702" s="8"/>
      <c r="T1702" s="8"/>
    </row>
    <row r="1703" spans="19:20">
      <c r="S1703" s="8"/>
      <c r="T1703" s="8"/>
    </row>
    <row r="1704" spans="19:20">
      <c r="S1704" s="8"/>
      <c r="T1704" s="8"/>
    </row>
    <row r="1705" spans="19:20">
      <c r="S1705" s="8"/>
      <c r="T1705" s="8"/>
    </row>
    <row r="1706" spans="19:20">
      <c r="S1706" s="8"/>
      <c r="T1706" s="8"/>
    </row>
    <row r="1707" spans="19:20">
      <c r="S1707" s="8"/>
      <c r="T1707" s="8"/>
    </row>
    <row r="1708" spans="19:20">
      <c r="S1708" s="8"/>
      <c r="T1708" s="8"/>
    </row>
    <row r="1709" spans="19:20">
      <c r="S1709" s="8"/>
      <c r="T1709" s="8"/>
    </row>
    <row r="1710" spans="19:20">
      <c r="S1710" s="8"/>
      <c r="T1710" s="8"/>
    </row>
    <row r="1711" spans="19:20">
      <c r="S1711" s="8"/>
      <c r="T1711" s="8"/>
    </row>
    <row r="1712" spans="19:20">
      <c r="S1712" s="8"/>
      <c r="T1712" s="8"/>
    </row>
    <row r="1713" spans="19:20">
      <c r="S1713" s="8"/>
      <c r="T1713" s="8"/>
    </row>
    <row r="1714" spans="19:20">
      <c r="S1714" s="8"/>
      <c r="T1714" s="8"/>
    </row>
    <row r="1715" spans="19:20">
      <c r="S1715" s="8"/>
      <c r="T1715" s="8"/>
    </row>
    <row r="1716" spans="19:20">
      <c r="S1716" s="8"/>
      <c r="T1716" s="8"/>
    </row>
    <row r="1717" spans="19:20">
      <c r="S1717" s="8"/>
      <c r="T1717" s="8"/>
    </row>
    <row r="1718" spans="19:20">
      <c r="S1718" s="8"/>
      <c r="T1718" s="8"/>
    </row>
    <row r="1719" spans="19:20">
      <c r="S1719" s="8"/>
      <c r="T1719" s="8"/>
    </row>
    <row r="1720" spans="19:20">
      <c r="S1720" s="8"/>
      <c r="T1720" s="8"/>
    </row>
    <row r="1721" spans="19:20">
      <c r="S1721" s="8"/>
      <c r="T1721" s="8"/>
    </row>
    <row r="1722" spans="19:20">
      <c r="S1722" s="8"/>
      <c r="T1722" s="8"/>
    </row>
    <row r="1723" spans="19:20">
      <c r="S1723" s="8"/>
      <c r="T1723" s="8"/>
    </row>
    <row r="1724" spans="19:20">
      <c r="S1724" s="8"/>
      <c r="T1724" s="8"/>
    </row>
    <row r="1725" spans="19:20">
      <c r="S1725" s="8"/>
      <c r="T1725" s="8"/>
    </row>
    <row r="1726" spans="19:20">
      <c r="S1726" s="8"/>
      <c r="T1726" s="8"/>
    </row>
    <row r="1727" spans="19:20">
      <c r="S1727" s="8"/>
      <c r="T1727" s="8"/>
    </row>
    <row r="1728" spans="19:20">
      <c r="S1728" s="8"/>
      <c r="T1728" s="8"/>
    </row>
    <row r="1729" spans="19:20">
      <c r="S1729" s="8"/>
      <c r="T1729" s="8"/>
    </row>
    <row r="1730" spans="19:20">
      <c r="S1730" s="8"/>
      <c r="T1730" s="8"/>
    </row>
    <row r="1731" spans="19:20">
      <c r="S1731" s="8"/>
      <c r="T1731" s="8"/>
    </row>
    <row r="1732" spans="19:20">
      <c r="S1732" s="8"/>
      <c r="T1732" s="8"/>
    </row>
    <row r="1733" spans="19:20">
      <c r="S1733" s="8"/>
      <c r="T1733" s="8"/>
    </row>
    <row r="1734" spans="19:20">
      <c r="S1734" s="8"/>
      <c r="T1734" s="8"/>
    </row>
    <row r="1735" spans="19:20">
      <c r="S1735" s="8"/>
      <c r="T1735" s="8"/>
    </row>
    <row r="1736" spans="19:20">
      <c r="S1736" s="8"/>
      <c r="T1736" s="8"/>
    </row>
    <row r="1737" spans="19:20">
      <c r="S1737" s="8"/>
      <c r="T1737" s="8"/>
    </row>
    <row r="1738" spans="19:20">
      <c r="S1738" s="8"/>
      <c r="T1738" s="8"/>
    </row>
    <row r="1739" spans="19:20">
      <c r="S1739" s="8"/>
      <c r="T1739" s="8"/>
    </row>
    <row r="1740" spans="19:20">
      <c r="S1740" s="8"/>
      <c r="T1740" s="8"/>
    </row>
    <row r="1741" spans="19:20">
      <c r="S1741" s="8"/>
      <c r="T1741" s="8"/>
    </row>
    <row r="1742" spans="19:20">
      <c r="S1742" s="8"/>
      <c r="T1742" s="8"/>
    </row>
    <row r="1743" spans="19:20">
      <c r="S1743" s="8"/>
      <c r="T1743" s="8"/>
    </row>
    <row r="1744" spans="19:20">
      <c r="S1744" s="8"/>
      <c r="T1744" s="8"/>
    </row>
    <row r="1745" spans="19:20">
      <c r="S1745" s="8"/>
      <c r="T1745" s="8"/>
    </row>
    <row r="1746" spans="19:20">
      <c r="S1746" s="8"/>
      <c r="T1746" s="8"/>
    </row>
    <row r="1747" spans="19:20">
      <c r="S1747" s="8"/>
      <c r="T1747" s="8"/>
    </row>
    <row r="1748" spans="19:20">
      <c r="S1748" s="8"/>
      <c r="T1748" s="8"/>
    </row>
    <row r="1749" spans="19:20">
      <c r="S1749" s="8"/>
      <c r="T1749" s="8"/>
    </row>
    <row r="1750" spans="19:20">
      <c r="S1750" s="8"/>
      <c r="T1750" s="8"/>
    </row>
    <row r="1751" spans="19:20">
      <c r="S1751" s="8"/>
      <c r="T1751" s="8"/>
    </row>
    <row r="1752" spans="19:20">
      <c r="S1752" s="8"/>
      <c r="T1752" s="8"/>
    </row>
    <row r="1753" spans="19:20">
      <c r="S1753" s="8"/>
      <c r="T1753" s="8"/>
    </row>
    <row r="1754" spans="19:20">
      <c r="S1754" s="8"/>
      <c r="T1754" s="8"/>
    </row>
    <row r="1755" spans="19:20">
      <c r="S1755" s="8"/>
      <c r="T1755" s="8"/>
    </row>
    <row r="1756" spans="19:20">
      <c r="S1756" s="8"/>
      <c r="T1756" s="8"/>
    </row>
    <row r="1757" spans="19:20">
      <c r="S1757" s="8"/>
      <c r="T1757" s="8"/>
    </row>
    <row r="1758" spans="19:20">
      <c r="S1758" s="8"/>
      <c r="T1758" s="8"/>
    </row>
    <row r="1759" spans="19:20">
      <c r="S1759" s="8"/>
      <c r="T1759" s="8"/>
    </row>
    <row r="1760" spans="19:20">
      <c r="S1760" s="8"/>
      <c r="T1760" s="8"/>
    </row>
    <row r="1761" spans="19:20">
      <c r="S1761" s="8"/>
      <c r="T1761" s="8"/>
    </row>
    <row r="1762" spans="19:20">
      <c r="S1762" s="8"/>
      <c r="T1762" s="8"/>
    </row>
    <row r="1763" spans="19:20">
      <c r="S1763" s="8"/>
      <c r="T1763" s="8"/>
    </row>
    <row r="1764" spans="19:20">
      <c r="S1764" s="8"/>
      <c r="T1764" s="8"/>
    </row>
    <row r="1765" spans="19:20">
      <c r="S1765" s="8"/>
      <c r="T1765" s="8"/>
    </row>
    <row r="1766" spans="19:20">
      <c r="S1766" s="8"/>
      <c r="T1766" s="8"/>
    </row>
    <row r="1767" spans="19:20">
      <c r="S1767" s="8"/>
      <c r="T1767" s="8"/>
    </row>
    <row r="1768" spans="19:20">
      <c r="S1768" s="8"/>
      <c r="T1768" s="8"/>
    </row>
    <row r="1769" spans="19:20">
      <c r="S1769" s="8"/>
      <c r="T1769" s="8"/>
    </row>
    <row r="1770" spans="19:20">
      <c r="S1770" s="8"/>
      <c r="T1770" s="8"/>
    </row>
    <row r="1771" spans="19:20">
      <c r="S1771" s="8"/>
      <c r="T1771" s="8"/>
    </row>
    <row r="1772" spans="19:20">
      <c r="S1772" s="8"/>
      <c r="T1772" s="8"/>
    </row>
    <row r="1773" spans="19:20">
      <c r="S1773" s="8"/>
      <c r="T1773" s="8"/>
    </row>
    <row r="1774" spans="19:20">
      <c r="S1774" s="8"/>
      <c r="T1774" s="8"/>
    </row>
    <row r="1775" spans="19:20">
      <c r="S1775" s="8"/>
      <c r="T1775" s="8"/>
    </row>
    <row r="1776" spans="19:20">
      <c r="S1776" s="8"/>
      <c r="T1776" s="8"/>
    </row>
    <row r="1777" spans="19:20">
      <c r="S1777" s="8"/>
      <c r="T1777" s="8"/>
    </row>
    <row r="1778" spans="19:20">
      <c r="S1778" s="8"/>
      <c r="T1778" s="8"/>
    </row>
    <row r="1779" spans="19:20">
      <c r="S1779" s="8"/>
      <c r="T1779" s="8"/>
    </row>
    <row r="1780" spans="19:20">
      <c r="S1780" s="8"/>
      <c r="T1780" s="8"/>
    </row>
    <row r="1781" spans="19:20">
      <c r="S1781" s="8"/>
      <c r="T1781" s="8"/>
    </row>
    <row r="1782" spans="19:20">
      <c r="S1782" s="8"/>
      <c r="T1782" s="8"/>
    </row>
    <row r="1783" spans="19:20">
      <c r="S1783" s="8"/>
      <c r="T1783" s="8"/>
    </row>
    <row r="1784" spans="19:20">
      <c r="S1784" s="8"/>
      <c r="T1784" s="8"/>
    </row>
    <row r="1785" spans="19:20">
      <c r="S1785" s="8"/>
      <c r="T1785" s="8"/>
    </row>
    <row r="1786" spans="19:20">
      <c r="S1786" s="8"/>
      <c r="T1786" s="8"/>
    </row>
    <row r="1787" spans="19:20">
      <c r="S1787" s="8"/>
      <c r="T1787" s="8"/>
    </row>
    <row r="1788" spans="19:20">
      <c r="S1788" s="8"/>
      <c r="T1788" s="8"/>
    </row>
    <row r="1789" spans="19:20">
      <c r="S1789" s="8"/>
      <c r="T1789" s="8"/>
    </row>
    <row r="1790" spans="19:20">
      <c r="S1790" s="8"/>
      <c r="T1790" s="8"/>
    </row>
    <row r="1791" spans="19:20">
      <c r="S1791" s="8"/>
      <c r="T1791" s="8"/>
    </row>
    <row r="1792" spans="19:20">
      <c r="S1792" s="8"/>
      <c r="T1792" s="8"/>
    </row>
    <row r="1793" spans="19:20">
      <c r="S1793" s="8"/>
      <c r="T1793" s="8"/>
    </row>
    <row r="1794" spans="19:20">
      <c r="S1794" s="8"/>
      <c r="T1794" s="8"/>
    </row>
    <row r="1795" spans="19:20">
      <c r="S1795" s="8"/>
      <c r="T1795" s="8"/>
    </row>
    <row r="1796" spans="19:20">
      <c r="S1796" s="8"/>
      <c r="T1796" s="8"/>
    </row>
    <row r="1797" spans="19:20">
      <c r="S1797" s="8"/>
      <c r="T1797" s="8"/>
    </row>
    <row r="1798" spans="19:20">
      <c r="S1798" s="8"/>
      <c r="T1798" s="8"/>
    </row>
    <row r="1799" spans="19:20">
      <c r="S1799" s="8"/>
      <c r="T1799" s="8"/>
    </row>
    <row r="1800" spans="19:20">
      <c r="S1800" s="8"/>
      <c r="T1800" s="8"/>
    </row>
    <row r="1801" spans="19:20">
      <c r="S1801" s="8"/>
      <c r="T1801" s="8"/>
    </row>
    <row r="1802" spans="19:20">
      <c r="S1802" s="8"/>
      <c r="T1802" s="8"/>
    </row>
    <row r="1803" spans="19:20">
      <c r="S1803" s="8"/>
      <c r="T1803" s="8"/>
    </row>
    <row r="1804" spans="19:20">
      <c r="S1804" s="8"/>
      <c r="T1804" s="8"/>
    </row>
    <row r="1805" spans="19:20">
      <c r="S1805" s="8"/>
      <c r="T1805" s="8"/>
    </row>
    <row r="1806" spans="19:20">
      <c r="S1806" s="8"/>
      <c r="T1806" s="8"/>
    </row>
    <row r="1807" spans="19:20">
      <c r="S1807" s="8"/>
      <c r="T1807" s="8"/>
    </row>
    <row r="1808" spans="19:20">
      <c r="S1808" s="8"/>
      <c r="T1808" s="8"/>
    </row>
    <row r="1809" spans="19:20">
      <c r="S1809" s="8"/>
      <c r="T1809" s="8"/>
    </row>
    <row r="1810" spans="19:20">
      <c r="S1810" s="8"/>
      <c r="T1810" s="8"/>
    </row>
    <row r="1811" spans="19:20">
      <c r="S1811" s="8"/>
      <c r="T1811" s="8"/>
    </row>
    <row r="1812" spans="19:20">
      <c r="S1812" s="8"/>
      <c r="T1812" s="8"/>
    </row>
    <row r="1813" spans="19:20">
      <c r="S1813" s="8"/>
      <c r="T1813" s="8"/>
    </row>
    <row r="1814" spans="19:20">
      <c r="S1814" s="8"/>
      <c r="T1814" s="8"/>
    </row>
    <row r="1815" spans="19:20">
      <c r="S1815" s="8"/>
      <c r="T1815" s="8"/>
    </row>
    <row r="1816" spans="19:20">
      <c r="S1816" s="8"/>
      <c r="T1816" s="8"/>
    </row>
    <row r="1817" spans="19:20">
      <c r="S1817" s="8"/>
      <c r="T1817" s="8"/>
    </row>
    <row r="1818" spans="19:20">
      <c r="S1818" s="8"/>
      <c r="T1818" s="8"/>
    </row>
    <row r="1819" spans="19:20">
      <c r="S1819" s="8"/>
      <c r="T1819" s="8"/>
    </row>
    <row r="1820" spans="19:20">
      <c r="S1820" s="8"/>
      <c r="T1820" s="8"/>
    </row>
    <row r="1821" spans="19:20">
      <c r="S1821" s="8"/>
      <c r="T1821" s="8"/>
    </row>
    <row r="1822" spans="19:20">
      <c r="S1822" s="8"/>
      <c r="T1822" s="8"/>
    </row>
    <row r="1823" spans="19:20">
      <c r="S1823" s="8"/>
      <c r="T1823" s="8"/>
    </row>
    <row r="1824" spans="19:20">
      <c r="S1824" s="8"/>
      <c r="T1824" s="8"/>
    </row>
    <row r="1825" spans="19:20">
      <c r="S1825" s="8"/>
      <c r="T1825" s="8"/>
    </row>
    <row r="1826" spans="19:20">
      <c r="S1826" s="8"/>
      <c r="T1826" s="8"/>
    </row>
    <row r="1827" spans="19:20">
      <c r="S1827" s="8"/>
      <c r="T1827" s="8"/>
    </row>
    <row r="1828" spans="19:20">
      <c r="S1828" s="8"/>
      <c r="T1828" s="8"/>
    </row>
    <row r="1829" spans="19:20">
      <c r="S1829" s="8"/>
      <c r="T1829" s="8"/>
    </row>
    <row r="1830" spans="19:20">
      <c r="S1830" s="8"/>
      <c r="T1830" s="8"/>
    </row>
    <row r="1831" spans="19:20">
      <c r="S1831" s="8"/>
      <c r="T1831" s="8"/>
    </row>
    <row r="1832" spans="19:20">
      <c r="S1832" s="8"/>
      <c r="T1832" s="8"/>
    </row>
    <row r="1833" spans="19:20">
      <c r="S1833" s="8"/>
      <c r="T1833" s="8"/>
    </row>
    <row r="1834" spans="19:20">
      <c r="S1834" s="8"/>
      <c r="T1834" s="8"/>
    </row>
    <row r="1835" spans="19:20">
      <c r="S1835" s="8"/>
      <c r="T1835" s="8"/>
    </row>
    <row r="1836" spans="19:20">
      <c r="S1836" s="8"/>
      <c r="T1836" s="8"/>
    </row>
    <row r="1837" spans="19:20">
      <c r="S1837" s="8"/>
      <c r="T1837" s="8"/>
    </row>
    <row r="1838" spans="19:20">
      <c r="S1838" s="8"/>
      <c r="T1838" s="8"/>
    </row>
    <row r="1839" spans="19:20">
      <c r="S1839" s="8"/>
      <c r="T1839" s="8"/>
    </row>
    <row r="1840" spans="19:20">
      <c r="S1840" s="8"/>
      <c r="T1840" s="8"/>
    </row>
    <row r="1841" spans="19:20">
      <c r="S1841" s="8"/>
      <c r="T1841" s="8"/>
    </row>
    <row r="1842" spans="19:20">
      <c r="S1842" s="8"/>
      <c r="T1842" s="8"/>
    </row>
    <row r="1843" spans="19:20">
      <c r="S1843" s="8"/>
      <c r="T1843" s="8"/>
    </row>
    <row r="1844" spans="19:20">
      <c r="S1844" s="8"/>
      <c r="T1844" s="8"/>
    </row>
    <row r="1845" spans="19:20">
      <c r="S1845" s="8"/>
      <c r="T1845" s="8"/>
    </row>
    <row r="1846" spans="19:20">
      <c r="S1846" s="8"/>
      <c r="T1846" s="8"/>
    </row>
    <row r="1847" spans="19:20">
      <c r="S1847" s="8"/>
      <c r="T1847" s="8"/>
    </row>
    <row r="1848" spans="19:20">
      <c r="S1848" s="8"/>
      <c r="T1848" s="8"/>
    </row>
    <row r="1849" spans="19:20">
      <c r="S1849" s="8"/>
      <c r="T1849" s="8"/>
    </row>
    <row r="1850" spans="19:20">
      <c r="S1850" s="8"/>
      <c r="T1850" s="8"/>
    </row>
    <row r="1851" spans="19:20">
      <c r="S1851" s="8"/>
      <c r="T1851" s="8"/>
    </row>
    <row r="1852" spans="19:20">
      <c r="S1852" s="8"/>
      <c r="T1852" s="8"/>
    </row>
    <row r="1853" spans="19:20">
      <c r="S1853" s="8"/>
      <c r="T1853" s="8"/>
    </row>
    <row r="1854" spans="19:20">
      <c r="S1854" s="8"/>
      <c r="T1854" s="8"/>
    </row>
    <row r="1855" spans="19:20">
      <c r="S1855" s="8"/>
      <c r="T1855" s="8"/>
    </row>
    <row r="1856" spans="19:20">
      <c r="S1856" s="8"/>
      <c r="T1856" s="8"/>
    </row>
    <row r="1857" spans="19:20">
      <c r="S1857" s="8"/>
      <c r="T1857" s="8"/>
    </row>
    <row r="1858" spans="19:20">
      <c r="S1858" s="8"/>
      <c r="T1858" s="8"/>
    </row>
    <row r="1859" spans="19:20">
      <c r="S1859" s="8"/>
      <c r="T1859" s="8"/>
    </row>
    <row r="1860" spans="19:20">
      <c r="S1860" s="8"/>
      <c r="T1860" s="8"/>
    </row>
    <row r="1861" spans="19:20">
      <c r="S1861" s="8"/>
      <c r="T1861" s="8"/>
    </row>
    <row r="1862" spans="19:20">
      <c r="S1862" s="8"/>
      <c r="T1862" s="8"/>
    </row>
    <row r="1863" spans="19:20">
      <c r="S1863" s="8"/>
      <c r="T1863" s="8"/>
    </row>
    <row r="1864" spans="19:20">
      <c r="S1864" s="8"/>
      <c r="T1864" s="8"/>
    </row>
    <row r="1865" spans="19:20">
      <c r="S1865" s="8"/>
      <c r="T1865" s="8"/>
    </row>
    <row r="1866" spans="19:20">
      <c r="S1866" s="8"/>
      <c r="T1866" s="8"/>
    </row>
    <row r="1867" spans="19:20">
      <c r="S1867" s="8"/>
      <c r="T1867" s="8"/>
    </row>
    <row r="1868" spans="19:20">
      <c r="S1868" s="8"/>
      <c r="T1868" s="8"/>
    </row>
    <row r="1869" spans="19:20">
      <c r="S1869" s="8"/>
      <c r="T1869" s="8"/>
    </row>
    <row r="1870" spans="19:20">
      <c r="S1870" s="8"/>
      <c r="T1870" s="8"/>
    </row>
    <row r="1871" spans="19:20">
      <c r="S1871" s="8"/>
      <c r="T1871" s="8"/>
    </row>
    <row r="1872" spans="19:20">
      <c r="S1872" s="8"/>
      <c r="T1872" s="8"/>
    </row>
    <row r="1873" spans="19:20">
      <c r="S1873" s="8"/>
      <c r="T1873" s="8"/>
    </row>
    <row r="1874" spans="19:20">
      <c r="S1874" s="8"/>
      <c r="T1874" s="8"/>
    </row>
    <row r="1875" spans="19:20">
      <c r="S1875" s="8"/>
      <c r="T1875" s="8"/>
    </row>
    <row r="1876" spans="19:20">
      <c r="S1876" s="8"/>
      <c r="T1876" s="8"/>
    </row>
    <row r="1877" spans="19:20">
      <c r="S1877" s="8"/>
      <c r="T1877" s="8"/>
    </row>
    <row r="1878" spans="19:20">
      <c r="S1878" s="8"/>
      <c r="T1878" s="8"/>
    </row>
    <row r="1879" spans="19:20">
      <c r="S1879" s="8"/>
      <c r="T1879" s="8"/>
    </row>
    <row r="1880" spans="19:20">
      <c r="S1880" s="8"/>
      <c r="T1880" s="8"/>
    </row>
    <row r="1881" spans="19:20">
      <c r="S1881" s="8"/>
      <c r="T1881" s="8"/>
    </row>
    <row r="1882" spans="19:20">
      <c r="S1882" s="8"/>
      <c r="T1882" s="8"/>
    </row>
    <row r="1883" spans="19:20">
      <c r="S1883" s="8"/>
      <c r="T1883" s="8"/>
    </row>
    <row r="1884" spans="19:20">
      <c r="S1884" s="8"/>
      <c r="T1884" s="8"/>
    </row>
    <row r="1885" spans="19:20">
      <c r="S1885" s="8"/>
      <c r="T1885" s="8"/>
    </row>
    <row r="1886" spans="19:20">
      <c r="S1886" s="8"/>
      <c r="T1886" s="8"/>
    </row>
    <row r="1887" spans="19:20">
      <c r="S1887" s="8"/>
      <c r="T1887" s="8"/>
    </row>
    <row r="1888" spans="19:20">
      <c r="S1888" s="8"/>
      <c r="T1888" s="8"/>
    </row>
    <row r="1889" spans="19:20">
      <c r="S1889" s="8"/>
      <c r="T1889" s="8"/>
    </row>
    <row r="1890" spans="19:20">
      <c r="S1890" s="8"/>
      <c r="T1890" s="8"/>
    </row>
    <row r="1891" spans="19:20">
      <c r="S1891" s="8"/>
      <c r="T1891" s="8"/>
    </row>
    <row r="1892" spans="19:20">
      <c r="S1892" s="8"/>
      <c r="T1892" s="8"/>
    </row>
    <row r="1893" spans="19:20">
      <c r="S1893" s="8"/>
      <c r="T1893" s="8"/>
    </row>
    <row r="1894" spans="19:20">
      <c r="S1894" s="8"/>
      <c r="T1894" s="8"/>
    </row>
    <row r="1895" spans="19:20">
      <c r="S1895" s="8"/>
      <c r="T1895" s="8"/>
    </row>
    <row r="1896" spans="19:20">
      <c r="S1896" s="8"/>
      <c r="T1896" s="8"/>
    </row>
    <row r="1897" spans="19:20">
      <c r="S1897" s="8"/>
      <c r="T1897" s="8"/>
    </row>
    <row r="1898" spans="19:20">
      <c r="S1898" s="8"/>
      <c r="T1898" s="8"/>
    </row>
    <row r="1899" spans="19:20">
      <c r="S1899" s="8"/>
      <c r="T1899" s="8"/>
    </row>
    <row r="1900" spans="19:20">
      <c r="S1900" s="8"/>
      <c r="T1900" s="8"/>
    </row>
    <row r="1901" spans="19:20">
      <c r="S1901" s="8"/>
      <c r="T1901" s="8"/>
    </row>
    <row r="1902" spans="19:20">
      <c r="S1902" s="8"/>
      <c r="T1902" s="8"/>
    </row>
    <row r="1903" spans="19:20">
      <c r="S1903" s="8"/>
      <c r="T1903" s="8"/>
    </row>
    <row r="1904" spans="19:20">
      <c r="S1904" s="8"/>
      <c r="T1904" s="8"/>
    </row>
    <row r="1905" spans="19:20">
      <c r="S1905" s="8"/>
      <c r="T1905" s="8"/>
    </row>
    <row r="1906" spans="19:20">
      <c r="S1906" s="8"/>
      <c r="T1906" s="8"/>
    </row>
    <row r="1907" spans="19:20">
      <c r="S1907" s="8"/>
      <c r="T1907" s="8"/>
    </row>
    <row r="1908" spans="19:20">
      <c r="S1908" s="8"/>
      <c r="T1908" s="8"/>
    </row>
    <row r="1909" spans="19:20">
      <c r="S1909" s="8"/>
      <c r="T1909" s="8"/>
    </row>
    <row r="1910" spans="19:20">
      <c r="S1910" s="8"/>
      <c r="T1910" s="8"/>
    </row>
    <row r="1911" spans="19:20">
      <c r="S1911" s="8"/>
      <c r="T1911" s="8"/>
    </row>
    <row r="1912" spans="19:20">
      <c r="S1912" s="8"/>
      <c r="T1912" s="8"/>
    </row>
    <row r="1913" spans="19:20">
      <c r="S1913" s="8"/>
      <c r="T1913" s="8"/>
    </row>
    <row r="1914" spans="19:20">
      <c r="S1914" s="8"/>
      <c r="T1914" s="8"/>
    </row>
    <row r="1915" spans="19:20">
      <c r="S1915" s="8"/>
      <c r="T1915" s="8"/>
    </row>
    <row r="1916" spans="19:20">
      <c r="S1916" s="8"/>
      <c r="T1916" s="8"/>
    </row>
    <row r="1917" spans="19:20">
      <c r="S1917" s="8"/>
      <c r="T1917" s="8"/>
    </row>
    <row r="1918" spans="19:20">
      <c r="S1918" s="8"/>
      <c r="T1918" s="8"/>
    </row>
    <row r="1919" spans="19:20">
      <c r="S1919" s="8"/>
      <c r="T1919" s="8"/>
    </row>
    <row r="1920" spans="19:20">
      <c r="S1920" s="8"/>
      <c r="T1920" s="8"/>
    </row>
    <row r="1921" spans="19:20">
      <c r="S1921" s="8"/>
      <c r="T1921" s="8"/>
    </row>
    <row r="1922" spans="19:20">
      <c r="S1922" s="8"/>
      <c r="T1922" s="8"/>
    </row>
    <row r="1923" spans="19:20">
      <c r="S1923" s="8"/>
      <c r="T1923" s="8"/>
    </row>
    <row r="1924" spans="19:20">
      <c r="S1924" s="8"/>
      <c r="T1924" s="8"/>
    </row>
    <row r="1925" spans="19:20">
      <c r="S1925" s="8"/>
      <c r="T1925" s="8"/>
    </row>
    <row r="1926" spans="19:20">
      <c r="S1926" s="8"/>
      <c r="T1926" s="8"/>
    </row>
    <row r="1927" spans="19:20">
      <c r="S1927" s="8"/>
      <c r="T1927" s="8"/>
    </row>
    <row r="1928" spans="19:20">
      <c r="S1928" s="8"/>
      <c r="T1928" s="8"/>
    </row>
    <row r="1929" spans="19:20">
      <c r="S1929" s="8"/>
      <c r="T1929" s="8"/>
    </row>
    <row r="1930" spans="19:20">
      <c r="S1930" s="8"/>
      <c r="T1930" s="8"/>
    </row>
    <row r="1931" spans="19:20">
      <c r="S1931" s="8"/>
      <c r="T1931" s="8"/>
    </row>
    <row r="1932" spans="19:20">
      <c r="S1932" s="8"/>
      <c r="T1932" s="8"/>
    </row>
    <row r="1933" spans="19:20">
      <c r="S1933" s="8"/>
      <c r="T1933" s="8"/>
    </row>
    <row r="1934" spans="19:20">
      <c r="S1934" s="8"/>
      <c r="T1934" s="8"/>
    </row>
    <row r="1935" spans="19:20">
      <c r="S1935" s="8"/>
      <c r="T1935" s="8"/>
    </row>
    <row r="1936" spans="19:20">
      <c r="S1936" s="8"/>
      <c r="T1936" s="8"/>
    </row>
    <row r="1937" spans="19:20">
      <c r="S1937" s="8"/>
      <c r="T1937" s="8"/>
    </row>
    <row r="1938" spans="19:20">
      <c r="S1938" s="8"/>
      <c r="T1938" s="8"/>
    </row>
    <row r="1939" spans="19:20">
      <c r="S1939" s="8"/>
      <c r="T1939" s="8"/>
    </row>
    <row r="1940" spans="19:20">
      <c r="S1940" s="8"/>
      <c r="T1940" s="8"/>
    </row>
    <row r="1941" spans="19:20">
      <c r="S1941" s="8"/>
      <c r="T1941" s="8"/>
    </row>
    <row r="1942" spans="19:20">
      <c r="S1942" s="8"/>
      <c r="T1942" s="8"/>
    </row>
    <row r="1943" spans="19:20">
      <c r="S1943" s="8"/>
      <c r="T1943" s="8"/>
    </row>
    <row r="1944" spans="19:20">
      <c r="S1944" s="8"/>
      <c r="T1944" s="8"/>
    </row>
    <row r="1945" spans="19:20">
      <c r="S1945" s="8"/>
      <c r="T1945" s="8"/>
    </row>
    <row r="1946" spans="19:20">
      <c r="S1946" s="8"/>
      <c r="T1946" s="8"/>
    </row>
    <row r="1947" spans="19:20">
      <c r="S1947" s="8"/>
      <c r="T1947" s="8"/>
    </row>
    <row r="1948" spans="19:20">
      <c r="S1948" s="8"/>
      <c r="T1948" s="8"/>
    </row>
    <row r="1949" spans="19:20">
      <c r="S1949" s="8"/>
      <c r="T1949" s="8"/>
    </row>
    <row r="1950" spans="19:20">
      <c r="S1950" s="8"/>
      <c r="T1950" s="8"/>
    </row>
    <row r="1951" spans="19:20">
      <c r="S1951" s="8"/>
      <c r="T1951" s="8"/>
    </row>
    <row r="1952" spans="19:20">
      <c r="S1952" s="8"/>
      <c r="T1952" s="8"/>
    </row>
    <row r="1953" spans="19:20">
      <c r="S1953" s="8"/>
      <c r="T1953" s="8"/>
    </row>
    <row r="1954" spans="19:20">
      <c r="S1954" s="8"/>
      <c r="T1954" s="8"/>
    </row>
    <row r="1955" spans="19:20">
      <c r="S1955" s="8"/>
      <c r="T1955" s="8"/>
    </row>
    <row r="1956" spans="19:20">
      <c r="S1956" s="8"/>
      <c r="T1956" s="8"/>
    </row>
    <row r="1957" spans="19:20">
      <c r="S1957" s="8"/>
      <c r="T1957" s="8"/>
    </row>
    <row r="1958" spans="19:20">
      <c r="S1958" s="8"/>
      <c r="T1958" s="8"/>
    </row>
    <row r="1959" spans="19:20">
      <c r="S1959" s="8"/>
      <c r="T1959" s="8"/>
    </row>
    <row r="1960" spans="19:20">
      <c r="S1960" s="8"/>
      <c r="T1960" s="8"/>
    </row>
    <row r="1961" spans="19:20">
      <c r="S1961" s="8"/>
      <c r="T1961" s="8"/>
    </row>
    <row r="1962" spans="19:20">
      <c r="S1962" s="8"/>
      <c r="T1962" s="8"/>
    </row>
    <row r="1963" spans="19:20">
      <c r="S1963" s="8"/>
      <c r="T1963" s="8"/>
    </row>
    <row r="1964" spans="19:20">
      <c r="S1964" s="8"/>
      <c r="T1964" s="8"/>
    </row>
    <row r="1965" spans="19:20">
      <c r="S1965" s="8"/>
      <c r="T1965" s="8"/>
    </row>
    <row r="1966" spans="19:20">
      <c r="S1966" s="8"/>
      <c r="T1966" s="8"/>
    </row>
    <row r="1967" spans="19:20">
      <c r="S1967" s="8"/>
      <c r="T1967" s="8"/>
    </row>
    <row r="1968" spans="19:20">
      <c r="S1968" s="8"/>
      <c r="T1968" s="8"/>
    </row>
    <row r="1969" spans="19:20">
      <c r="S1969" s="8"/>
      <c r="T1969" s="8"/>
    </row>
    <row r="1970" spans="19:20">
      <c r="S1970" s="8"/>
      <c r="T1970" s="8"/>
    </row>
    <row r="1971" spans="19:20">
      <c r="S1971" s="8"/>
      <c r="T1971" s="8"/>
    </row>
    <row r="1972" spans="19:20">
      <c r="S1972" s="8"/>
      <c r="T1972" s="8"/>
    </row>
    <row r="1973" spans="19:20">
      <c r="S1973" s="8"/>
      <c r="T1973" s="8"/>
    </row>
    <row r="1974" spans="19:20">
      <c r="S1974" s="8"/>
      <c r="T1974" s="8"/>
    </row>
    <row r="1975" spans="19:20">
      <c r="S1975" s="8"/>
      <c r="T1975" s="8"/>
    </row>
    <row r="1976" spans="19:20">
      <c r="S1976" s="8"/>
      <c r="T1976" s="8"/>
    </row>
    <row r="1977" spans="19:20">
      <c r="S1977" s="8"/>
      <c r="T1977" s="8"/>
    </row>
    <row r="1978" spans="19:20">
      <c r="S1978" s="8"/>
      <c r="T1978" s="8"/>
    </row>
    <row r="1979" spans="19:20">
      <c r="S1979" s="8"/>
      <c r="T1979" s="8"/>
    </row>
    <row r="1980" spans="19:20">
      <c r="S1980" s="8"/>
      <c r="T1980" s="8"/>
    </row>
    <row r="1981" spans="19:20">
      <c r="S1981" s="8"/>
      <c r="T1981" s="8"/>
    </row>
    <row r="1982" spans="19:20">
      <c r="S1982" s="8"/>
      <c r="T1982" s="8"/>
    </row>
    <row r="1983" spans="19:20">
      <c r="S1983" s="8"/>
      <c r="T1983" s="8"/>
    </row>
    <row r="1984" spans="19:20">
      <c r="S1984" s="8"/>
      <c r="T1984" s="8"/>
    </row>
    <row r="1985" spans="19:20">
      <c r="S1985" s="8"/>
      <c r="T1985" s="8"/>
    </row>
    <row r="1986" spans="19:20">
      <c r="S1986" s="8"/>
      <c r="T1986" s="8"/>
    </row>
    <row r="1987" spans="19:20">
      <c r="S1987" s="8"/>
      <c r="T1987" s="8"/>
    </row>
    <row r="1988" spans="19:20">
      <c r="S1988" s="8"/>
      <c r="T1988" s="8"/>
    </row>
    <row r="1989" spans="19:20">
      <c r="S1989" s="8"/>
      <c r="T1989" s="8"/>
    </row>
    <row r="1990" spans="19:20">
      <c r="S1990" s="8"/>
      <c r="T1990" s="8"/>
    </row>
    <row r="1991" spans="19:20">
      <c r="S1991" s="8"/>
      <c r="T1991" s="8"/>
    </row>
    <row r="1992" spans="19:20">
      <c r="S1992" s="8"/>
      <c r="T1992" s="8"/>
    </row>
    <row r="1993" spans="19:20">
      <c r="S1993" s="8"/>
      <c r="T1993" s="8"/>
    </row>
    <row r="1994" spans="19:20">
      <c r="S1994" s="8"/>
      <c r="T1994" s="8"/>
    </row>
    <row r="1995" spans="19:20">
      <c r="S1995" s="8"/>
      <c r="T1995" s="8"/>
    </row>
    <row r="1996" spans="19:20">
      <c r="S1996" s="8"/>
      <c r="T1996" s="8"/>
    </row>
    <row r="1997" spans="19:20">
      <c r="S1997" s="8"/>
      <c r="T1997" s="8"/>
    </row>
    <row r="1998" spans="19:20">
      <c r="S1998" s="8"/>
      <c r="T1998" s="8"/>
    </row>
    <row r="1999" spans="19:20">
      <c r="S1999" s="8"/>
      <c r="T1999" s="8"/>
    </row>
    <row r="2000" spans="19:20">
      <c r="S2000" s="8"/>
      <c r="T2000" s="8"/>
    </row>
    <row r="2001" spans="19:20">
      <c r="S2001" s="8"/>
      <c r="T2001" s="8"/>
    </row>
    <row r="2002" spans="19:20">
      <c r="S2002" s="8"/>
      <c r="T2002" s="8"/>
    </row>
    <row r="2003" spans="19:20">
      <c r="S2003" s="8"/>
      <c r="T2003" s="8"/>
    </row>
    <row r="2004" spans="19:20">
      <c r="S2004" s="8"/>
      <c r="T2004" s="8"/>
    </row>
    <row r="2005" spans="19:20">
      <c r="S2005" s="8"/>
      <c r="T2005" s="8"/>
    </row>
    <row r="2006" spans="19:20">
      <c r="S2006" s="8"/>
      <c r="T2006" s="8"/>
    </row>
    <row r="2007" spans="19:20">
      <c r="S2007" s="8"/>
      <c r="T2007" s="8"/>
    </row>
    <row r="2008" spans="19:20">
      <c r="S2008" s="8"/>
      <c r="T2008" s="8"/>
    </row>
    <row r="2009" spans="19:20">
      <c r="S2009" s="8"/>
      <c r="T2009" s="8"/>
    </row>
    <row r="2010" spans="19:20">
      <c r="S2010" s="8"/>
      <c r="T2010" s="8"/>
    </row>
    <row r="2011" spans="19:20">
      <c r="S2011" s="8"/>
      <c r="T2011" s="8"/>
    </row>
    <row r="2012" spans="19:20">
      <c r="S2012" s="8"/>
      <c r="T2012" s="8"/>
    </row>
    <row r="2013" spans="19:20">
      <c r="S2013" s="8"/>
      <c r="T2013" s="8"/>
    </row>
    <row r="2014" spans="19:20">
      <c r="S2014" s="8"/>
      <c r="T2014" s="8"/>
    </row>
    <row r="2015" spans="19:20">
      <c r="S2015" s="8"/>
      <c r="T2015" s="8"/>
    </row>
    <row r="2016" spans="19:20">
      <c r="S2016" s="8"/>
      <c r="T2016" s="8"/>
    </row>
    <row r="2017" spans="19:20">
      <c r="S2017" s="8"/>
      <c r="T2017" s="8"/>
    </row>
    <row r="2018" spans="19:20">
      <c r="S2018" s="8"/>
      <c r="T2018" s="8"/>
    </row>
    <row r="2019" spans="19:20">
      <c r="S2019" s="8"/>
      <c r="T2019" s="8"/>
    </row>
    <row r="2020" spans="19:20">
      <c r="S2020" s="8"/>
      <c r="T2020" s="8"/>
    </row>
    <row r="2021" spans="19:20">
      <c r="S2021" s="8"/>
      <c r="T2021" s="8"/>
    </row>
    <row r="2022" spans="19:20">
      <c r="S2022" s="8"/>
      <c r="T2022" s="8"/>
    </row>
    <row r="2023" spans="19:20">
      <c r="S2023" s="8"/>
      <c r="T2023" s="8"/>
    </row>
    <row r="2024" spans="19:20">
      <c r="S2024" s="8"/>
      <c r="T2024" s="8"/>
    </row>
    <row r="2025" spans="19:20">
      <c r="S2025" s="8"/>
      <c r="T2025" s="8"/>
    </row>
    <row r="2026" spans="19:20">
      <c r="S2026" s="8"/>
      <c r="T2026" s="8"/>
    </row>
    <row r="2027" spans="19:20">
      <c r="S2027" s="8"/>
      <c r="T2027" s="8"/>
    </row>
    <row r="2028" spans="19:20">
      <c r="S2028" s="8"/>
      <c r="T2028" s="8"/>
    </row>
    <row r="2029" spans="19:20">
      <c r="S2029" s="8"/>
      <c r="T2029" s="8"/>
    </row>
    <row r="2030" spans="19:20">
      <c r="S2030" s="8"/>
      <c r="T2030" s="8"/>
    </row>
    <row r="2031" spans="19:20">
      <c r="S2031" s="8"/>
      <c r="T2031" s="8"/>
    </row>
    <row r="2032" spans="19:20">
      <c r="S2032" s="8"/>
      <c r="T2032" s="8"/>
    </row>
    <row r="2033" spans="19:20">
      <c r="S2033" s="8"/>
      <c r="T2033" s="8"/>
    </row>
    <row r="2034" spans="19:20">
      <c r="S2034" s="8"/>
      <c r="T2034" s="8"/>
    </row>
    <row r="2035" spans="19:20">
      <c r="S2035" s="8"/>
      <c r="T2035" s="8"/>
    </row>
    <row r="2036" spans="19:20">
      <c r="S2036" s="8"/>
      <c r="T2036" s="8"/>
    </row>
    <row r="2037" spans="19:20">
      <c r="S2037" s="8"/>
      <c r="T2037" s="8"/>
    </row>
    <row r="2038" spans="19:20">
      <c r="S2038" s="8"/>
      <c r="T2038" s="8"/>
    </row>
    <row r="2039" spans="19:20">
      <c r="S2039" s="8"/>
      <c r="T2039" s="8"/>
    </row>
    <row r="2040" spans="19:20">
      <c r="S2040" s="8"/>
      <c r="T2040" s="8"/>
    </row>
    <row r="2041" spans="19:20">
      <c r="S2041" s="8"/>
      <c r="T2041" s="8"/>
    </row>
    <row r="2042" spans="19:20">
      <c r="S2042" s="8"/>
      <c r="T2042" s="8"/>
    </row>
    <row r="2043" spans="19:20">
      <c r="S2043" s="8"/>
      <c r="T2043" s="8"/>
    </row>
    <row r="2044" spans="19:20">
      <c r="S2044" s="8"/>
      <c r="T2044" s="8"/>
    </row>
    <row r="2045" spans="19:20">
      <c r="S2045" s="8"/>
      <c r="T2045" s="8"/>
    </row>
    <row r="2046" spans="19:20">
      <c r="S2046" s="8"/>
      <c r="T2046" s="8"/>
    </row>
    <row r="2047" spans="19:20">
      <c r="S2047" s="8"/>
      <c r="T2047" s="8"/>
    </row>
    <row r="2048" spans="19:20">
      <c r="S2048" s="8"/>
      <c r="T2048" s="8"/>
    </row>
    <row r="2049" spans="19:20">
      <c r="S2049" s="8"/>
      <c r="T2049" s="8"/>
    </row>
    <row r="2050" spans="19:20">
      <c r="S2050" s="8"/>
      <c r="T2050" s="8"/>
    </row>
    <row r="2051" spans="19:20">
      <c r="S2051" s="8"/>
      <c r="T2051" s="8"/>
    </row>
    <row r="2052" spans="19:20">
      <c r="S2052" s="8"/>
      <c r="T2052" s="8"/>
    </row>
    <row r="2053" spans="19:20">
      <c r="S2053" s="8"/>
      <c r="T2053" s="8"/>
    </row>
    <row r="2054" spans="19:20">
      <c r="S2054" s="8"/>
      <c r="T2054" s="8"/>
    </row>
    <row r="2055" spans="19:20">
      <c r="S2055" s="8"/>
      <c r="T2055" s="8"/>
    </row>
    <row r="2056" spans="19:20">
      <c r="S2056" s="8"/>
      <c r="T2056" s="8"/>
    </row>
    <row r="2057" spans="19:20">
      <c r="S2057" s="8"/>
      <c r="T2057" s="8"/>
    </row>
    <row r="2058" spans="19:20">
      <c r="S2058" s="8"/>
      <c r="T2058" s="8"/>
    </row>
    <row r="2059" spans="19:20">
      <c r="S2059" s="8"/>
      <c r="T2059" s="8"/>
    </row>
    <row r="2060" spans="19:20">
      <c r="S2060" s="8"/>
      <c r="T2060" s="8"/>
    </row>
    <row r="2061" spans="19:20">
      <c r="S2061" s="8"/>
      <c r="T2061" s="8"/>
    </row>
    <row r="2062" spans="19:20">
      <c r="S2062" s="8"/>
      <c r="T2062" s="8"/>
    </row>
    <row r="2063" spans="19:20">
      <c r="S2063" s="8"/>
      <c r="T2063" s="8"/>
    </row>
    <row r="2064" spans="19:20">
      <c r="S2064" s="8"/>
      <c r="T2064" s="8"/>
    </row>
    <row r="2065" spans="19:20">
      <c r="S2065" s="8"/>
      <c r="T2065" s="8"/>
    </row>
    <row r="2066" spans="19:20">
      <c r="S2066" s="8"/>
      <c r="T2066" s="8"/>
    </row>
    <row r="2067" spans="19:20">
      <c r="S2067" s="8"/>
      <c r="T2067" s="8"/>
    </row>
    <row r="2068" spans="19:20">
      <c r="S2068" s="8"/>
      <c r="T2068" s="8"/>
    </row>
    <row r="2069" spans="19:20">
      <c r="S2069" s="8"/>
      <c r="T2069" s="8"/>
    </row>
    <row r="2070" spans="19:20">
      <c r="S2070" s="8"/>
      <c r="T2070" s="8"/>
    </row>
    <row r="2071" spans="19:20">
      <c r="S2071" s="8"/>
      <c r="T2071" s="8"/>
    </row>
    <row r="2072" spans="19:20">
      <c r="S2072" s="8"/>
      <c r="T2072" s="8"/>
    </row>
    <row r="2073" spans="19:20">
      <c r="S2073" s="8"/>
      <c r="T2073" s="8"/>
    </row>
    <row r="2074" spans="19:20">
      <c r="S2074" s="8"/>
      <c r="T2074" s="8"/>
    </row>
    <row r="2075" spans="19:20">
      <c r="S2075" s="8"/>
      <c r="T2075" s="8"/>
    </row>
    <row r="2076" spans="19:20">
      <c r="S2076" s="8"/>
      <c r="T2076" s="8"/>
    </row>
    <row r="2077" spans="19:20">
      <c r="S2077" s="8"/>
      <c r="T2077" s="8"/>
    </row>
    <row r="2078" spans="19:20">
      <c r="S2078" s="8"/>
      <c r="T2078" s="8"/>
    </row>
    <row r="2079" spans="19:20">
      <c r="S2079" s="8"/>
      <c r="T2079" s="8"/>
    </row>
    <row r="2080" spans="19:20">
      <c r="S2080" s="8"/>
      <c r="T2080" s="8"/>
    </row>
    <row r="2081" spans="19:20">
      <c r="S2081" s="8"/>
      <c r="T2081" s="8"/>
    </row>
    <row r="2082" spans="19:20">
      <c r="S2082" s="8"/>
      <c r="T2082" s="8"/>
    </row>
    <row r="2083" spans="19:20">
      <c r="S2083" s="8"/>
      <c r="T2083" s="8"/>
    </row>
    <row r="2084" spans="19:20">
      <c r="S2084" s="8"/>
      <c r="T2084" s="8"/>
    </row>
    <row r="2085" spans="19:20">
      <c r="S2085" s="8"/>
      <c r="T2085" s="8"/>
    </row>
    <row r="2086" spans="19:20">
      <c r="S2086" s="8"/>
      <c r="T2086" s="8"/>
    </row>
    <row r="2087" spans="19:20">
      <c r="S2087" s="8"/>
      <c r="T2087" s="8"/>
    </row>
    <row r="2088" spans="19:20">
      <c r="S2088" s="8"/>
      <c r="T2088" s="8"/>
    </row>
    <row r="2089" spans="19:20">
      <c r="S2089" s="8"/>
      <c r="T2089" s="8"/>
    </row>
    <row r="2090" spans="19:20">
      <c r="S2090" s="8"/>
      <c r="T2090" s="8"/>
    </row>
    <row r="2091" spans="19:20">
      <c r="S2091" s="8"/>
      <c r="T2091" s="8"/>
    </row>
    <row r="2092" spans="19:20">
      <c r="S2092" s="8"/>
      <c r="T2092" s="8"/>
    </row>
    <row r="2093" spans="19:20">
      <c r="S2093" s="8"/>
      <c r="T2093" s="8"/>
    </row>
    <row r="2094" spans="19:20">
      <c r="S2094" s="8"/>
      <c r="T2094" s="8"/>
    </row>
    <row r="2095" spans="19:20">
      <c r="S2095" s="8"/>
      <c r="T2095" s="8"/>
    </row>
    <row r="2096" spans="19:20">
      <c r="S2096" s="8"/>
      <c r="T2096" s="8"/>
    </row>
    <row r="2097" spans="19:20">
      <c r="S2097" s="8"/>
      <c r="T2097" s="8"/>
    </row>
    <row r="2098" spans="19:20">
      <c r="S2098" s="8"/>
      <c r="T2098" s="8"/>
    </row>
    <row r="2099" spans="19:20">
      <c r="S2099" s="8"/>
      <c r="T2099" s="8"/>
    </row>
    <row r="2100" spans="19:20">
      <c r="S2100" s="8"/>
      <c r="T2100" s="8"/>
    </row>
    <row r="2101" spans="19:20">
      <c r="S2101" s="8"/>
      <c r="T2101" s="8"/>
    </row>
    <row r="2102" spans="19:20">
      <c r="S2102" s="8"/>
      <c r="T2102" s="8"/>
    </row>
    <row r="2103" spans="19:20">
      <c r="S2103" s="8"/>
      <c r="T2103" s="8"/>
    </row>
    <row r="2104" spans="19:20">
      <c r="S2104" s="8"/>
      <c r="T2104" s="8"/>
    </row>
    <row r="2105" spans="19:20">
      <c r="S2105" s="8"/>
      <c r="T2105" s="8"/>
    </row>
    <row r="2106" spans="19:20">
      <c r="S2106" s="8"/>
      <c r="T2106" s="8"/>
    </row>
    <row r="2107" spans="19:20">
      <c r="S2107" s="8"/>
      <c r="T2107" s="8"/>
    </row>
    <row r="2108" spans="19:20">
      <c r="S2108" s="8"/>
      <c r="T2108" s="8"/>
    </row>
    <row r="2109" spans="19:20">
      <c r="S2109" s="8"/>
      <c r="T2109" s="8"/>
    </row>
    <row r="2110" spans="19:20">
      <c r="S2110" s="8"/>
      <c r="T2110" s="8"/>
    </row>
    <row r="2111" spans="19:20">
      <c r="S2111" s="8"/>
      <c r="T2111" s="8"/>
    </row>
    <row r="2112" spans="19:20">
      <c r="S2112" s="8"/>
      <c r="T2112" s="8"/>
    </row>
    <row r="2113" spans="19:20">
      <c r="S2113" s="8"/>
      <c r="T2113" s="8"/>
    </row>
    <row r="2114" spans="19:20">
      <c r="S2114" s="8"/>
      <c r="T2114" s="8"/>
    </row>
    <row r="2115" spans="19:20">
      <c r="S2115" s="8"/>
      <c r="T2115" s="8"/>
    </row>
    <row r="2116" spans="19:20">
      <c r="S2116" s="8"/>
      <c r="T2116" s="8"/>
    </row>
    <row r="2117" spans="19:20">
      <c r="S2117" s="8"/>
      <c r="T2117" s="8"/>
    </row>
    <row r="2118" spans="19:20">
      <c r="S2118" s="8"/>
      <c r="T2118" s="8"/>
    </row>
    <row r="2119" spans="19:20">
      <c r="S2119" s="8"/>
      <c r="T2119" s="8"/>
    </row>
    <row r="2120" spans="19:20">
      <c r="S2120" s="8"/>
      <c r="T2120" s="8"/>
    </row>
    <row r="2121" spans="19:20">
      <c r="S2121" s="8"/>
      <c r="T2121" s="8"/>
    </row>
    <row r="2122" spans="19:20">
      <c r="S2122" s="8"/>
      <c r="T2122" s="8"/>
    </row>
    <row r="2123" spans="19:20">
      <c r="S2123" s="8"/>
      <c r="T2123" s="8"/>
    </row>
    <row r="2124" spans="19:20">
      <c r="S2124" s="8"/>
      <c r="T2124" s="8"/>
    </row>
    <row r="2125" spans="19:20">
      <c r="S2125" s="8"/>
      <c r="T2125" s="8"/>
    </row>
    <row r="2126" spans="19:20">
      <c r="S2126" s="8"/>
      <c r="T2126" s="8"/>
    </row>
    <row r="2127" spans="19:20">
      <c r="S2127" s="8"/>
      <c r="T2127" s="8"/>
    </row>
    <row r="2128" spans="19:20">
      <c r="S2128" s="8"/>
      <c r="T2128" s="8"/>
    </row>
    <row r="2129" spans="19:20">
      <c r="S2129" s="8"/>
      <c r="T2129" s="8"/>
    </row>
    <row r="2130" spans="19:20">
      <c r="S2130" s="8"/>
      <c r="T2130" s="8"/>
    </row>
    <row r="2131" spans="19:20">
      <c r="S2131" s="8"/>
      <c r="T2131" s="8"/>
    </row>
    <row r="2132" spans="19:20">
      <c r="S2132" s="8"/>
      <c r="T2132" s="8"/>
    </row>
    <row r="2133" spans="19:20">
      <c r="S2133" s="8"/>
      <c r="T2133" s="8"/>
    </row>
    <row r="2134" spans="19:20">
      <c r="S2134" s="8"/>
      <c r="T2134" s="8"/>
    </row>
    <row r="2135" spans="19:20">
      <c r="S2135" s="8"/>
      <c r="T2135" s="8"/>
    </row>
    <row r="2136" spans="19:20">
      <c r="S2136" s="8"/>
      <c r="T2136" s="8"/>
    </row>
    <row r="2137" spans="19:20">
      <c r="S2137" s="8"/>
      <c r="T2137" s="8"/>
    </row>
    <row r="2138" spans="19:20">
      <c r="S2138" s="8"/>
      <c r="T2138" s="8"/>
    </row>
    <row r="2139" spans="19:20">
      <c r="S2139" s="8"/>
      <c r="T2139" s="8"/>
    </row>
    <row r="2140" spans="19:20">
      <c r="S2140" s="8"/>
      <c r="T2140" s="8"/>
    </row>
    <row r="2141" spans="19:20">
      <c r="S2141" s="8"/>
      <c r="T2141" s="8"/>
    </row>
    <row r="2142" spans="19:20">
      <c r="S2142" s="8"/>
      <c r="T2142" s="8"/>
    </row>
    <row r="2143" spans="19:20">
      <c r="S2143" s="8"/>
      <c r="T2143" s="8"/>
    </row>
    <row r="2144" spans="19:20">
      <c r="S2144" s="8"/>
      <c r="T2144" s="8"/>
    </row>
    <row r="2145" spans="19:20">
      <c r="S2145" s="8"/>
      <c r="T2145" s="8"/>
    </row>
    <row r="2146" spans="19:20">
      <c r="S2146" s="8"/>
      <c r="T2146" s="8"/>
    </row>
    <row r="2147" spans="19:20">
      <c r="S2147" s="8"/>
      <c r="T2147" s="8"/>
    </row>
    <row r="2148" spans="19:20">
      <c r="S2148" s="8"/>
      <c r="T2148" s="8"/>
    </row>
    <row r="2149" spans="19:20">
      <c r="S2149" s="8"/>
      <c r="T2149" s="8"/>
    </row>
    <row r="2150" spans="19:20">
      <c r="S2150" s="8"/>
      <c r="T2150" s="8"/>
    </row>
    <row r="2151" spans="19:20">
      <c r="S2151" s="8"/>
      <c r="T2151" s="8"/>
    </row>
    <row r="2152" spans="19:20">
      <c r="S2152" s="8"/>
      <c r="T2152" s="8"/>
    </row>
    <row r="2153" spans="19:20">
      <c r="S2153" s="8"/>
      <c r="T2153" s="8"/>
    </row>
    <row r="2154" spans="19:20">
      <c r="S2154" s="8"/>
      <c r="T2154" s="8"/>
    </row>
    <row r="2155" spans="19:20">
      <c r="S2155" s="8"/>
      <c r="T2155" s="8"/>
    </row>
    <row r="2156" spans="19:20">
      <c r="S2156" s="8"/>
      <c r="T2156" s="8"/>
    </row>
    <row r="2157" spans="19:20">
      <c r="S2157" s="8"/>
      <c r="T2157" s="8"/>
    </row>
    <row r="2158" spans="19:20">
      <c r="S2158" s="8"/>
      <c r="T2158" s="8"/>
    </row>
    <row r="2159" spans="19:20">
      <c r="S2159" s="8"/>
      <c r="T2159" s="8"/>
    </row>
    <row r="2160" spans="19:20">
      <c r="S2160" s="8"/>
      <c r="T2160" s="8"/>
    </row>
    <row r="2161" spans="19:20">
      <c r="S2161" s="8"/>
      <c r="T2161" s="8"/>
    </row>
    <row r="2162" spans="19:20">
      <c r="S2162" s="8"/>
      <c r="T2162" s="8"/>
    </row>
    <row r="2163" spans="19:20">
      <c r="S2163" s="8"/>
      <c r="T2163" s="8"/>
    </row>
    <row r="2164" spans="19:20">
      <c r="S2164" s="8"/>
      <c r="T2164" s="8"/>
    </row>
    <row r="2165" spans="19:20">
      <c r="S2165" s="8"/>
      <c r="T2165" s="8"/>
    </row>
    <row r="2166" spans="19:20">
      <c r="S2166" s="8"/>
      <c r="T2166" s="8"/>
    </row>
    <row r="2167" spans="19:20">
      <c r="S2167" s="8"/>
      <c r="T2167" s="8"/>
    </row>
    <row r="2168" spans="19:20">
      <c r="S2168" s="8"/>
      <c r="T2168" s="8"/>
    </row>
    <row r="2169" spans="19:20">
      <c r="S2169" s="8"/>
      <c r="T2169" s="8"/>
    </row>
    <row r="2170" spans="19:20">
      <c r="S2170" s="8"/>
      <c r="T2170" s="8"/>
    </row>
    <row r="2171" spans="19:20">
      <c r="S2171" s="8"/>
      <c r="T2171" s="8"/>
    </row>
    <row r="2172" spans="19:20">
      <c r="S2172" s="8"/>
      <c r="T2172" s="8"/>
    </row>
    <row r="2173" spans="19:20">
      <c r="S2173" s="8"/>
      <c r="T2173" s="8"/>
    </row>
    <row r="2174" spans="19:20">
      <c r="S2174" s="8"/>
      <c r="T2174" s="8"/>
    </row>
    <row r="2175" spans="19:20">
      <c r="S2175" s="8"/>
      <c r="T2175" s="8"/>
    </row>
    <row r="2176" spans="19:20">
      <c r="S2176" s="8"/>
      <c r="T2176" s="8"/>
    </row>
    <row r="2177" spans="19:20">
      <c r="S2177" s="8"/>
      <c r="T2177" s="8"/>
    </row>
    <row r="2178" spans="19:20">
      <c r="S2178" s="8"/>
      <c r="T2178" s="8"/>
    </row>
    <row r="2179" spans="19:20">
      <c r="S2179" s="8"/>
      <c r="T2179" s="8"/>
    </row>
    <row r="2180" spans="19:20">
      <c r="S2180" s="8"/>
      <c r="T2180" s="8"/>
    </row>
    <row r="2181" spans="19:20">
      <c r="S2181" s="8"/>
      <c r="T2181" s="8"/>
    </row>
    <row r="2182" spans="19:20">
      <c r="S2182" s="8"/>
      <c r="T2182" s="8"/>
    </row>
    <row r="2183" spans="19:20">
      <c r="S2183" s="8"/>
      <c r="T2183" s="8"/>
    </row>
    <row r="2184" spans="19:20">
      <c r="S2184" s="8"/>
      <c r="T2184" s="8"/>
    </row>
    <row r="2185" spans="19:20">
      <c r="S2185" s="8"/>
      <c r="T2185" s="8"/>
    </row>
    <row r="2186" spans="19:20">
      <c r="S2186" s="8"/>
      <c r="T2186" s="8"/>
    </row>
    <row r="2187" spans="19:20">
      <c r="S2187" s="8"/>
      <c r="T2187" s="8"/>
    </row>
    <row r="2188" spans="19:20">
      <c r="S2188" s="8"/>
      <c r="T2188" s="8"/>
    </row>
    <row r="2189" spans="19:20">
      <c r="S2189" s="8"/>
      <c r="T2189" s="8"/>
    </row>
    <row r="2190" spans="19:20">
      <c r="S2190" s="8"/>
      <c r="T2190" s="8"/>
    </row>
    <row r="2191" spans="19:20">
      <c r="S2191" s="8"/>
      <c r="T2191" s="8"/>
    </row>
    <row r="2192" spans="19:20">
      <c r="S2192" s="8"/>
      <c r="T2192" s="8"/>
    </row>
    <row r="2193" spans="19:20">
      <c r="S2193" s="8"/>
      <c r="T2193" s="8"/>
    </row>
    <row r="2194" spans="19:20">
      <c r="S2194" s="8"/>
      <c r="T2194" s="8"/>
    </row>
    <row r="2195" spans="19:20">
      <c r="S2195" s="8"/>
      <c r="T2195" s="8"/>
    </row>
    <row r="2196" spans="19:20">
      <c r="S2196" s="8"/>
      <c r="T2196" s="8"/>
    </row>
    <row r="2197" spans="19:20">
      <c r="S2197" s="8"/>
      <c r="T2197" s="8"/>
    </row>
    <row r="2198" spans="19:20">
      <c r="S2198" s="8"/>
      <c r="T2198" s="8"/>
    </row>
    <row r="2199" spans="19:20">
      <c r="S2199" s="8"/>
      <c r="T2199" s="8"/>
    </row>
    <row r="2200" spans="19:20">
      <c r="S2200" s="8"/>
      <c r="T2200" s="8"/>
    </row>
    <row r="2201" spans="19:20">
      <c r="S2201" s="8"/>
      <c r="T2201" s="8"/>
    </row>
    <row r="2202" spans="19:20">
      <c r="S2202" s="8"/>
      <c r="T2202" s="8"/>
    </row>
    <row r="2203" spans="19:20">
      <c r="S2203" s="8"/>
      <c r="T2203" s="8"/>
    </row>
    <row r="2204" spans="19:20">
      <c r="S2204" s="8"/>
      <c r="T2204" s="8"/>
    </row>
    <row r="2205" spans="19:20">
      <c r="S2205" s="8"/>
      <c r="T2205" s="8"/>
    </row>
    <row r="2206" spans="19:20">
      <c r="S2206" s="8"/>
      <c r="T2206" s="8"/>
    </row>
    <row r="2207" spans="19:20">
      <c r="S2207" s="8"/>
      <c r="T2207" s="8"/>
    </row>
    <row r="2208" spans="19:20">
      <c r="S2208" s="8"/>
      <c r="T2208" s="8"/>
    </row>
    <row r="2209" spans="19:20">
      <c r="S2209" s="8"/>
      <c r="T2209" s="8"/>
    </row>
    <row r="2210" spans="19:20">
      <c r="S2210" s="8"/>
      <c r="T2210" s="8"/>
    </row>
    <row r="2211" spans="19:20">
      <c r="S2211" s="8"/>
      <c r="T2211" s="8"/>
    </row>
    <row r="2212" spans="19:20">
      <c r="S2212" s="8"/>
      <c r="T2212" s="8"/>
    </row>
    <row r="2213" spans="19:20">
      <c r="S2213" s="8"/>
      <c r="T2213" s="8"/>
    </row>
    <row r="2214" spans="19:20">
      <c r="S2214" s="8"/>
      <c r="T2214" s="8"/>
    </row>
    <row r="2215" spans="19:20">
      <c r="S2215" s="8"/>
      <c r="T2215" s="8"/>
    </row>
    <row r="2216" spans="19:20">
      <c r="S2216" s="8"/>
      <c r="T2216" s="8"/>
    </row>
    <row r="2217" spans="19:20">
      <c r="S2217" s="8"/>
      <c r="T2217" s="8"/>
    </row>
    <row r="2218" spans="19:20">
      <c r="S2218" s="8"/>
      <c r="T2218" s="8"/>
    </row>
    <row r="2219" spans="19:20">
      <c r="S2219" s="8"/>
      <c r="T2219" s="8"/>
    </row>
    <row r="2220" spans="19:20">
      <c r="S2220" s="8"/>
      <c r="T2220" s="8"/>
    </row>
    <row r="2221" spans="19:20">
      <c r="S2221" s="8"/>
      <c r="T2221" s="8"/>
    </row>
    <row r="2222" spans="19:20">
      <c r="S2222" s="8"/>
      <c r="T2222" s="8"/>
    </row>
    <row r="2223" spans="19:20">
      <c r="S2223" s="8"/>
      <c r="T2223" s="8"/>
    </row>
    <row r="2224" spans="19:20">
      <c r="S2224" s="8"/>
      <c r="T2224" s="8"/>
    </row>
    <row r="2225" spans="19:20">
      <c r="S2225" s="8"/>
      <c r="T2225" s="8"/>
    </row>
    <row r="2226" spans="19:20">
      <c r="S2226" s="8"/>
      <c r="T2226" s="8"/>
    </row>
    <row r="2227" spans="19:20">
      <c r="S2227" s="8"/>
      <c r="T2227" s="8"/>
    </row>
    <row r="2228" spans="19:20">
      <c r="S2228" s="8"/>
      <c r="T2228" s="8"/>
    </row>
    <row r="2229" spans="19:20">
      <c r="S2229" s="8"/>
      <c r="T2229" s="8"/>
    </row>
    <row r="2230" spans="19:20">
      <c r="S2230" s="8"/>
      <c r="T2230" s="8"/>
    </row>
    <row r="2231" spans="19:20">
      <c r="S2231" s="8"/>
      <c r="T2231" s="8"/>
    </row>
    <row r="2232" spans="19:20">
      <c r="S2232" s="8"/>
      <c r="T2232" s="8"/>
    </row>
    <row r="2233" spans="19:20">
      <c r="S2233" s="8"/>
      <c r="T2233" s="8"/>
    </row>
    <row r="2234" spans="19:20">
      <c r="S2234" s="8"/>
      <c r="T2234" s="8"/>
    </row>
    <row r="2235" spans="19:20">
      <c r="S2235" s="8"/>
      <c r="T2235" s="8"/>
    </row>
    <row r="2236" spans="19:20">
      <c r="S2236" s="8"/>
      <c r="T2236" s="8"/>
    </row>
    <row r="2237" spans="19:20">
      <c r="S2237" s="8"/>
      <c r="T2237" s="8"/>
    </row>
    <row r="2238" spans="19:20">
      <c r="S2238" s="8"/>
      <c r="T2238" s="8"/>
    </row>
    <row r="2239" spans="19:20">
      <c r="S2239" s="8"/>
      <c r="T2239" s="8"/>
    </row>
    <row r="2240" spans="19:20">
      <c r="S2240" s="8"/>
      <c r="T2240" s="8"/>
    </row>
    <row r="2241" spans="19:20">
      <c r="S2241" s="8"/>
      <c r="T2241" s="8"/>
    </row>
    <row r="2242" spans="19:20">
      <c r="S2242" s="8"/>
      <c r="T2242" s="8"/>
    </row>
    <row r="2243" spans="19:20">
      <c r="S2243" s="8"/>
      <c r="T2243" s="8"/>
    </row>
    <row r="2244" spans="19:20">
      <c r="S2244" s="8"/>
      <c r="T2244" s="8"/>
    </row>
    <row r="2245" spans="19:20">
      <c r="S2245" s="8"/>
      <c r="T2245" s="8"/>
    </row>
    <row r="2246" spans="19:20">
      <c r="S2246" s="8"/>
      <c r="T2246" s="8"/>
    </row>
    <row r="2247" spans="19:20">
      <c r="S2247" s="8"/>
      <c r="T2247" s="8"/>
    </row>
    <row r="2248" spans="19:20">
      <c r="S2248" s="8"/>
      <c r="T2248" s="8"/>
    </row>
    <row r="2249" spans="19:20">
      <c r="S2249" s="8"/>
      <c r="T2249" s="8"/>
    </row>
    <row r="2250" spans="19:20">
      <c r="S2250" s="8"/>
      <c r="T2250" s="8"/>
    </row>
    <row r="2251" spans="19:20">
      <c r="S2251" s="8"/>
      <c r="T2251" s="8"/>
    </row>
    <row r="2252" spans="19:20">
      <c r="S2252" s="8"/>
      <c r="T2252" s="8"/>
    </row>
    <row r="2253" spans="19:20">
      <c r="S2253" s="8"/>
      <c r="T2253" s="8"/>
    </row>
    <row r="2254" spans="19:20">
      <c r="S2254" s="8"/>
      <c r="T2254" s="8"/>
    </row>
    <row r="2255" spans="19:20">
      <c r="S2255" s="8"/>
      <c r="T2255" s="8"/>
    </row>
    <row r="2256" spans="19:20">
      <c r="S2256" s="8"/>
      <c r="T2256" s="8"/>
    </row>
    <row r="2257" spans="19:20">
      <c r="S2257" s="8"/>
      <c r="T2257" s="8"/>
    </row>
    <row r="2258" spans="19:20">
      <c r="S2258" s="8"/>
      <c r="T2258" s="8"/>
    </row>
    <row r="2259" spans="19:20">
      <c r="S2259" s="8"/>
      <c r="T2259" s="8"/>
    </row>
    <row r="2260" spans="19:20">
      <c r="S2260" s="8"/>
      <c r="T2260" s="8"/>
    </row>
    <row r="2261" spans="19:20">
      <c r="S2261" s="8"/>
      <c r="T2261" s="8"/>
    </row>
    <row r="2262" spans="19:20">
      <c r="S2262" s="8"/>
      <c r="T2262" s="8"/>
    </row>
    <row r="2263" spans="19:20">
      <c r="S2263" s="8"/>
      <c r="T2263" s="8"/>
    </row>
    <row r="2264" spans="19:20">
      <c r="S2264" s="8"/>
      <c r="T2264" s="8"/>
    </row>
    <row r="2265" spans="19:20">
      <c r="S2265" s="8"/>
      <c r="T2265" s="8"/>
    </row>
    <row r="2266" spans="19:20">
      <c r="S2266" s="8"/>
      <c r="T2266" s="8"/>
    </row>
    <row r="2267" spans="19:20">
      <c r="S2267" s="8"/>
      <c r="T2267" s="8"/>
    </row>
    <row r="2268" spans="19:20">
      <c r="S2268" s="8"/>
      <c r="T2268" s="8"/>
    </row>
    <row r="2269" spans="19:20">
      <c r="S2269" s="8"/>
      <c r="T2269" s="8"/>
    </row>
    <row r="2270" spans="19:20">
      <c r="S2270" s="8"/>
      <c r="T2270" s="8"/>
    </row>
    <row r="2271" spans="19:20">
      <c r="S2271" s="8"/>
      <c r="T2271" s="8"/>
    </row>
    <row r="2272" spans="19:20">
      <c r="S2272" s="8"/>
      <c r="T2272" s="8"/>
    </row>
    <row r="2273" spans="19:20">
      <c r="S2273" s="8"/>
      <c r="T2273" s="8"/>
    </row>
    <row r="2274" spans="19:20">
      <c r="S2274" s="8"/>
      <c r="T2274" s="8"/>
    </row>
    <row r="2275" spans="19:20">
      <c r="S2275" s="8"/>
      <c r="T2275" s="8"/>
    </row>
    <row r="2276" spans="19:20">
      <c r="S2276" s="8"/>
      <c r="T2276" s="8"/>
    </row>
    <row r="2277" spans="19:20">
      <c r="S2277" s="8"/>
      <c r="T2277" s="8"/>
    </row>
    <row r="2278" spans="19:20">
      <c r="S2278" s="8"/>
      <c r="T2278" s="8"/>
    </row>
    <row r="2279" spans="19:20">
      <c r="S2279" s="8"/>
      <c r="T2279" s="8"/>
    </row>
    <row r="2280" spans="19:20">
      <c r="S2280" s="8"/>
      <c r="T2280" s="8"/>
    </row>
    <row r="2281" spans="19:20">
      <c r="S2281" s="8"/>
      <c r="T2281" s="8"/>
    </row>
    <row r="2282" spans="19:20">
      <c r="S2282" s="8"/>
      <c r="T2282" s="8"/>
    </row>
    <row r="2283" spans="19:20">
      <c r="S2283" s="8"/>
      <c r="T2283" s="8"/>
    </row>
    <row r="2284" spans="19:20">
      <c r="S2284" s="8"/>
      <c r="T2284" s="8"/>
    </row>
    <row r="2285" spans="19:20">
      <c r="S2285" s="8"/>
      <c r="T2285" s="8"/>
    </row>
    <row r="2286" spans="19:20">
      <c r="S2286" s="8"/>
      <c r="T2286" s="8"/>
    </row>
    <row r="2287" spans="19:20">
      <c r="S2287" s="8"/>
      <c r="T2287" s="8"/>
    </row>
    <row r="2288" spans="19:20">
      <c r="S2288" s="8"/>
      <c r="T2288" s="8"/>
    </row>
    <row r="2289" spans="19:20">
      <c r="S2289" s="8"/>
      <c r="T2289" s="8"/>
    </row>
    <row r="2290" spans="19:20">
      <c r="S2290" s="8"/>
      <c r="T2290" s="8"/>
    </row>
    <row r="2291" spans="19:20">
      <c r="S2291" s="8"/>
      <c r="T2291" s="8"/>
    </row>
    <row r="2292" spans="19:20">
      <c r="S2292" s="8"/>
      <c r="T2292" s="8"/>
    </row>
    <row r="2293" spans="19:20">
      <c r="S2293" s="8"/>
      <c r="T2293" s="8"/>
    </row>
    <row r="2294" spans="19:20">
      <c r="S2294" s="8"/>
      <c r="T2294" s="8"/>
    </row>
    <row r="2295" spans="19:20">
      <c r="S2295" s="8"/>
      <c r="T2295" s="8"/>
    </row>
    <row r="2296" spans="19:20">
      <c r="S2296" s="8"/>
      <c r="T2296" s="8"/>
    </row>
    <row r="2297" spans="19:20">
      <c r="S2297" s="8"/>
      <c r="T2297" s="8"/>
    </row>
    <row r="2298" spans="19:20">
      <c r="S2298" s="8"/>
      <c r="T2298" s="8"/>
    </row>
    <row r="2299" spans="19:20">
      <c r="S2299" s="8"/>
      <c r="T2299" s="8"/>
    </row>
    <row r="2300" spans="19:20">
      <c r="S2300" s="8"/>
      <c r="T2300" s="8"/>
    </row>
    <row r="2301" spans="19:20">
      <c r="S2301" s="8"/>
      <c r="T2301" s="8"/>
    </row>
    <row r="2302" spans="19:20">
      <c r="S2302" s="8"/>
      <c r="T2302" s="8"/>
    </row>
    <row r="2303" spans="19:20">
      <c r="S2303" s="8"/>
      <c r="T2303" s="8"/>
    </row>
    <row r="2304" spans="19:20">
      <c r="S2304" s="8"/>
      <c r="T2304" s="8"/>
    </row>
    <row r="2305" spans="19:20">
      <c r="S2305" s="8"/>
      <c r="T2305" s="8"/>
    </row>
    <row r="2306" spans="19:20">
      <c r="S2306" s="8"/>
      <c r="T2306" s="8"/>
    </row>
  </sheetData>
  <sheetProtection sheet="1" selectLockedCells="1"/>
  <phoneticPr fontId="0" type="noConversion"/>
  <pageMargins left="0.78740157499999996" right="0.78740157499999996" top="1.24" bottom="0.984251969" header="0.74" footer="0.4921259845"/>
  <pageSetup paperSize="9" scale="44" orientation="landscape" horizontalDpi="300" verticalDpi="300" r:id="rId1"/>
  <headerFooter alignWithMargins="0">
    <oddHeader>&amp;F</oddHeader>
    <oddFooter>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9"/>
    <pageSetUpPr fitToPage="1"/>
  </sheetPr>
  <dimension ref="B1:U2306"/>
  <sheetViews>
    <sheetView zoomScaleNormal="100" zoomScaleSheetLayoutView="70" workbookViewId="0">
      <selection activeCell="I34" sqref="I34"/>
    </sheetView>
  </sheetViews>
  <sheetFormatPr baseColWidth="10" defaultRowHeight="12.75"/>
  <cols>
    <col min="1" max="1" width="3.28515625" style="8" customWidth="1"/>
    <col min="2" max="2" width="13.85546875" style="8" customWidth="1"/>
    <col min="3" max="3" width="3.7109375" style="8" customWidth="1"/>
    <col min="4" max="4" width="12.140625" style="8" customWidth="1"/>
    <col min="5" max="5" width="3.140625" customWidth="1"/>
    <col min="6" max="6" width="45.28515625" style="8" customWidth="1"/>
    <col min="7" max="18" width="17.140625" style="8" customWidth="1"/>
    <col min="19" max="19" width="0" hidden="1" customWidth="1"/>
    <col min="20" max="20" width="15.42578125" style="22" customWidth="1"/>
    <col min="21" max="21" width="17.42578125" style="23" hidden="1" customWidth="1"/>
    <col min="22" max="16384" width="11.42578125" style="8"/>
  </cols>
  <sheetData>
    <row r="1" spans="2:21">
      <c r="T1" s="8"/>
      <c r="U1" s="8"/>
    </row>
    <row r="2" spans="2:21">
      <c r="T2" s="8"/>
      <c r="U2" s="8"/>
    </row>
    <row r="3" spans="2:21">
      <c r="T3" s="8"/>
      <c r="U3" s="8"/>
    </row>
    <row r="4" spans="2:21">
      <c r="B4" s="173" t="s">
        <v>211</v>
      </c>
      <c r="G4" s="117" t="s">
        <v>49</v>
      </c>
      <c r="H4" s="117" t="s">
        <v>50</v>
      </c>
      <c r="I4" s="117" t="s">
        <v>51</v>
      </c>
      <c r="J4" s="117" t="s">
        <v>52</v>
      </c>
      <c r="K4" s="117" t="s">
        <v>53</v>
      </c>
      <c r="L4" s="117" t="s">
        <v>54</v>
      </c>
      <c r="M4" s="117" t="s">
        <v>55</v>
      </c>
      <c r="N4" s="117" t="s">
        <v>56</v>
      </c>
      <c r="O4" s="117" t="s">
        <v>57</v>
      </c>
      <c r="P4" s="117" t="s">
        <v>58</v>
      </c>
      <c r="Q4" s="117" t="s">
        <v>59</v>
      </c>
      <c r="R4" s="117" t="s">
        <v>60</v>
      </c>
      <c r="U4" s="8"/>
    </row>
    <row r="5" spans="2:21" ht="19.5" customHeight="1">
      <c r="B5" s="12"/>
      <c r="C5" s="12"/>
      <c r="F5" s="14" t="s">
        <v>112</v>
      </c>
      <c r="G5" s="15">
        <f>'Trésorerie AN 1'!Q44</f>
        <v>0</v>
      </c>
      <c r="H5" s="15">
        <f t="shared" ref="H5:R5" si="0">G44</f>
        <v>0</v>
      </c>
      <c r="I5" s="15">
        <f t="shared" si="0"/>
        <v>0</v>
      </c>
      <c r="J5" s="15">
        <f t="shared" si="0"/>
        <v>0</v>
      </c>
      <c r="K5" s="15">
        <f t="shared" si="0"/>
        <v>0</v>
      </c>
      <c r="L5" s="15">
        <f t="shared" si="0"/>
        <v>0</v>
      </c>
      <c r="M5" s="15">
        <f t="shared" si="0"/>
        <v>0</v>
      </c>
      <c r="N5" s="15">
        <f t="shared" si="0"/>
        <v>0</v>
      </c>
      <c r="O5" s="15">
        <f t="shared" si="0"/>
        <v>0</v>
      </c>
      <c r="P5" s="15">
        <f t="shared" si="0"/>
        <v>0</v>
      </c>
      <c r="Q5" s="15">
        <f t="shared" si="0"/>
        <v>0</v>
      </c>
      <c r="R5" s="15">
        <f t="shared" si="0"/>
        <v>0</v>
      </c>
      <c r="T5" s="117" t="s">
        <v>190</v>
      </c>
      <c r="U5" s="6" t="s">
        <v>192</v>
      </c>
    </row>
    <row r="6" spans="2:21" ht="6.75" customHeight="1" thickBot="1">
      <c r="B6" s="12"/>
      <c r="C6" s="12"/>
      <c r="D6" s="221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T6" s="138"/>
      <c r="U6" s="117"/>
    </row>
    <row r="7" spans="2:21" ht="13.5" thickBot="1">
      <c r="B7" s="31"/>
      <c r="C7" s="31"/>
      <c r="D7" s="217" t="s">
        <v>191</v>
      </c>
      <c r="F7" s="214" t="s">
        <v>2</v>
      </c>
      <c r="G7" s="135">
        <f t="shared" ref="G7:R7" si="1">SUM(G8:G14)</f>
        <v>0</v>
      </c>
      <c r="H7" s="135">
        <f t="shared" si="1"/>
        <v>0</v>
      </c>
      <c r="I7" s="135">
        <f t="shared" si="1"/>
        <v>0</v>
      </c>
      <c r="J7" s="135">
        <f t="shared" si="1"/>
        <v>0</v>
      </c>
      <c r="K7" s="135">
        <f t="shared" si="1"/>
        <v>0</v>
      </c>
      <c r="L7" s="135">
        <f t="shared" si="1"/>
        <v>0</v>
      </c>
      <c r="M7" s="135">
        <f t="shared" si="1"/>
        <v>0</v>
      </c>
      <c r="N7" s="135">
        <f t="shared" si="1"/>
        <v>0</v>
      </c>
      <c r="O7" s="135">
        <f t="shared" si="1"/>
        <v>0</v>
      </c>
      <c r="P7" s="135">
        <f t="shared" si="1"/>
        <v>0</v>
      </c>
      <c r="Q7" s="135">
        <f t="shared" si="1"/>
        <v>0</v>
      </c>
      <c r="R7" s="139">
        <f t="shared" si="1"/>
        <v>0</v>
      </c>
      <c r="T7" s="49">
        <f>SUM(T8:T14)</f>
        <v>0</v>
      </c>
      <c r="U7" s="6">
        <f>SUM(U8:U15)</f>
        <v>0</v>
      </c>
    </row>
    <row r="8" spans="2:21">
      <c r="B8" s="140"/>
      <c r="C8" s="140"/>
      <c r="D8" s="169">
        <f>'Trésorerie AN 1'!B8</f>
        <v>0</v>
      </c>
      <c r="F8" s="130" t="s">
        <v>156</v>
      </c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T8" s="1">
        <f t="shared" ref="T8:T14" si="2">SUM(G8:R8)</f>
        <v>0</v>
      </c>
      <c r="U8" s="14">
        <f t="shared" ref="U8:U15" si="3">T8/(1+D8)</f>
        <v>0</v>
      </c>
    </row>
    <row r="9" spans="2:21" ht="12" customHeight="1">
      <c r="B9" s="140"/>
      <c r="C9" s="140"/>
      <c r="D9" s="169">
        <f>'Trésorerie AN 1'!B9</f>
        <v>0</v>
      </c>
      <c r="F9" s="130" t="s">
        <v>135</v>
      </c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T9" s="1">
        <f t="shared" si="2"/>
        <v>0</v>
      </c>
      <c r="U9" s="14">
        <f t="shared" si="3"/>
        <v>0</v>
      </c>
    </row>
    <row r="10" spans="2:21" ht="12" customHeight="1">
      <c r="B10" s="140"/>
      <c r="C10" s="140"/>
      <c r="D10" s="169">
        <f>'Trésorerie AN 1'!B10</f>
        <v>0</v>
      </c>
      <c r="F10" s="130" t="s">
        <v>106</v>
      </c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T10" s="1">
        <f t="shared" si="2"/>
        <v>0</v>
      </c>
      <c r="U10" s="14">
        <f t="shared" si="3"/>
        <v>0</v>
      </c>
    </row>
    <row r="11" spans="2:21" ht="12" customHeight="1">
      <c r="B11" s="140"/>
      <c r="C11" s="140"/>
      <c r="D11" s="169">
        <v>0</v>
      </c>
      <c r="F11" s="336" t="s">
        <v>104</v>
      </c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T11" s="1">
        <f t="shared" si="2"/>
        <v>0</v>
      </c>
      <c r="U11" s="14">
        <f t="shared" si="3"/>
        <v>0</v>
      </c>
    </row>
    <row r="12" spans="2:21" ht="12" customHeight="1">
      <c r="B12" s="140"/>
      <c r="C12" s="140"/>
      <c r="D12" s="169"/>
      <c r="F12" s="336" t="s">
        <v>44</v>
      </c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T12" s="1">
        <f t="shared" si="2"/>
        <v>0</v>
      </c>
      <c r="U12" s="14">
        <f t="shared" si="3"/>
        <v>0</v>
      </c>
    </row>
    <row r="13" spans="2:21" ht="12" customHeight="1">
      <c r="B13" s="140"/>
      <c r="C13" s="140"/>
      <c r="D13" s="169"/>
      <c r="F13" s="130" t="s">
        <v>1</v>
      </c>
      <c r="G13" s="1">
        <f>+'Ventes '!K40</f>
        <v>0</v>
      </c>
      <c r="H13" s="1">
        <f>+'Ventes '!L40</f>
        <v>0</v>
      </c>
      <c r="I13" s="1">
        <f>+'Ventes '!M40</f>
        <v>0</v>
      </c>
      <c r="J13" s="1">
        <f>+'Ventes '!N40</f>
        <v>0</v>
      </c>
      <c r="K13" s="1">
        <f>+'Ventes '!O40</f>
        <v>0</v>
      </c>
      <c r="L13" s="1">
        <f>+'Ventes '!P40</f>
        <v>0</v>
      </c>
      <c r="M13" s="1">
        <f>+'Ventes '!Q40</f>
        <v>0</v>
      </c>
      <c r="N13" s="1">
        <f>+'Ventes '!R40</f>
        <v>0</v>
      </c>
      <c r="O13" s="1">
        <f>+'Ventes '!S40</f>
        <v>0</v>
      </c>
      <c r="P13" s="1">
        <f>+'Ventes '!T40</f>
        <v>0</v>
      </c>
      <c r="Q13" s="1">
        <f>+'Ventes '!U40</f>
        <v>0</v>
      </c>
      <c r="R13" s="1">
        <f>+'Ventes '!V40</f>
        <v>0</v>
      </c>
      <c r="T13" s="1">
        <f t="shared" si="2"/>
        <v>0</v>
      </c>
      <c r="U13" s="14">
        <f t="shared" si="3"/>
        <v>0</v>
      </c>
    </row>
    <row r="14" spans="2:21" ht="12" customHeight="1">
      <c r="B14" s="140"/>
      <c r="C14" s="140"/>
      <c r="D14" s="169"/>
      <c r="F14" s="130" t="s">
        <v>23</v>
      </c>
      <c r="G14" s="1">
        <f>IF('Trésorerie AN 1'!Q52&lt;0,-'Trésorerie AN 1'!Q52,0)</f>
        <v>0</v>
      </c>
      <c r="H14" s="1"/>
      <c r="I14" s="1"/>
      <c r="J14" s="1">
        <f>IF(I52&lt;0,-I52,0)</f>
        <v>0</v>
      </c>
      <c r="K14" s="1"/>
      <c r="L14" s="1"/>
      <c r="M14" s="1">
        <f>IF(L52&lt;0,-L52,0)</f>
        <v>0</v>
      </c>
      <c r="N14" s="1"/>
      <c r="O14" s="1"/>
      <c r="P14" s="1">
        <f>IF(O52&lt;0,-O52,0)</f>
        <v>0</v>
      </c>
      <c r="Q14" s="1"/>
      <c r="R14" s="1"/>
      <c r="T14" s="1">
        <f t="shared" si="2"/>
        <v>0</v>
      </c>
      <c r="U14" s="14">
        <f t="shared" si="3"/>
        <v>0</v>
      </c>
    </row>
    <row r="15" spans="2:21" ht="12" customHeight="1" thickBot="1">
      <c r="B15" s="411" t="s">
        <v>214</v>
      </c>
      <c r="C15" s="218"/>
      <c r="D15" s="169"/>
      <c r="F15" s="13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T15" s="1"/>
      <c r="U15" s="14">
        <f t="shared" si="3"/>
        <v>0</v>
      </c>
    </row>
    <row r="16" spans="2:21" ht="12" customHeight="1" thickBot="1">
      <c r="B16" s="412"/>
      <c r="C16" s="218"/>
      <c r="D16" s="16"/>
      <c r="F16" s="215" t="s">
        <v>3</v>
      </c>
      <c r="G16" s="136">
        <f t="shared" ref="G16:R16" si="4">SUM(G17:G43)</f>
        <v>0</v>
      </c>
      <c r="H16" s="136">
        <f t="shared" si="4"/>
        <v>0</v>
      </c>
      <c r="I16" s="136">
        <f>SUM(I17:I43)</f>
        <v>0</v>
      </c>
      <c r="J16" s="136">
        <f t="shared" si="4"/>
        <v>0</v>
      </c>
      <c r="K16" s="136">
        <f t="shared" si="4"/>
        <v>0</v>
      </c>
      <c r="L16" s="136">
        <f t="shared" si="4"/>
        <v>0</v>
      </c>
      <c r="M16" s="136">
        <f t="shared" si="4"/>
        <v>0</v>
      </c>
      <c r="N16" s="136">
        <f t="shared" si="4"/>
        <v>0</v>
      </c>
      <c r="O16" s="136">
        <f t="shared" si="4"/>
        <v>0</v>
      </c>
      <c r="P16" s="136">
        <f t="shared" si="4"/>
        <v>0</v>
      </c>
      <c r="Q16" s="136">
        <f t="shared" si="4"/>
        <v>0</v>
      </c>
      <c r="R16" s="136">
        <f t="shared" si="4"/>
        <v>0</v>
      </c>
      <c r="T16" s="137">
        <f t="shared" ref="T16:T43" si="5">SUM(G16:R16)</f>
        <v>0</v>
      </c>
      <c r="U16" s="6">
        <f>SUM(U17:U43)</f>
        <v>0</v>
      </c>
    </row>
    <row r="17" spans="2:21" ht="12" customHeight="1">
      <c r="B17" s="220"/>
      <c r="C17" s="140"/>
      <c r="D17" s="169"/>
      <c r="F17" s="142" t="s">
        <v>21</v>
      </c>
      <c r="G17" s="357">
        <f>'Ventes '!K41</f>
        <v>0</v>
      </c>
      <c r="H17" s="357">
        <f>'Ventes '!L41</f>
        <v>0</v>
      </c>
      <c r="I17" s="357">
        <f>'Ventes '!M41</f>
        <v>0</v>
      </c>
      <c r="J17" s="357">
        <f>'Ventes '!N41</f>
        <v>0</v>
      </c>
      <c r="K17" s="357">
        <f>'Ventes '!O41</f>
        <v>0</v>
      </c>
      <c r="L17" s="357">
        <f>'Ventes '!P41</f>
        <v>0</v>
      </c>
      <c r="M17" s="357">
        <f>'Ventes '!Q41</f>
        <v>0</v>
      </c>
      <c r="N17" s="357">
        <f>'Ventes '!R41</f>
        <v>0</v>
      </c>
      <c r="O17" s="357">
        <f>'Ventes '!S41</f>
        <v>0</v>
      </c>
      <c r="P17" s="357">
        <f>'Ventes '!T41</f>
        <v>0</v>
      </c>
      <c r="Q17" s="357">
        <f>'Ventes '!U41</f>
        <v>0</v>
      </c>
      <c r="R17" s="355">
        <f>'Ventes '!V41</f>
        <v>0</v>
      </c>
      <c r="T17" s="1">
        <f t="shared" si="5"/>
        <v>0</v>
      </c>
      <c r="U17" s="14">
        <f t="shared" ref="U17:U37" si="6">T17/(1+D17)</f>
        <v>0</v>
      </c>
    </row>
    <row r="18" spans="2:21" ht="12" customHeight="1">
      <c r="B18" s="259">
        <v>0</v>
      </c>
      <c r="C18" s="140"/>
      <c r="D18" s="169">
        <f>'Trésorerie AN 1'!B18</f>
        <v>0</v>
      </c>
      <c r="F18" s="142" t="s">
        <v>170</v>
      </c>
      <c r="G18" s="358">
        <f>(1+$B18)*'Trésorerie AN 1'!F18</f>
        <v>0</v>
      </c>
      <c r="H18" s="358">
        <f>(1+$B18)*'Trésorerie AN 1'!G18</f>
        <v>0</v>
      </c>
      <c r="I18" s="358">
        <f>(1+$B18)*'Trésorerie AN 1'!H18</f>
        <v>0</v>
      </c>
      <c r="J18" s="358">
        <f>(1+$B18)*'Trésorerie AN 1'!I18</f>
        <v>0</v>
      </c>
      <c r="K18" s="358">
        <f>(1+$B18)*'Trésorerie AN 1'!J18</f>
        <v>0</v>
      </c>
      <c r="L18" s="358">
        <f>(1+$B18)*'Trésorerie AN 1'!K18</f>
        <v>0</v>
      </c>
      <c r="M18" s="358">
        <f>(1+$B18)*'Trésorerie AN 1'!L18</f>
        <v>0</v>
      </c>
      <c r="N18" s="358">
        <f>(1+$B18)*'Trésorerie AN 1'!M18</f>
        <v>0</v>
      </c>
      <c r="O18" s="358">
        <f>(1+$B18)*'Trésorerie AN 1'!N18</f>
        <v>0</v>
      </c>
      <c r="P18" s="358">
        <f>(1+$B18)*'Trésorerie AN 1'!O18</f>
        <v>0</v>
      </c>
      <c r="Q18" s="358">
        <f>(1+$B18)*'Trésorerie AN 1'!P18</f>
        <v>0</v>
      </c>
      <c r="R18" s="356">
        <f>(1+$B18)*'Trésorerie AN 1'!Q18</f>
        <v>0</v>
      </c>
      <c r="T18" s="1">
        <f t="shared" si="5"/>
        <v>0</v>
      </c>
      <c r="U18" s="14">
        <f t="shared" si="6"/>
        <v>0</v>
      </c>
    </row>
    <row r="19" spans="2:21">
      <c r="B19" s="259">
        <v>0</v>
      </c>
      <c r="C19" s="140"/>
      <c r="D19" s="169">
        <f>'Trésorerie AN 1'!B19</f>
        <v>0.21</v>
      </c>
      <c r="F19" s="142" t="s">
        <v>171</v>
      </c>
      <c r="G19" s="358">
        <f>(1+$B19)*'Trésorerie AN 1'!F19</f>
        <v>0</v>
      </c>
      <c r="H19" s="358">
        <f>(1+$B19)*'Trésorerie AN 1'!G19</f>
        <v>0</v>
      </c>
      <c r="I19" s="358">
        <f>(1+$B19)*'Trésorerie AN 1'!H19</f>
        <v>0</v>
      </c>
      <c r="J19" s="358">
        <f>(1+$B19)*'Trésorerie AN 1'!I19</f>
        <v>0</v>
      </c>
      <c r="K19" s="358">
        <f>(1+$B19)*'Trésorerie AN 1'!J19</f>
        <v>0</v>
      </c>
      <c r="L19" s="358">
        <f>(1+$B19)*'Trésorerie AN 1'!K19</f>
        <v>0</v>
      </c>
      <c r="M19" s="358">
        <f>(1+$B19)*'Trésorerie AN 1'!L19</f>
        <v>0</v>
      </c>
      <c r="N19" s="358">
        <f>(1+$B19)*'Trésorerie AN 1'!M19</f>
        <v>0</v>
      </c>
      <c r="O19" s="358">
        <f>(1+$B19)*'Trésorerie AN 1'!N19</f>
        <v>0</v>
      </c>
      <c r="P19" s="358">
        <f>(1+$B19)*'Trésorerie AN 1'!O19</f>
        <v>0</v>
      </c>
      <c r="Q19" s="358">
        <f>(1+$B19)*'Trésorerie AN 1'!P19</f>
        <v>0</v>
      </c>
      <c r="R19" s="356">
        <f>(1+$B19)*'Trésorerie AN 1'!Q19</f>
        <v>0</v>
      </c>
      <c r="T19" s="1">
        <f t="shared" si="5"/>
        <v>0</v>
      </c>
      <c r="U19" s="14">
        <f t="shared" si="6"/>
        <v>0</v>
      </c>
    </row>
    <row r="20" spans="2:21">
      <c r="B20" s="259">
        <v>0</v>
      </c>
      <c r="C20" s="140"/>
      <c r="D20" s="169">
        <f>'Trésorerie AN 1'!B20</f>
        <v>0</v>
      </c>
      <c r="F20" s="142" t="s">
        <v>9</v>
      </c>
      <c r="G20" s="358">
        <f>(1+$B20)*'Trésorerie AN 1'!F20</f>
        <v>0</v>
      </c>
      <c r="H20" s="358">
        <f>(1+$B20)*'Trésorerie AN 1'!G20</f>
        <v>0</v>
      </c>
      <c r="I20" s="358">
        <f>(1+$B20)*'Trésorerie AN 1'!H20</f>
        <v>0</v>
      </c>
      <c r="J20" s="358">
        <f>(1+$B20)*'Trésorerie AN 1'!I20</f>
        <v>0</v>
      </c>
      <c r="K20" s="358">
        <f>(1+$B20)*'Trésorerie AN 1'!J20</f>
        <v>0</v>
      </c>
      <c r="L20" s="358">
        <f>(1+$B20)*'Trésorerie AN 1'!K20</f>
        <v>0</v>
      </c>
      <c r="M20" s="358">
        <f>(1+$B20)*'Trésorerie AN 1'!L20</f>
        <v>0</v>
      </c>
      <c r="N20" s="358">
        <f>(1+$B20)*'Trésorerie AN 1'!M20</f>
        <v>0</v>
      </c>
      <c r="O20" s="358">
        <f>(1+$B20)*'Trésorerie AN 1'!N20</f>
        <v>0</v>
      </c>
      <c r="P20" s="358">
        <f>(1+$B20)*'Trésorerie AN 1'!O20</f>
        <v>0</v>
      </c>
      <c r="Q20" s="358">
        <f>(1+$B20)*'Trésorerie AN 1'!P20</f>
        <v>0</v>
      </c>
      <c r="R20" s="356">
        <f>(1+$B20)*'Trésorerie AN 1'!Q20</f>
        <v>0</v>
      </c>
      <c r="T20" s="1">
        <f t="shared" si="5"/>
        <v>0</v>
      </c>
      <c r="U20" s="14">
        <f t="shared" si="6"/>
        <v>0</v>
      </c>
    </row>
    <row r="21" spans="2:21">
      <c r="B21" s="259">
        <v>0</v>
      </c>
      <c r="C21" s="140"/>
      <c r="D21" s="169">
        <f>'Trésorerie AN 1'!B21</f>
        <v>0.21</v>
      </c>
      <c r="F21" s="142" t="s">
        <v>172</v>
      </c>
      <c r="G21" s="358">
        <f>(1+$B21)*'Trésorerie AN 1'!F21</f>
        <v>0</v>
      </c>
      <c r="H21" s="358">
        <f>(1+$B21)*'Trésorerie AN 1'!G21</f>
        <v>0</v>
      </c>
      <c r="I21" s="358">
        <f>(1+$B21)*'Trésorerie AN 1'!H21</f>
        <v>0</v>
      </c>
      <c r="J21" s="358">
        <f>(1+$B21)*'Trésorerie AN 1'!I21</f>
        <v>0</v>
      </c>
      <c r="K21" s="358">
        <f>(1+$B21)*'Trésorerie AN 1'!J21</f>
        <v>0</v>
      </c>
      <c r="L21" s="358">
        <f>(1+$B21)*'Trésorerie AN 1'!K21</f>
        <v>0</v>
      </c>
      <c r="M21" s="358">
        <f>(1+$B21)*'Trésorerie AN 1'!L21</f>
        <v>0</v>
      </c>
      <c r="N21" s="358">
        <f>(1+$B21)*'Trésorerie AN 1'!M21</f>
        <v>0</v>
      </c>
      <c r="O21" s="358">
        <f>(1+$B21)*'Trésorerie AN 1'!N21</f>
        <v>0</v>
      </c>
      <c r="P21" s="358">
        <f>(1+$B21)*'Trésorerie AN 1'!O21</f>
        <v>0</v>
      </c>
      <c r="Q21" s="358">
        <f>(1+$B21)*'Trésorerie AN 1'!P21</f>
        <v>0</v>
      </c>
      <c r="R21" s="356">
        <f>(1+$B21)*'Trésorerie AN 1'!Q21</f>
        <v>0</v>
      </c>
      <c r="T21" s="1">
        <f t="shared" si="5"/>
        <v>0</v>
      </c>
      <c r="U21" s="14">
        <f t="shared" si="6"/>
        <v>0</v>
      </c>
    </row>
    <row r="22" spans="2:21">
      <c r="B22" s="259">
        <v>0</v>
      </c>
      <c r="C22" s="140"/>
      <c r="D22" s="169">
        <f>'Trésorerie AN 1'!B22</f>
        <v>0.21</v>
      </c>
      <c r="F22" s="142" t="s">
        <v>176</v>
      </c>
      <c r="G22" s="358">
        <f>(1+$B22)*'Trésorerie AN 1'!F22</f>
        <v>0</v>
      </c>
      <c r="H22" s="358">
        <f>(1+$B22)*'Trésorerie AN 1'!G22</f>
        <v>0</v>
      </c>
      <c r="I22" s="358">
        <f>(1+$B22)*'Trésorerie AN 1'!H22</f>
        <v>0</v>
      </c>
      <c r="J22" s="358">
        <f>(1+$B22)*'Trésorerie AN 1'!I22</f>
        <v>0</v>
      </c>
      <c r="K22" s="358">
        <f>(1+$B22)*'Trésorerie AN 1'!J22</f>
        <v>0</v>
      </c>
      <c r="L22" s="358">
        <f>(1+$B22)*'Trésorerie AN 1'!K22</f>
        <v>0</v>
      </c>
      <c r="M22" s="358">
        <f>(1+$B22)*'Trésorerie AN 1'!L22</f>
        <v>0</v>
      </c>
      <c r="N22" s="358">
        <f>(1+$B22)*'Trésorerie AN 1'!M22</f>
        <v>0</v>
      </c>
      <c r="O22" s="358">
        <f>(1+$B22)*'Trésorerie AN 1'!N22</f>
        <v>0</v>
      </c>
      <c r="P22" s="358">
        <f>(1+$B22)*'Trésorerie AN 1'!O22</f>
        <v>0</v>
      </c>
      <c r="Q22" s="358">
        <f>(1+$B22)*'Trésorerie AN 1'!P22</f>
        <v>0</v>
      </c>
      <c r="R22" s="356">
        <f>(1+$B22)*'Trésorerie AN 1'!Q22</f>
        <v>0</v>
      </c>
      <c r="T22" s="1">
        <f t="shared" si="5"/>
        <v>0</v>
      </c>
      <c r="U22" s="14">
        <f t="shared" si="6"/>
        <v>0</v>
      </c>
    </row>
    <row r="23" spans="2:21">
      <c r="B23" s="259">
        <v>0</v>
      </c>
      <c r="C23" s="140"/>
      <c r="D23" s="169">
        <f>'Trésorerie AN 1'!B23</f>
        <v>0.21</v>
      </c>
      <c r="F23" s="142" t="s">
        <v>173</v>
      </c>
      <c r="G23" s="358">
        <f>(1+$B23)*'Trésorerie AN 1'!F23</f>
        <v>0</v>
      </c>
      <c r="H23" s="358">
        <f>(1+$B23)*'Trésorerie AN 1'!G23</f>
        <v>0</v>
      </c>
      <c r="I23" s="358">
        <f>(1+$B23)*'Trésorerie AN 1'!H23</f>
        <v>0</v>
      </c>
      <c r="J23" s="358">
        <f>(1+$B23)*'Trésorerie AN 1'!I23</f>
        <v>0</v>
      </c>
      <c r="K23" s="358">
        <f>(1+$B23)*'Trésorerie AN 1'!J23</f>
        <v>0</v>
      </c>
      <c r="L23" s="358">
        <f>(1+$B23)*'Trésorerie AN 1'!K23</f>
        <v>0</v>
      </c>
      <c r="M23" s="358">
        <f>(1+$B23)*'Trésorerie AN 1'!L23</f>
        <v>0</v>
      </c>
      <c r="N23" s="358">
        <f>(1+$B23)*'Trésorerie AN 1'!M23</f>
        <v>0</v>
      </c>
      <c r="O23" s="358">
        <f>(1+$B23)*'Trésorerie AN 1'!N23</f>
        <v>0</v>
      </c>
      <c r="P23" s="358">
        <f>(1+$B23)*'Trésorerie AN 1'!O23</f>
        <v>0</v>
      </c>
      <c r="Q23" s="358">
        <f>(1+$B23)*'Trésorerie AN 1'!P23</f>
        <v>0</v>
      </c>
      <c r="R23" s="356">
        <f>(1+$B23)*'Trésorerie AN 1'!Q23</f>
        <v>0</v>
      </c>
      <c r="T23" s="1">
        <f t="shared" si="5"/>
        <v>0</v>
      </c>
      <c r="U23" s="14">
        <f t="shared" si="6"/>
        <v>0</v>
      </c>
    </row>
    <row r="24" spans="2:21">
      <c r="B24" s="259">
        <v>0</v>
      </c>
      <c r="C24" s="140"/>
      <c r="D24" s="169">
        <f>'Trésorerie AN 1'!B24</f>
        <v>0.21</v>
      </c>
      <c r="F24" s="142" t="s">
        <v>174</v>
      </c>
      <c r="G24" s="358">
        <f>(1+$B24)*'Trésorerie AN 1'!F24</f>
        <v>0</v>
      </c>
      <c r="H24" s="358">
        <f>(1+$B24)*'Trésorerie AN 1'!G24</f>
        <v>0</v>
      </c>
      <c r="I24" s="358">
        <f>(1+$B24)*'Trésorerie AN 1'!H24</f>
        <v>0</v>
      </c>
      <c r="J24" s="358">
        <f>(1+$B24)*'Trésorerie AN 1'!I24</f>
        <v>0</v>
      </c>
      <c r="K24" s="358">
        <f>(1+$B24)*'Trésorerie AN 1'!J24</f>
        <v>0</v>
      </c>
      <c r="L24" s="358">
        <f>(1+$B24)*'Trésorerie AN 1'!K24</f>
        <v>0</v>
      </c>
      <c r="M24" s="358">
        <f>(1+$B24)*'Trésorerie AN 1'!L24</f>
        <v>0</v>
      </c>
      <c r="N24" s="358">
        <f>(1+$B24)*'Trésorerie AN 1'!M24</f>
        <v>0</v>
      </c>
      <c r="O24" s="358">
        <f>(1+$B24)*'Trésorerie AN 1'!N24</f>
        <v>0</v>
      </c>
      <c r="P24" s="358">
        <f>(1+$B24)*'Trésorerie AN 1'!O24</f>
        <v>0</v>
      </c>
      <c r="Q24" s="358">
        <f>(1+$B24)*'Trésorerie AN 1'!P24</f>
        <v>0</v>
      </c>
      <c r="R24" s="356">
        <f>(1+$B24)*'Trésorerie AN 1'!Q24</f>
        <v>0</v>
      </c>
      <c r="T24" s="1">
        <f t="shared" si="5"/>
        <v>0</v>
      </c>
      <c r="U24" s="14">
        <f t="shared" si="6"/>
        <v>0</v>
      </c>
    </row>
    <row r="25" spans="2:21">
      <c r="B25" s="259">
        <v>0</v>
      </c>
      <c r="C25" s="140"/>
      <c r="D25" s="169">
        <f>'Trésorerie AN 1'!B25</f>
        <v>0</v>
      </c>
      <c r="F25" s="142" t="s">
        <v>175</v>
      </c>
      <c r="G25" s="358">
        <f>(1+$B25)*'Trésorerie AN 1'!F25</f>
        <v>0</v>
      </c>
      <c r="H25" s="358">
        <f>(1+$B25)*'Trésorerie AN 1'!G25</f>
        <v>0</v>
      </c>
      <c r="I25" s="358">
        <f>(1+$B25)*'Trésorerie AN 1'!H25</f>
        <v>0</v>
      </c>
      <c r="J25" s="358">
        <f>(1+$B25)*'Trésorerie AN 1'!I25</f>
        <v>0</v>
      </c>
      <c r="K25" s="358">
        <f>(1+$B25)*'Trésorerie AN 1'!J25</f>
        <v>0</v>
      </c>
      <c r="L25" s="358">
        <f>(1+$B25)*'Trésorerie AN 1'!K25</f>
        <v>0</v>
      </c>
      <c r="M25" s="358">
        <f>(1+$B25)*'Trésorerie AN 1'!L25</f>
        <v>0</v>
      </c>
      <c r="N25" s="358">
        <f>(1+$B25)*'Trésorerie AN 1'!M25</f>
        <v>0</v>
      </c>
      <c r="O25" s="358">
        <f>(1+$B25)*'Trésorerie AN 1'!N25</f>
        <v>0</v>
      </c>
      <c r="P25" s="358">
        <f>(1+$B25)*'Trésorerie AN 1'!O25</f>
        <v>0</v>
      </c>
      <c r="Q25" s="358">
        <f>(1+$B25)*'Trésorerie AN 1'!P25</f>
        <v>0</v>
      </c>
      <c r="R25" s="356">
        <f>(1+$B25)*'Trésorerie AN 1'!Q25</f>
        <v>0</v>
      </c>
      <c r="T25" s="1">
        <f t="shared" si="5"/>
        <v>0</v>
      </c>
      <c r="U25" s="14">
        <f t="shared" si="6"/>
        <v>0</v>
      </c>
    </row>
    <row r="26" spans="2:21">
      <c r="B26" s="169"/>
      <c r="C26" s="140"/>
      <c r="D26" s="169"/>
      <c r="F26" s="142" t="s">
        <v>177</v>
      </c>
      <c r="G26" s="358">
        <f>(1+$B26)*'Trésorerie AN 1'!F26</f>
        <v>0</v>
      </c>
      <c r="H26" s="358">
        <f>(1+$B26)*'Trésorerie AN 1'!G26</f>
        <v>0</v>
      </c>
      <c r="I26" s="358">
        <f>(1+$B26)*'Trésorerie AN 1'!H26</f>
        <v>0</v>
      </c>
      <c r="J26" s="358">
        <f>(1+$B26)*'Trésorerie AN 1'!I26</f>
        <v>0</v>
      </c>
      <c r="K26" s="358">
        <f>(1+$B26)*'Trésorerie AN 1'!J26</f>
        <v>0</v>
      </c>
      <c r="L26" s="358">
        <f>(1+$B26)*'Trésorerie AN 1'!K26</f>
        <v>0</v>
      </c>
      <c r="M26" s="358">
        <f>(1+$B26)*'Trésorerie AN 1'!L26</f>
        <v>0</v>
      </c>
      <c r="N26" s="358">
        <f>(1+$B26)*'Trésorerie AN 1'!M26</f>
        <v>0</v>
      </c>
      <c r="O26" s="358">
        <f>(1+$B26)*'Trésorerie AN 1'!N26</f>
        <v>0</v>
      </c>
      <c r="P26" s="358">
        <f>(1+$B26)*'Trésorerie AN 1'!O26</f>
        <v>0</v>
      </c>
      <c r="Q26" s="358">
        <f>(1+$B26)*'Trésorerie AN 1'!P26</f>
        <v>0</v>
      </c>
      <c r="R26" s="356">
        <f>(1+$B26)*'Trésorerie AN 1'!Q26</f>
        <v>0</v>
      </c>
      <c r="T26" s="1">
        <f t="shared" si="5"/>
        <v>0</v>
      </c>
      <c r="U26" s="14">
        <f t="shared" si="6"/>
        <v>0</v>
      </c>
    </row>
    <row r="27" spans="2:21">
      <c r="B27" s="169"/>
      <c r="C27" s="140"/>
      <c r="D27" s="169"/>
      <c r="F27" s="142" t="s">
        <v>182</v>
      </c>
      <c r="G27" s="16"/>
      <c r="H27" s="16"/>
      <c r="I27" s="16">
        <f>0.055*T29</f>
        <v>0</v>
      </c>
      <c r="J27" s="16"/>
      <c r="K27" s="16"/>
      <c r="L27" s="16">
        <f>0.055*T29</f>
        <v>0</v>
      </c>
      <c r="M27" s="16"/>
      <c r="N27" s="16"/>
      <c r="O27" s="16">
        <f>0.055*T29</f>
        <v>0</v>
      </c>
      <c r="P27" s="16"/>
      <c r="Q27" s="16"/>
      <c r="R27" s="23">
        <f>0.055*T29</f>
        <v>0</v>
      </c>
      <c r="T27" s="1">
        <f t="shared" si="5"/>
        <v>0</v>
      </c>
      <c r="U27" s="14">
        <f t="shared" si="6"/>
        <v>0</v>
      </c>
    </row>
    <row r="28" spans="2:21">
      <c r="B28" s="169"/>
      <c r="C28" s="140"/>
      <c r="D28" s="169"/>
      <c r="F28" s="142" t="s">
        <v>185</v>
      </c>
      <c r="G28" s="358">
        <f>(1+$B28)*'Trésorerie AN 1'!F28</f>
        <v>0</v>
      </c>
      <c r="H28" s="358">
        <f>(1+$B28)*'Trésorerie AN 1'!G28</f>
        <v>0</v>
      </c>
      <c r="I28" s="358">
        <f>(1+$B28)*'Trésorerie AN 1'!H28</f>
        <v>0</v>
      </c>
      <c r="J28" s="358">
        <f>(1+$B28)*'Trésorerie AN 1'!I28</f>
        <v>0</v>
      </c>
      <c r="K28" s="358">
        <f>(1+$B28)*'Trésorerie AN 1'!J28</f>
        <v>0</v>
      </c>
      <c r="L28" s="358">
        <f>(1+$B28)*'Trésorerie AN 1'!K28</f>
        <v>0</v>
      </c>
      <c r="M28" s="358">
        <f>(1+$B28)*'Trésorerie AN 1'!L28</f>
        <v>0</v>
      </c>
      <c r="N28" s="358">
        <f>(1+$B28)*'Trésorerie AN 1'!M28</f>
        <v>0</v>
      </c>
      <c r="O28" s="358">
        <f>(1+$B28)*'Trésorerie AN 1'!N28</f>
        <v>0</v>
      </c>
      <c r="P28" s="358">
        <f>(1+$B28)*'Trésorerie AN 1'!O28</f>
        <v>0</v>
      </c>
      <c r="Q28" s="358">
        <f>(1+$B28)*'Trésorerie AN 1'!P28</f>
        <v>0</v>
      </c>
      <c r="R28" s="356">
        <f>(1+$B28)*'Trésorerie AN 1'!Q28</f>
        <v>0</v>
      </c>
      <c r="T28" s="1">
        <f t="shared" si="5"/>
        <v>0</v>
      </c>
      <c r="U28" s="14">
        <f t="shared" si="6"/>
        <v>0</v>
      </c>
    </row>
    <row r="29" spans="2:21">
      <c r="B29" s="169"/>
      <c r="C29" s="140"/>
      <c r="D29" s="169"/>
      <c r="F29" s="142" t="s">
        <v>187</v>
      </c>
      <c r="G29" s="358">
        <f>(1+$B29)*'Trésorerie AN 1'!F29</f>
        <v>0</v>
      </c>
      <c r="H29" s="358">
        <f>(1+$B29)*'Trésorerie AN 1'!G29</f>
        <v>0</v>
      </c>
      <c r="I29" s="358">
        <f>(1+$B29)*'Trésorerie AN 1'!H29</f>
        <v>0</v>
      </c>
      <c r="J29" s="358">
        <f>(1+$B29)*'Trésorerie AN 1'!I29</f>
        <v>0</v>
      </c>
      <c r="K29" s="358">
        <f>(1+$B29)*'Trésorerie AN 1'!J29</f>
        <v>0</v>
      </c>
      <c r="L29" s="358">
        <f>(1+$B29)*'Trésorerie AN 1'!K29</f>
        <v>0</v>
      </c>
      <c r="M29" s="358">
        <f>(1+$B29)*'Trésorerie AN 1'!L29</f>
        <v>0</v>
      </c>
      <c r="N29" s="358">
        <f>(1+$B29)*'Trésorerie AN 1'!M29</f>
        <v>0</v>
      </c>
      <c r="O29" s="358">
        <f>(1+$B29)*'Trésorerie AN 1'!N29</f>
        <v>0</v>
      </c>
      <c r="P29" s="358">
        <f>(1+$B29)*'Trésorerie AN 1'!O29</f>
        <v>0</v>
      </c>
      <c r="Q29" s="358">
        <f>(1+$B29)*'Trésorerie AN 1'!P29</f>
        <v>0</v>
      </c>
      <c r="R29" s="356">
        <f>(1+$B29)*'Trésorerie AN 1'!Q29</f>
        <v>0</v>
      </c>
      <c r="T29" s="1">
        <f t="shared" si="5"/>
        <v>0</v>
      </c>
      <c r="U29" s="14">
        <f t="shared" si="6"/>
        <v>0</v>
      </c>
    </row>
    <row r="30" spans="2:21">
      <c r="B30" s="259">
        <v>0</v>
      </c>
      <c r="C30" s="140"/>
      <c r="D30" s="169">
        <f>'Trésorerie AN 1'!B30</f>
        <v>0.21</v>
      </c>
      <c r="F30" s="142" t="s">
        <v>178</v>
      </c>
      <c r="G30" s="358">
        <f>(1+$B30)*'Trésorerie AN 1'!F30</f>
        <v>0</v>
      </c>
      <c r="H30" s="358">
        <f>(1+$B30)*'Trésorerie AN 1'!G30</f>
        <v>0</v>
      </c>
      <c r="I30" s="358">
        <f>(1+$B30)*'Trésorerie AN 1'!H30</f>
        <v>0</v>
      </c>
      <c r="J30" s="358">
        <f>(1+$B30)*'Trésorerie AN 1'!I30</f>
        <v>0</v>
      </c>
      <c r="K30" s="358">
        <f>(1+$B30)*'Trésorerie AN 1'!J30</f>
        <v>0</v>
      </c>
      <c r="L30" s="358">
        <f>(1+$B30)*'Trésorerie AN 1'!K30</f>
        <v>0</v>
      </c>
      <c r="M30" s="358">
        <f>(1+$B30)*'Trésorerie AN 1'!L30</f>
        <v>0</v>
      </c>
      <c r="N30" s="358">
        <f>(1+$B30)*'Trésorerie AN 1'!M30</f>
        <v>0</v>
      </c>
      <c r="O30" s="358">
        <f>(1+$B30)*'Trésorerie AN 1'!N30</f>
        <v>0</v>
      </c>
      <c r="P30" s="358">
        <f>(1+$B30)*'Trésorerie AN 1'!O30</f>
        <v>0</v>
      </c>
      <c r="Q30" s="358">
        <f>(1+$B30)*'Trésorerie AN 1'!P30</f>
        <v>0</v>
      </c>
      <c r="R30" s="356">
        <f>(1+$B30)*'Trésorerie AN 1'!Q30</f>
        <v>0</v>
      </c>
      <c r="T30" s="1">
        <f t="shared" si="5"/>
        <v>0</v>
      </c>
      <c r="U30" s="14">
        <f t="shared" si="6"/>
        <v>0</v>
      </c>
    </row>
    <row r="31" spans="2:21">
      <c r="B31" s="259">
        <v>0</v>
      </c>
      <c r="C31" s="140"/>
      <c r="D31" s="169">
        <f>'Trésorerie AN 1'!B31</f>
        <v>0</v>
      </c>
      <c r="F31" s="142" t="s">
        <v>179</v>
      </c>
      <c r="G31" s="358">
        <f>(1+$B31)*'Trésorerie AN 1'!F31</f>
        <v>0</v>
      </c>
      <c r="H31" s="358">
        <f>(1+$B31)*'Trésorerie AN 1'!G31</f>
        <v>0</v>
      </c>
      <c r="I31" s="358">
        <f>(1+$B31)*'Trésorerie AN 1'!H31</f>
        <v>0</v>
      </c>
      <c r="J31" s="358">
        <f>(1+$B31)*'Trésorerie AN 1'!I31</f>
        <v>0</v>
      </c>
      <c r="K31" s="358">
        <f>(1+$B31)*'Trésorerie AN 1'!J31</f>
        <v>0</v>
      </c>
      <c r="L31" s="358">
        <f>(1+$B31)*'Trésorerie AN 1'!K31</f>
        <v>0</v>
      </c>
      <c r="M31" s="358">
        <f>(1+$B31)*'Trésorerie AN 1'!L31</f>
        <v>0</v>
      </c>
      <c r="N31" s="358">
        <f>(1+$B31)*'Trésorerie AN 1'!M31</f>
        <v>0</v>
      </c>
      <c r="O31" s="358">
        <f>(1+$B31)*'Trésorerie AN 1'!N31</f>
        <v>0</v>
      </c>
      <c r="P31" s="358">
        <f>(1+$B31)*'Trésorerie AN 1'!O31</f>
        <v>0</v>
      </c>
      <c r="Q31" s="358">
        <f>(1+$B31)*'Trésorerie AN 1'!P31</f>
        <v>0</v>
      </c>
      <c r="R31" s="356">
        <f>(1+$B31)*'Trésorerie AN 1'!Q31</f>
        <v>0</v>
      </c>
      <c r="T31" s="1">
        <f t="shared" si="5"/>
        <v>0</v>
      </c>
      <c r="U31" s="14">
        <f t="shared" si="6"/>
        <v>0</v>
      </c>
    </row>
    <row r="32" spans="2:21">
      <c r="B32" s="259">
        <v>0</v>
      </c>
      <c r="C32" s="140"/>
      <c r="D32" s="169">
        <f>'Trésorerie AN 1'!B32</f>
        <v>0</v>
      </c>
      <c r="F32" s="142" t="s">
        <v>180</v>
      </c>
      <c r="G32" s="358">
        <f>(1+$B32)*'Trésorerie AN 1'!F32</f>
        <v>0</v>
      </c>
      <c r="H32" s="358">
        <f>(1+$B32)*'Trésorerie AN 1'!G32</f>
        <v>0</v>
      </c>
      <c r="I32" s="358">
        <f>(1+$B32)*'Trésorerie AN 1'!H32</f>
        <v>0</v>
      </c>
      <c r="J32" s="358">
        <f>(1+$B32)*'Trésorerie AN 1'!I32</f>
        <v>0</v>
      </c>
      <c r="K32" s="358">
        <f>(1+$B32)*'Trésorerie AN 1'!J32</f>
        <v>0</v>
      </c>
      <c r="L32" s="358">
        <f>(1+$B32)*'Trésorerie AN 1'!K32</f>
        <v>0</v>
      </c>
      <c r="M32" s="358">
        <f>(1+$B32)*'Trésorerie AN 1'!L32</f>
        <v>0</v>
      </c>
      <c r="N32" s="358">
        <f>(1+$B32)*'Trésorerie AN 1'!M32</f>
        <v>0</v>
      </c>
      <c r="O32" s="358">
        <f>(1+$B32)*'Trésorerie AN 1'!N32</f>
        <v>0</v>
      </c>
      <c r="P32" s="358">
        <f>(1+$B32)*'Trésorerie AN 1'!O32</f>
        <v>0</v>
      </c>
      <c r="Q32" s="358">
        <f>(1+$B32)*'Trésorerie AN 1'!P32</f>
        <v>0</v>
      </c>
      <c r="R32" s="356">
        <f>(1+$B32)*'Trésorerie AN 1'!Q32</f>
        <v>0</v>
      </c>
      <c r="T32" s="1">
        <f t="shared" si="5"/>
        <v>0</v>
      </c>
      <c r="U32" s="14">
        <f t="shared" si="6"/>
        <v>0</v>
      </c>
    </row>
    <row r="33" spans="2:21">
      <c r="B33" s="259">
        <v>0</v>
      </c>
      <c r="C33" s="140"/>
      <c r="D33" s="169">
        <f>'Trésorerie AN 1'!B33</f>
        <v>0</v>
      </c>
      <c r="F33" s="390" t="s">
        <v>186</v>
      </c>
      <c r="G33" s="358">
        <f>(1+$B33)*'Trésorerie AN 1'!F33</f>
        <v>0</v>
      </c>
      <c r="H33" s="358">
        <f>(1+$B33)*'Trésorerie AN 1'!G33</f>
        <v>0</v>
      </c>
      <c r="I33" s="358">
        <f>(1+$B33)*'Trésorerie AN 1'!H33</f>
        <v>0</v>
      </c>
      <c r="J33" s="358">
        <f>(1+$B33)*'Trésorerie AN 1'!I33</f>
        <v>0</v>
      </c>
      <c r="K33" s="358">
        <f>(1+$B33)*'Trésorerie AN 1'!J33</f>
        <v>0</v>
      </c>
      <c r="L33" s="358">
        <f>(1+$B33)*'Trésorerie AN 1'!K33</f>
        <v>0</v>
      </c>
      <c r="M33" s="358">
        <f>(1+$B33)*'Trésorerie AN 1'!L33</f>
        <v>0</v>
      </c>
      <c r="N33" s="358">
        <f>(1+$B33)*'Trésorerie AN 1'!M33</f>
        <v>0</v>
      </c>
      <c r="O33" s="358">
        <f>(1+$B33)*'Trésorerie AN 1'!N33</f>
        <v>0</v>
      </c>
      <c r="P33" s="358">
        <f>(1+$B33)*'Trésorerie AN 1'!O33</f>
        <v>0</v>
      </c>
      <c r="Q33" s="358">
        <f>(1+$B33)*'Trésorerie AN 1'!P33</f>
        <v>0</v>
      </c>
      <c r="R33" s="356">
        <f>(1+$B33)*'Trésorerie AN 1'!Q33</f>
        <v>0</v>
      </c>
      <c r="T33" s="1">
        <f t="shared" si="5"/>
        <v>0</v>
      </c>
      <c r="U33" s="14">
        <f t="shared" si="6"/>
        <v>0</v>
      </c>
    </row>
    <row r="34" spans="2:21">
      <c r="B34" s="259">
        <v>0</v>
      </c>
      <c r="C34" s="140"/>
      <c r="D34" s="169">
        <f>'Trésorerie AN 1'!B34</f>
        <v>0</v>
      </c>
      <c r="F34" s="390" t="s">
        <v>181</v>
      </c>
      <c r="G34" s="358">
        <f>(1+$B34)*'Trésorerie AN 1'!F34</f>
        <v>0</v>
      </c>
      <c r="H34" s="358">
        <f>(1+$B34)*'Trésorerie AN 1'!G34</f>
        <v>0</v>
      </c>
      <c r="I34" s="358">
        <f>(1+$B34)*'Trésorerie AN 1'!H34</f>
        <v>0</v>
      </c>
      <c r="J34" s="358">
        <f>(1+$B34)*'Trésorerie AN 1'!I34</f>
        <v>0</v>
      </c>
      <c r="K34" s="358">
        <f>(1+$B34)*'Trésorerie AN 1'!J34</f>
        <v>0</v>
      </c>
      <c r="L34" s="358">
        <f>(1+$B34)*'Trésorerie AN 1'!K34</f>
        <v>0</v>
      </c>
      <c r="M34" s="358">
        <f>(1+$B34)*'Trésorerie AN 1'!L34</f>
        <v>0</v>
      </c>
      <c r="N34" s="358">
        <f>(1+$B34)*'Trésorerie AN 1'!M34</f>
        <v>0</v>
      </c>
      <c r="O34" s="358">
        <f>(1+$B34)*'Trésorerie AN 1'!N34</f>
        <v>0</v>
      </c>
      <c r="P34" s="358">
        <f>(1+$B34)*'Trésorerie AN 1'!O34</f>
        <v>0</v>
      </c>
      <c r="Q34" s="358">
        <f>(1+$B34)*'Trésorerie AN 1'!P34</f>
        <v>0</v>
      </c>
      <c r="R34" s="356">
        <f>(1+$B34)*'Trésorerie AN 1'!Q34</f>
        <v>0</v>
      </c>
      <c r="T34" s="1">
        <f t="shared" si="5"/>
        <v>0</v>
      </c>
      <c r="U34" s="14">
        <f t="shared" si="6"/>
        <v>0</v>
      </c>
    </row>
    <row r="35" spans="2:21">
      <c r="B35" s="259">
        <v>0</v>
      </c>
      <c r="C35" s="140"/>
      <c r="D35" s="169">
        <f>'Trésorerie AN 1'!B35</f>
        <v>0</v>
      </c>
      <c r="F35" s="390" t="s">
        <v>188</v>
      </c>
      <c r="G35" s="358">
        <f>(1+$B35)*'Trésorerie AN 1'!F35</f>
        <v>0</v>
      </c>
      <c r="H35" s="358">
        <f>(1+$B35)*'Trésorerie AN 1'!G35</f>
        <v>0</v>
      </c>
      <c r="I35" s="358">
        <f>(1+$B35)*'Trésorerie AN 1'!H35</f>
        <v>0</v>
      </c>
      <c r="J35" s="358">
        <f>(1+$B35)*'Trésorerie AN 1'!I35</f>
        <v>0</v>
      </c>
      <c r="K35" s="358">
        <f>(1+$B35)*'Trésorerie AN 1'!J35</f>
        <v>0</v>
      </c>
      <c r="L35" s="358">
        <f>(1+$B35)*'Trésorerie AN 1'!K35</f>
        <v>0</v>
      </c>
      <c r="M35" s="358">
        <f>(1+$B35)*'Trésorerie AN 1'!L35</f>
        <v>0</v>
      </c>
      <c r="N35" s="358">
        <f>(1+$B35)*'Trésorerie AN 1'!M35</f>
        <v>0</v>
      </c>
      <c r="O35" s="358">
        <f>(1+$B35)*'Trésorerie AN 1'!N35</f>
        <v>0</v>
      </c>
      <c r="P35" s="358">
        <f>(1+$B35)*'Trésorerie AN 1'!O35</f>
        <v>0</v>
      </c>
      <c r="Q35" s="358">
        <f>(1+$B35)*'Trésorerie AN 1'!P35</f>
        <v>0</v>
      </c>
      <c r="R35" s="356">
        <f>(1+$B35)*'Trésorerie AN 1'!Q35</f>
        <v>0</v>
      </c>
      <c r="T35" s="1">
        <f t="shared" si="5"/>
        <v>0</v>
      </c>
      <c r="U35" s="14">
        <f t="shared" si="6"/>
        <v>0</v>
      </c>
    </row>
    <row r="36" spans="2:21">
      <c r="B36" s="169"/>
      <c r="C36" s="140"/>
      <c r="D36" s="169"/>
      <c r="F36" s="142" t="s">
        <v>169</v>
      </c>
      <c r="G36" s="374">
        <f>Personnel!D27</f>
        <v>0</v>
      </c>
      <c r="H36" s="374">
        <f>Personnel!E27</f>
        <v>0</v>
      </c>
      <c r="I36" s="374">
        <f>Personnel!F27</f>
        <v>0</v>
      </c>
      <c r="J36" s="374">
        <f>Personnel!G27</f>
        <v>0</v>
      </c>
      <c r="K36" s="374">
        <f>Personnel!H27</f>
        <v>0</v>
      </c>
      <c r="L36" s="374">
        <f>Personnel!I27</f>
        <v>0</v>
      </c>
      <c r="M36" s="374">
        <f>Personnel!J27</f>
        <v>0</v>
      </c>
      <c r="N36" s="374">
        <f>Personnel!K27</f>
        <v>0</v>
      </c>
      <c r="O36" s="374">
        <f>Personnel!L27</f>
        <v>0</v>
      </c>
      <c r="P36" s="374">
        <f>Personnel!M27</f>
        <v>0</v>
      </c>
      <c r="Q36" s="374">
        <f>Personnel!N27</f>
        <v>0</v>
      </c>
      <c r="R36" s="375">
        <f>Personnel!O27</f>
        <v>0</v>
      </c>
      <c r="T36" s="1">
        <f t="shared" si="5"/>
        <v>0</v>
      </c>
      <c r="U36" s="14">
        <f t="shared" si="6"/>
        <v>0</v>
      </c>
    </row>
    <row r="37" spans="2:21">
      <c r="B37" s="169"/>
      <c r="C37" s="140"/>
      <c r="D37" s="169"/>
      <c r="F37" s="142" t="s">
        <v>47</v>
      </c>
      <c r="G37" s="23">
        <f>'Données emprunt'!$F$28</f>
        <v>0</v>
      </c>
      <c r="H37" s="23">
        <f>'Données emprunt'!$F$28</f>
        <v>0</v>
      </c>
      <c r="I37" s="23">
        <f>'Données emprunt'!$F$28</f>
        <v>0</v>
      </c>
      <c r="J37" s="23">
        <f>'Données emprunt'!$F$28</f>
        <v>0</v>
      </c>
      <c r="K37" s="23">
        <f>'Données emprunt'!$F$28</f>
        <v>0</v>
      </c>
      <c r="L37" s="23">
        <f>'Données emprunt'!$F$28</f>
        <v>0</v>
      </c>
      <c r="M37" s="23">
        <f>'Données emprunt'!$F$28</f>
        <v>0</v>
      </c>
      <c r="N37" s="23">
        <f>'Données emprunt'!$F$28</f>
        <v>0</v>
      </c>
      <c r="O37" s="23">
        <f>'Données emprunt'!$F$28</f>
        <v>0</v>
      </c>
      <c r="P37" s="23">
        <f>'Données emprunt'!$F$28</f>
        <v>0</v>
      </c>
      <c r="Q37" s="23">
        <f>'Données emprunt'!$F$28</f>
        <v>0</v>
      </c>
      <c r="R37" s="23">
        <f>'Données emprunt'!$F$28</f>
        <v>0</v>
      </c>
      <c r="T37" s="1">
        <f t="shared" si="5"/>
        <v>0</v>
      </c>
      <c r="U37" s="14">
        <f t="shared" si="6"/>
        <v>0</v>
      </c>
    </row>
    <row r="38" spans="2:21">
      <c r="B38" s="169"/>
      <c r="C38" s="140"/>
      <c r="D38" s="169"/>
      <c r="F38" s="142" t="s">
        <v>4</v>
      </c>
      <c r="G38" s="5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T38" s="1">
        <f t="shared" si="5"/>
        <v>0</v>
      </c>
      <c r="U38" s="14">
        <f>Investissements!C30</f>
        <v>0</v>
      </c>
    </row>
    <row r="39" spans="2:21">
      <c r="B39" s="169"/>
      <c r="C39" s="140"/>
      <c r="D39" s="169"/>
      <c r="F39" s="142" t="s">
        <v>99</v>
      </c>
      <c r="G39" s="2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T39" s="1">
        <f t="shared" si="5"/>
        <v>0</v>
      </c>
      <c r="U39" s="14">
        <f>T39/(1+D39)</f>
        <v>0</v>
      </c>
    </row>
    <row r="40" spans="2:21">
      <c r="B40" s="169"/>
      <c r="C40" s="140"/>
      <c r="D40" s="169"/>
      <c r="F40" s="142" t="s">
        <v>100</v>
      </c>
      <c r="G40" s="5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T40" s="1">
        <f t="shared" si="5"/>
        <v>0</v>
      </c>
      <c r="U40" s="14">
        <f>T40/(1+D40)</f>
        <v>0</v>
      </c>
    </row>
    <row r="41" spans="2:21">
      <c r="B41" s="169"/>
      <c r="C41" s="140"/>
      <c r="D41" s="169"/>
      <c r="F41" s="142" t="s">
        <v>101</v>
      </c>
      <c r="G41" s="5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T41" s="1">
        <f t="shared" si="5"/>
        <v>0</v>
      </c>
      <c r="U41" s="14">
        <f>T41/(1+D41)</f>
        <v>0</v>
      </c>
    </row>
    <row r="42" spans="2:21">
      <c r="B42" s="169"/>
      <c r="C42" s="140"/>
      <c r="D42" s="169"/>
      <c r="F42" s="142" t="s">
        <v>22</v>
      </c>
      <c r="G42" s="57">
        <f>IF('Trésorerie AN 1'!Q52&gt;0,'Trésorerie AN 1'!Q52,0)</f>
        <v>0</v>
      </c>
      <c r="H42" s="1"/>
      <c r="I42" s="1"/>
      <c r="J42" s="1">
        <f>IF(I52&gt;0,I52,0)</f>
        <v>0</v>
      </c>
      <c r="K42" s="1"/>
      <c r="L42" s="1"/>
      <c r="M42" s="1">
        <f>IF(L52&gt;0,L52,0)</f>
        <v>0</v>
      </c>
      <c r="N42" s="1"/>
      <c r="O42" s="1"/>
      <c r="P42" s="1">
        <f>IF(O52&gt;0,O52,0)</f>
        <v>0</v>
      </c>
      <c r="Q42" s="1"/>
      <c r="R42" s="1"/>
      <c r="T42" s="1">
        <f t="shared" si="5"/>
        <v>0</v>
      </c>
      <c r="U42" s="14">
        <f>T42/(1+D42)</f>
        <v>0</v>
      </c>
    </row>
    <row r="43" spans="2:21" ht="13.5" thickBot="1">
      <c r="B43" s="170"/>
      <c r="C43" s="140"/>
      <c r="D43" s="169"/>
      <c r="F43" s="142" t="s">
        <v>61</v>
      </c>
      <c r="G43" s="57"/>
      <c r="H43" s="1"/>
      <c r="I43" s="1">
        <f>Résultat!E40/4</f>
        <v>0</v>
      </c>
      <c r="J43" s="1"/>
      <c r="K43" s="1"/>
      <c r="L43" s="1">
        <f>Résultat!E40/4</f>
        <v>0</v>
      </c>
      <c r="M43" s="1"/>
      <c r="N43" s="1"/>
      <c r="O43" s="1">
        <f>Résultat!E40/4</f>
        <v>0</v>
      </c>
      <c r="P43" s="1"/>
      <c r="Q43" s="1"/>
      <c r="R43" s="1">
        <f>Résultat!E40/4</f>
        <v>0</v>
      </c>
      <c r="T43" s="1">
        <f t="shared" si="5"/>
        <v>0</v>
      </c>
      <c r="U43" s="14">
        <f>T43/(1+D43)</f>
        <v>0</v>
      </c>
    </row>
    <row r="44" spans="2:21" ht="13.5" thickBot="1">
      <c r="B44" s="9"/>
      <c r="C44" s="9"/>
      <c r="D44" s="9"/>
      <c r="F44" s="118" t="s">
        <v>189</v>
      </c>
      <c r="G44" s="48">
        <f>G5+G7-G16</f>
        <v>0</v>
      </c>
      <c r="H44" s="135">
        <f t="shared" ref="H44:R44" si="7">H5+H7-H16</f>
        <v>0</v>
      </c>
      <c r="I44" s="135">
        <f t="shared" si="7"/>
        <v>0</v>
      </c>
      <c r="J44" s="135">
        <f t="shared" si="7"/>
        <v>0</v>
      </c>
      <c r="K44" s="135">
        <f t="shared" si="7"/>
        <v>0</v>
      </c>
      <c r="L44" s="135">
        <f t="shared" si="7"/>
        <v>0</v>
      </c>
      <c r="M44" s="135">
        <f t="shared" si="7"/>
        <v>0</v>
      </c>
      <c r="N44" s="135">
        <f t="shared" si="7"/>
        <v>0</v>
      </c>
      <c r="O44" s="135">
        <f t="shared" si="7"/>
        <v>0</v>
      </c>
      <c r="P44" s="135">
        <f t="shared" si="7"/>
        <v>0</v>
      </c>
      <c r="Q44" s="135">
        <f t="shared" si="7"/>
        <v>0</v>
      </c>
      <c r="R44" s="135">
        <f t="shared" si="7"/>
        <v>0</v>
      </c>
      <c r="T44" s="120">
        <f>T7-T16</f>
        <v>0</v>
      </c>
      <c r="U44" s="14"/>
    </row>
    <row r="45" spans="2:21">
      <c r="T45" s="8"/>
      <c r="U45" s="8"/>
    </row>
    <row r="46" spans="2:21">
      <c r="T46" s="8"/>
      <c r="U46" s="8"/>
    </row>
    <row r="47" spans="2:21" ht="17.25" hidden="1" customHeight="1">
      <c r="T47" s="8"/>
      <c r="U47" s="8"/>
    </row>
    <row r="48" spans="2:21" ht="17.25" hidden="1" customHeight="1">
      <c r="T48" s="8"/>
      <c r="U48" s="8"/>
    </row>
    <row r="49" spans="2:21" ht="17.25" hidden="1" customHeight="1">
      <c r="T49" s="8"/>
      <c r="U49" s="8"/>
    </row>
    <row r="50" spans="2:21" ht="17.25" hidden="1" customHeight="1">
      <c r="F50" s="133" t="s">
        <v>213</v>
      </c>
      <c r="T50" s="8"/>
      <c r="U50" s="8"/>
    </row>
    <row r="51" spans="2:21" ht="17.25" hidden="1" customHeight="1">
      <c r="T51" s="31" t="s">
        <v>33</v>
      </c>
      <c r="U51" s="8"/>
    </row>
    <row r="52" spans="2:21" ht="17.25" hidden="1" customHeight="1">
      <c r="F52" s="19" t="s">
        <v>195</v>
      </c>
      <c r="G52" s="20"/>
      <c r="H52" s="20"/>
      <c r="I52" s="19">
        <f>G53+H53+I53</f>
        <v>0</v>
      </c>
      <c r="J52" s="15"/>
      <c r="K52" s="20"/>
      <c r="L52" s="20">
        <f>J53+K53+L53</f>
        <v>0</v>
      </c>
      <c r="M52" s="15"/>
      <c r="N52" s="20"/>
      <c r="O52" s="20">
        <f>M53+N53+O53</f>
        <v>0</v>
      </c>
      <c r="P52" s="15"/>
      <c r="Q52" s="24"/>
      <c r="R52" s="24">
        <f>P53+Q53+R53</f>
        <v>0</v>
      </c>
    </row>
    <row r="53" spans="2:21" ht="17.25" hidden="1" customHeight="1">
      <c r="F53" s="14" t="s">
        <v>196</v>
      </c>
      <c r="G53" s="14">
        <f t="shared" ref="G53:R53" si="8">G54-G55</f>
        <v>0</v>
      </c>
      <c r="H53" s="14">
        <f t="shared" si="8"/>
        <v>0</v>
      </c>
      <c r="I53" s="14">
        <f t="shared" si="8"/>
        <v>0</v>
      </c>
      <c r="J53" s="14">
        <f t="shared" si="8"/>
        <v>0</v>
      </c>
      <c r="K53" s="14">
        <f t="shared" si="8"/>
        <v>0</v>
      </c>
      <c r="L53" s="14">
        <f t="shared" si="8"/>
        <v>0</v>
      </c>
      <c r="M53" s="14">
        <f t="shared" si="8"/>
        <v>0</v>
      </c>
      <c r="N53" s="14">
        <f t="shared" si="8"/>
        <v>0</v>
      </c>
      <c r="O53" s="14">
        <f t="shared" si="8"/>
        <v>0</v>
      </c>
      <c r="P53" s="14">
        <f t="shared" si="8"/>
        <v>0</v>
      </c>
      <c r="Q53" s="14">
        <f t="shared" si="8"/>
        <v>0</v>
      </c>
      <c r="R53" s="14">
        <f t="shared" si="8"/>
        <v>0</v>
      </c>
      <c r="T53" s="8"/>
      <c r="U53" s="8"/>
    </row>
    <row r="54" spans="2:21" ht="17.25" hidden="1" customHeight="1">
      <c r="F54" s="18" t="s">
        <v>194</v>
      </c>
      <c r="G54" s="18">
        <f>'Ventes '!K40-'Ventes '!K38</f>
        <v>0</v>
      </c>
      <c r="H54" s="18">
        <f>'Ventes '!L40-'Ventes '!L38</f>
        <v>0</v>
      </c>
      <c r="I54" s="18">
        <f>'Ventes '!M40-'Ventes '!M38</f>
        <v>0</v>
      </c>
      <c r="J54" s="18">
        <f>'Ventes '!N40-'Ventes '!N38</f>
        <v>0</v>
      </c>
      <c r="K54" s="18">
        <f>'Ventes '!O40-'Ventes '!O38</f>
        <v>0</v>
      </c>
      <c r="L54" s="18">
        <f>'Ventes '!P40-'Ventes '!P38</f>
        <v>0</v>
      </c>
      <c r="M54" s="18">
        <f>'Ventes '!Q40-'Ventes '!Q38</f>
        <v>0</v>
      </c>
      <c r="N54" s="18">
        <f>'Ventes '!R40-'Ventes '!R38</f>
        <v>0</v>
      </c>
      <c r="O54" s="18">
        <f>'Ventes '!S40-'Ventes '!S38</f>
        <v>0</v>
      </c>
      <c r="P54" s="18">
        <f>'Ventes '!T40-'Ventes '!T38</f>
        <v>0</v>
      </c>
      <c r="Q54" s="18">
        <f>'Ventes '!U40-'Ventes '!U38</f>
        <v>0</v>
      </c>
      <c r="R54" s="18">
        <f>'Ventes '!V40-'Ventes '!V38</f>
        <v>0</v>
      </c>
      <c r="T54" s="8">
        <f>SUM(G54:R54)</f>
        <v>0</v>
      </c>
      <c r="U54" s="8"/>
    </row>
    <row r="55" spans="2:21" ht="17.25" hidden="1" customHeight="1">
      <c r="F55" s="18" t="s">
        <v>23</v>
      </c>
      <c r="G55" s="18">
        <f t="shared" ref="G55:R55" si="9">SUM(G56:G80)</f>
        <v>0</v>
      </c>
      <c r="H55" s="18">
        <f t="shared" si="9"/>
        <v>0</v>
      </c>
      <c r="I55" s="18">
        <f t="shared" si="9"/>
        <v>0</v>
      </c>
      <c r="J55" s="18">
        <f t="shared" si="9"/>
        <v>0</v>
      </c>
      <c r="K55" s="18">
        <f t="shared" si="9"/>
        <v>0</v>
      </c>
      <c r="L55" s="18">
        <f t="shared" si="9"/>
        <v>0</v>
      </c>
      <c r="M55" s="18">
        <f t="shared" si="9"/>
        <v>0</v>
      </c>
      <c r="N55" s="18">
        <f t="shared" si="9"/>
        <v>0</v>
      </c>
      <c r="O55" s="18">
        <f t="shared" si="9"/>
        <v>0</v>
      </c>
      <c r="P55" s="18">
        <f t="shared" si="9"/>
        <v>0</v>
      </c>
      <c r="Q55" s="18">
        <f t="shared" si="9"/>
        <v>0</v>
      </c>
      <c r="R55" s="18">
        <f t="shared" si="9"/>
        <v>0</v>
      </c>
      <c r="T55" s="8">
        <f>SUM(G55:R55)</f>
        <v>0</v>
      </c>
      <c r="U55" s="8"/>
    </row>
    <row r="56" spans="2:21" ht="17.25" hidden="1" customHeight="1">
      <c r="F56" s="167" t="str">
        <f t="shared" ref="F56:F80" si="10">F17</f>
        <v>Marchandises</v>
      </c>
      <c r="G56" s="119">
        <f>'Ventes '!K41-'Ventes '!K39</f>
        <v>0</v>
      </c>
      <c r="H56" s="119">
        <f>'Ventes '!L41-'Ventes '!L39</f>
        <v>0</v>
      </c>
      <c r="I56" s="119">
        <f>'Ventes '!M41-'Ventes '!M39</f>
        <v>0</v>
      </c>
      <c r="J56" s="119">
        <f>'Ventes '!N41-'Ventes '!N39</f>
        <v>0</v>
      </c>
      <c r="K56" s="119">
        <f>'Ventes '!O41-'Ventes '!O39</f>
        <v>0</v>
      </c>
      <c r="L56" s="119">
        <f>'Ventes '!P41-'Ventes '!P39</f>
        <v>0</v>
      </c>
      <c r="M56" s="119">
        <f>'Ventes '!Q41-'Ventes '!Q39</f>
        <v>0</v>
      </c>
      <c r="N56" s="119">
        <f>'Ventes '!R41-'Ventes '!R39</f>
        <v>0</v>
      </c>
      <c r="O56" s="119">
        <f>'Ventes '!S41-'Ventes '!S39</f>
        <v>0</v>
      </c>
      <c r="P56" s="119">
        <f>'Ventes '!T41-'Ventes '!T39</f>
        <v>0</v>
      </c>
      <c r="Q56" s="119">
        <f>'Ventes '!U41-'Ventes '!U39</f>
        <v>0</v>
      </c>
      <c r="R56" s="119">
        <f>'Ventes '!V41-'Ventes '!V39</f>
        <v>0</v>
      </c>
      <c r="T56" s="8"/>
      <c r="U56" s="8"/>
    </row>
    <row r="57" spans="2:21" ht="17.25" hidden="1" customHeight="1">
      <c r="B57" s="113"/>
      <c r="C57" s="113"/>
      <c r="D57" s="113"/>
      <c r="F57" s="130" t="str">
        <f t="shared" si="10"/>
        <v>Loyer (+Précompte Immobilier)</v>
      </c>
      <c r="G57" s="16">
        <f t="shared" ref="G57:R57" si="11">G18-(G18/(1+$D18))</f>
        <v>0</v>
      </c>
      <c r="H57" s="16">
        <f t="shared" si="11"/>
        <v>0</v>
      </c>
      <c r="I57" s="16">
        <f t="shared" si="11"/>
        <v>0</v>
      </c>
      <c r="J57" s="16">
        <f t="shared" si="11"/>
        <v>0</v>
      </c>
      <c r="K57" s="16">
        <f t="shared" si="11"/>
        <v>0</v>
      </c>
      <c r="L57" s="16">
        <f t="shared" si="11"/>
        <v>0</v>
      </c>
      <c r="M57" s="16">
        <f t="shared" si="11"/>
        <v>0</v>
      </c>
      <c r="N57" s="16">
        <f t="shared" si="11"/>
        <v>0</v>
      </c>
      <c r="O57" s="16">
        <f t="shared" si="11"/>
        <v>0</v>
      </c>
      <c r="P57" s="16">
        <f t="shared" si="11"/>
        <v>0</v>
      </c>
      <c r="Q57" s="16">
        <f t="shared" si="11"/>
        <v>0</v>
      </c>
      <c r="R57" s="16">
        <f t="shared" si="11"/>
        <v>0</v>
      </c>
      <c r="T57" s="8"/>
      <c r="U57" s="8"/>
    </row>
    <row r="58" spans="2:21" ht="17.25" hidden="1" customHeight="1">
      <c r="B58" s="113"/>
      <c r="C58" s="113"/>
      <c r="D58" s="113"/>
      <c r="F58" s="130" t="str">
        <f t="shared" si="10"/>
        <v>Eau-gaz-électricité</v>
      </c>
      <c r="G58" s="16">
        <f t="shared" ref="G58:R58" si="12">G19-(G19/(1+$D19))</f>
        <v>0</v>
      </c>
      <c r="H58" s="16">
        <f t="shared" si="12"/>
        <v>0</v>
      </c>
      <c r="I58" s="16">
        <f t="shared" si="12"/>
        <v>0</v>
      </c>
      <c r="J58" s="16">
        <f t="shared" si="12"/>
        <v>0</v>
      </c>
      <c r="K58" s="16">
        <f t="shared" si="12"/>
        <v>0</v>
      </c>
      <c r="L58" s="16">
        <f t="shared" si="12"/>
        <v>0</v>
      </c>
      <c r="M58" s="16">
        <f t="shared" si="12"/>
        <v>0</v>
      </c>
      <c r="N58" s="16">
        <f t="shared" si="12"/>
        <v>0</v>
      </c>
      <c r="O58" s="16">
        <f t="shared" si="12"/>
        <v>0</v>
      </c>
      <c r="P58" s="16">
        <f t="shared" si="12"/>
        <v>0</v>
      </c>
      <c r="Q58" s="16">
        <f t="shared" si="12"/>
        <v>0</v>
      </c>
      <c r="R58" s="16">
        <f t="shared" si="12"/>
        <v>0</v>
      </c>
      <c r="T58" s="8">
        <f>SUM(G58:R58)</f>
        <v>0</v>
      </c>
      <c r="U58" s="8"/>
    </row>
    <row r="59" spans="2:21" ht="17.25" hidden="1" customHeight="1">
      <c r="B59" s="113"/>
      <c r="C59" s="113"/>
      <c r="D59" s="113"/>
      <c r="F59" s="130" t="str">
        <f t="shared" si="10"/>
        <v>Assurances</v>
      </c>
      <c r="G59" s="16">
        <f t="shared" ref="G59:R59" si="13">G20-(G20/(1+$D20))</f>
        <v>0</v>
      </c>
      <c r="H59" s="16">
        <f t="shared" si="13"/>
        <v>0</v>
      </c>
      <c r="I59" s="16">
        <f t="shared" si="13"/>
        <v>0</v>
      </c>
      <c r="J59" s="16">
        <f t="shared" si="13"/>
        <v>0</v>
      </c>
      <c r="K59" s="16">
        <f t="shared" si="13"/>
        <v>0</v>
      </c>
      <c r="L59" s="16">
        <f t="shared" si="13"/>
        <v>0</v>
      </c>
      <c r="M59" s="16">
        <f t="shared" si="13"/>
        <v>0</v>
      </c>
      <c r="N59" s="16">
        <f t="shared" si="13"/>
        <v>0</v>
      </c>
      <c r="O59" s="16">
        <f t="shared" si="13"/>
        <v>0</v>
      </c>
      <c r="P59" s="16">
        <f t="shared" si="13"/>
        <v>0</v>
      </c>
      <c r="Q59" s="16">
        <f t="shared" si="13"/>
        <v>0</v>
      </c>
      <c r="R59" s="16">
        <f t="shared" si="13"/>
        <v>0</v>
      </c>
      <c r="T59" s="8"/>
      <c r="U59" s="8"/>
    </row>
    <row r="60" spans="2:21" ht="17.25" hidden="1" customHeight="1">
      <c r="B60" s="113"/>
      <c r="C60" s="113"/>
      <c r="D60" s="113"/>
      <c r="F60" s="130" t="str">
        <f t="shared" si="10"/>
        <v>frais de bureau et petit matériel</v>
      </c>
      <c r="G60" s="16">
        <f t="shared" ref="G60:R60" si="14">G21-(G21/(1+$D21))</f>
        <v>0</v>
      </c>
      <c r="H60" s="16">
        <f t="shared" si="14"/>
        <v>0</v>
      </c>
      <c r="I60" s="16">
        <f t="shared" si="14"/>
        <v>0</v>
      </c>
      <c r="J60" s="16">
        <f t="shared" si="14"/>
        <v>0</v>
      </c>
      <c r="K60" s="16">
        <f t="shared" si="14"/>
        <v>0</v>
      </c>
      <c r="L60" s="16">
        <f t="shared" si="14"/>
        <v>0</v>
      </c>
      <c r="M60" s="16">
        <f t="shared" si="14"/>
        <v>0</v>
      </c>
      <c r="N60" s="16">
        <f t="shared" si="14"/>
        <v>0</v>
      </c>
      <c r="O60" s="16">
        <f t="shared" si="14"/>
        <v>0</v>
      </c>
      <c r="P60" s="16">
        <f t="shared" si="14"/>
        <v>0</v>
      </c>
      <c r="Q60" s="16">
        <f t="shared" si="14"/>
        <v>0</v>
      </c>
      <c r="R60" s="16">
        <f t="shared" si="14"/>
        <v>0</v>
      </c>
      <c r="T60" s="8"/>
      <c r="U60" s="8"/>
    </row>
    <row r="61" spans="2:21" ht="17.25" hidden="1" customHeight="1">
      <c r="B61" s="113"/>
      <c r="C61" s="113"/>
      <c r="D61" s="113"/>
      <c r="F61" s="130" t="str">
        <f t="shared" si="10"/>
        <v>Téléphone et internet</v>
      </c>
      <c r="G61" s="16">
        <f t="shared" ref="G61:R61" si="15">G22-(G22/(1+$D22))</f>
        <v>0</v>
      </c>
      <c r="H61" s="16">
        <f t="shared" si="15"/>
        <v>0</v>
      </c>
      <c r="I61" s="16">
        <f t="shared" si="15"/>
        <v>0</v>
      </c>
      <c r="J61" s="16">
        <f t="shared" si="15"/>
        <v>0</v>
      </c>
      <c r="K61" s="16">
        <f t="shared" si="15"/>
        <v>0</v>
      </c>
      <c r="L61" s="16">
        <f t="shared" si="15"/>
        <v>0</v>
      </c>
      <c r="M61" s="16">
        <f t="shared" si="15"/>
        <v>0</v>
      </c>
      <c r="N61" s="16">
        <f t="shared" si="15"/>
        <v>0</v>
      </c>
      <c r="O61" s="16">
        <f t="shared" si="15"/>
        <v>0</v>
      </c>
      <c r="P61" s="16">
        <f t="shared" si="15"/>
        <v>0</v>
      </c>
      <c r="Q61" s="16">
        <f t="shared" si="15"/>
        <v>0</v>
      </c>
      <c r="R61" s="16">
        <f t="shared" si="15"/>
        <v>0</v>
      </c>
      <c r="T61" s="8"/>
      <c r="U61" s="8"/>
    </row>
    <row r="62" spans="2:21" ht="17.25" hidden="1" customHeight="1">
      <c r="B62" s="113"/>
      <c r="C62" s="113"/>
      <c r="D62" s="113"/>
      <c r="F62" s="130" t="str">
        <f t="shared" si="10"/>
        <v>Communication - publicité</v>
      </c>
      <c r="G62" s="16">
        <f t="shared" ref="G62:R62" si="16">G23-(G23/(1+$D23))</f>
        <v>0</v>
      </c>
      <c r="H62" s="16">
        <f t="shared" si="16"/>
        <v>0</v>
      </c>
      <c r="I62" s="16">
        <f t="shared" si="16"/>
        <v>0</v>
      </c>
      <c r="J62" s="16">
        <f t="shared" si="16"/>
        <v>0</v>
      </c>
      <c r="K62" s="16">
        <f t="shared" si="16"/>
        <v>0</v>
      </c>
      <c r="L62" s="16">
        <f t="shared" si="16"/>
        <v>0</v>
      </c>
      <c r="M62" s="16">
        <f t="shared" si="16"/>
        <v>0</v>
      </c>
      <c r="N62" s="16">
        <f t="shared" si="16"/>
        <v>0</v>
      </c>
      <c r="O62" s="16">
        <f t="shared" si="16"/>
        <v>0</v>
      </c>
      <c r="P62" s="16">
        <f t="shared" si="16"/>
        <v>0</v>
      </c>
      <c r="Q62" s="16">
        <f t="shared" si="16"/>
        <v>0</v>
      </c>
      <c r="R62" s="16">
        <f t="shared" si="16"/>
        <v>0</v>
      </c>
      <c r="T62" s="8"/>
      <c r="U62" s="8"/>
    </row>
    <row r="63" spans="2:21" ht="17.25" hidden="1" customHeight="1">
      <c r="B63" s="113"/>
      <c r="C63" s="113"/>
      <c r="D63" s="113"/>
      <c r="F63" s="130" t="str">
        <f t="shared" si="10"/>
        <v>frais représentation</v>
      </c>
      <c r="G63" s="16">
        <f t="shared" ref="G63:R63" si="17">G24-(G24/(1+$D24))</f>
        <v>0</v>
      </c>
      <c r="H63" s="16">
        <f t="shared" si="17"/>
        <v>0</v>
      </c>
      <c r="I63" s="16">
        <f t="shared" si="17"/>
        <v>0</v>
      </c>
      <c r="J63" s="16">
        <f t="shared" si="17"/>
        <v>0</v>
      </c>
      <c r="K63" s="16">
        <f t="shared" si="17"/>
        <v>0</v>
      </c>
      <c r="L63" s="16">
        <f t="shared" si="17"/>
        <v>0</v>
      </c>
      <c r="M63" s="16">
        <f t="shared" si="17"/>
        <v>0</v>
      </c>
      <c r="N63" s="16">
        <f t="shared" si="17"/>
        <v>0</v>
      </c>
      <c r="O63" s="16">
        <f t="shared" si="17"/>
        <v>0</v>
      </c>
      <c r="P63" s="16">
        <f t="shared" si="17"/>
        <v>0</v>
      </c>
      <c r="Q63" s="16">
        <f t="shared" si="17"/>
        <v>0</v>
      </c>
      <c r="R63" s="16">
        <f t="shared" si="17"/>
        <v>0</v>
      </c>
      <c r="T63" s="8"/>
      <c r="U63" s="8"/>
    </row>
    <row r="64" spans="2:21" ht="17.25" hidden="1" customHeight="1">
      <c r="B64" s="113"/>
      <c r="C64" s="113"/>
      <c r="D64" s="113"/>
      <c r="F64" s="130" t="str">
        <f t="shared" si="10"/>
        <v>Frais de déplacement (abonements, véhicules, entretiens)</v>
      </c>
      <c r="G64" s="16">
        <f t="shared" ref="G64:R64" si="18">G25-(G25/(1+$D25))</f>
        <v>0</v>
      </c>
      <c r="H64" s="16">
        <f t="shared" si="18"/>
        <v>0</v>
      </c>
      <c r="I64" s="16">
        <f t="shared" si="18"/>
        <v>0</v>
      </c>
      <c r="J64" s="16">
        <f t="shared" si="18"/>
        <v>0</v>
      </c>
      <c r="K64" s="16">
        <f t="shared" si="18"/>
        <v>0</v>
      </c>
      <c r="L64" s="16">
        <f t="shared" si="18"/>
        <v>0</v>
      </c>
      <c r="M64" s="16">
        <f t="shared" si="18"/>
        <v>0</v>
      </c>
      <c r="N64" s="16">
        <f t="shared" si="18"/>
        <v>0</v>
      </c>
      <c r="O64" s="16">
        <f t="shared" si="18"/>
        <v>0</v>
      </c>
      <c r="P64" s="16">
        <f t="shared" si="18"/>
        <v>0</v>
      </c>
      <c r="Q64" s="16">
        <f t="shared" si="18"/>
        <v>0</v>
      </c>
      <c r="R64" s="16">
        <f t="shared" si="18"/>
        <v>0</v>
      </c>
      <c r="T64" s="8"/>
      <c r="U64" s="8"/>
    </row>
    <row r="65" spans="2:21" ht="17.25" hidden="1" customHeight="1">
      <c r="B65" s="113"/>
      <c r="C65" s="113"/>
      <c r="D65" s="113"/>
      <c r="F65" s="130" t="str">
        <f t="shared" si="10"/>
        <v>Taxe Véhicule</v>
      </c>
      <c r="G65" s="16">
        <f t="shared" ref="G65:R65" si="19">G26-(G26/(1+$D26))</f>
        <v>0</v>
      </c>
      <c r="H65" s="16">
        <f t="shared" si="19"/>
        <v>0</v>
      </c>
      <c r="I65" s="16">
        <f t="shared" si="19"/>
        <v>0</v>
      </c>
      <c r="J65" s="16">
        <f t="shared" si="19"/>
        <v>0</v>
      </c>
      <c r="K65" s="16">
        <f t="shared" si="19"/>
        <v>0</v>
      </c>
      <c r="L65" s="16">
        <f t="shared" si="19"/>
        <v>0</v>
      </c>
      <c r="M65" s="16">
        <f t="shared" si="19"/>
        <v>0</v>
      </c>
      <c r="N65" s="16">
        <f t="shared" si="19"/>
        <v>0</v>
      </c>
      <c r="O65" s="16">
        <f t="shared" si="19"/>
        <v>0</v>
      </c>
      <c r="P65" s="16">
        <f t="shared" si="19"/>
        <v>0</v>
      </c>
      <c r="Q65" s="16">
        <f t="shared" si="19"/>
        <v>0</v>
      </c>
      <c r="R65" s="16">
        <f t="shared" si="19"/>
        <v>0</v>
      </c>
      <c r="T65" s="8"/>
      <c r="U65" s="8"/>
    </row>
    <row r="66" spans="2:21" ht="17.25" hidden="1" customHeight="1">
      <c r="B66" s="113"/>
      <c r="C66" s="113"/>
      <c r="D66" s="113"/>
      <c r="F66" s="130" t="str">
        <f t="shared" si="10"/>
        <v>Cotisations sociales</v>
      </c>
      <c r="G66" s="16">
        <f t="shared" ref="G66:R66" si="20">G27-(G27/(1+$D27))</f>
        <v>0</v>
      </c>
      <c r="H66" s="16">
        <f t="shared" si="20"/>
        <v>0</v>
      </c>
      <c r="I66" s="16">
        <f t="shared" si="20"/>
        <v>0</v>
      </c>
      <c r="J66" s="16">
        <f t="shared" si="20"/>
        <v>0</v>
      </c>
      <c r="K66" s="16">
        <f t="shared" si="20"/>
        <v>0</v>
      </c>
      <c r="L66" s="16">
        <f t="shared" si="20"/>
        <v>0</v>
      </c>
      <c r="M66" s="16">
        <f t="shared" si="20"/>
        <v>0</v>
      </c>
      <c r="N66" s="16">
        <f t="shared" si="20"/>
        <v>0</v>
      </c>
      <c r="O66" s="16">
        <f t="shared" si="20"/>
        <v>0</v>
      </c>
      <c r="P66" s="16">
        <f t="shared" si="20"/>
        <v>0</v>
      </c>
      <c r="Q66" s="16">
        <f t="shared" si="20"/>
        <v>0</v>
      </c>
      <c r="R66" s="16">
        <f t="shared" si="20"/>
        <v>0</v>
      </c>
      <c r="T66" s="8"/>
      <c r="U66" s="8"/>
    </row>
    <row r="67" spans="2:21" ht="17.25" hidden="1" customHeight="1">
      <c r="B67" s="113"/>
      <c r="C67" s="113"/>
      <c r="D67" s="113"/>
      <c r="F67" s="130" t="str">
        <f t="shared" si="10"/>
        <v>Cotisation Inasti société</v>
      </c>
      <c r="G67" s="16">
        <f t="shared" ref="G67:R67" si="21">G28-(G28/(1+$D28))</f>
        <v>0</v>
      </c>
      <c r="H67" s="16">
        <f t="shared" si="21"/>
        <v>0</v>
      </c>
      <c r="I67" s="16">
        <f t="shared" si="21"/>
        <v>0</v>
      </c>
      <c r="J67" s="16">
        <f t="shared" si="21"/>
        <v>0</v>
      </c>
      <c r="K67" s="16">
        <f t="shared" si="21"/>
        <v>0</v>
      </c>
      <c r="L67" s="16">
        <f t="shared" si="21"/>
        <v>0</v>
      </c>
      <c r="M67" s="16">
        <f t="shared" si="21"/>
        <v>0</v>
      </c>
      <c r="N67" s="16">
        <f t="shared" si="21"/>
        <v>0</v>
      </c>
      <c r="O67" s="16">
        <f t="shared" si="21"/>
        <v>0</v>
      </c>
      <c r="P67" s="16">
        <f t="shared" si="21"/>
        <v>0</v>
      </c>
      <c r="Q67" s="16">
        <f t="shared" si="21"/>
        <v>0</v>
      </c>
      <c r="R67" s="16">
        <f t="shared" si="21"/>
        <v>0</v>
      </c>
      <c r="T67" s="8"/>
      <c r="U67" s="8"/>
    </row>
    <row r="68" spans="2:21" ht="17.25" hidden="1" customHeight="1">
      <c r="B68" s="113"/>
      <c r="C68" s="113"/>
      <c r="D68" s="113"/>
      <c r="F68" s="130" t="str">
        <f t="shared" si="10"/>
        <v>Rémunération - Administrateur(s) / Gérant(s)</v>
      </c>
      <c r="G68" s="16">
        <f t="shared" ref="G68:R68" si="22">G29-(G29/(1+$D29))</f>
        <v>0</v>
      </c>
      <c r="H68" s="16">
        <f t="shared" si="22"/>
        <v>0</v>
      </c>
      <c r="I68" s="16">
        <f t="shared" si="22"/>
        <v>0</v>
      </c>
      <c r="J68" s="16">
        <f t="shared" si="22"/>
        <v>0</v>
      </c>
      <c r="K68" s="16">
        <f t="shared" si="22"/>
        <v>0</v>
      </c>
      <c r="L68" s="16">
        <f t="shared" si="22"/>
        <v>0</v>
      </c>
      <c r="M68" s="16">
        <f t="shared" si="22"/>
        <v>0</v>
      </c>
      <c r="N68" s="16">
        <f t="shared" si="22"/>
        <v>0</v>
      </c>
      <c r="O68" s="16">
        <f t="shared" si="22"/>
        <v>0</v>
      </c>
      <c r="P68" s="16">
        <f t="shared" si="22"/>
        <v>0</v>
      </c>
      <c r="Q68" s="16">
        <f t="shared" si="22"/>
        <v>0</v>
      </c>
      <c r="R68" s="16">
        <f t="shared" si="22"/>
        <v>0</v>
      </c>
      <c r="T68" s="8"/>
      <c r="U68" s="8"/>
    </row>
    <row r="69" spans="2:21" ht="17.25" hidden="1" customHeight="1">
      <c r="B69" s="113"/>
      <c r="C69" s="113"/>
      <c r="D69" s="113"/>
      <c r="F69" s="130" t="str">
        <f t="shared" si="10"/>
        <v>Honoraires comptable</v>
      </c>
      <c r="G69" s="16">
        <f t="shared" ref="G69:R69" si="23">G30-(G30/(1+$D30))</f>
        <v>0</v>
      </c>
      <c r="H69" s="16">
        <f t="shared" si="23"/>
        <v>0</v>
      </c>
      <c r="I69" s="16">
        <f t="shared" si="23"/>
        <v>0</v>
      </c>
      <c r="J69" s="16">
        <f t="shared" si="23"/>
        <v>0</v>
      </c>
      <c r="K69" s="16">
        <f t="shared" si="23"/>
        <v>0</v>
      </c>
      <c r="L69" s="16">
        <f t="shared" si="23"/>
        <v>0</v>
      </c>
      <c r="M69" s="16">
        <f t="shared" si="23"/>
        <v>0</v>
      </c>
      <c r="N69" s="16">
        <f t="shared" si="23"/>
        <v>0</v>
      </c>
      <c r="O69" s="16">
        <f t="shared" si="23"/>
        <v>0</v>
      </c>
      <c r="P69" s="16">
        <f t="shared" si="23"/>
        <v>0</v>
      </c>
      <c r="Q69" s="16">
        <f t="shared" si="23"/>
        <v>0</v>
      </c>
      <c r="R69" s="16">
        <f t="shared" si="23"/>
        <v>0</v>
      </c>
      <c r="T69" s="8"/>
      <c r="U69" s="8"/>
    </row>
    <row r="70" spans="2:21" ht="17.25" hidden="1" customHeight="1">
      <c r="B70" s="113"/>
      <c r="C70" s="113"/>
      <c r="D70" s="113"/>
      <c r="F70" s="130" t="str">
        <f t="shared" si="10"/>
        <v>Honoraires autres experts</v>
      </c>
      <c r="G70" s="16">
        <f t="shared" ref="G70:R70" si="24">G31-(G31/(1+$D31))</f>
        <v>0</v>
      </c>
      <c r="H70" s="16">
        <f t="shared" si="24"/>
        <v>0</v>
      </c>
      <c r="I70" s="16">
        <f t="shared" si="24"/>
        <v>0</v>
      </c>
      <c r="J70" s="16">
        <f t="shared" si="24"/>
        <v>0</v>
      </c>
      <c r="K70" s="16">
        <f t="shared" si="24"/>
        <v>0</v>
      </c>
      <c r="L70" s="16">
        <f t="shared" si="24"/>
        <v>0</v>
      </c>
      <c r="M70" s="16">
        <f t="shared" si="24"/>
        <v>0</v>
      </c>
      <c r="N70" s="16">
        <f t="shared" si="24"/>
        <v>0</v>
      </c>
      <c r="O70" s="16">
        <f t="shared" si="24"/>
        <v>0</v>
      </c>
      <c r="P70" s="16">
        <f t="shared" si="24"/>
        <v>0</v>
      </c>
      <c r="Q70" s="16">
        <f t="shared" si="24"/>
        <v>0</v>
      </c>
      <c r="R70" s="16">
        <f t="shared" si="24"/>
        <v>0</v>
      </c>
      <c r="T70" s="8"/>
      <c r="U70" s="8"/>
    </row>
    <row r="71" spans="2:21" ht="17.25" hidden="1" customHeight="1">
      <c r="B71" s="113"/>
      <c r="C71" s="113"/>
      <c r="D71" s="113"/>
      <c r="F71" s="130" t="str">
        <f t="shared" si="10"/>
        <v>Imprévus</v>
      </c>
      <c r="G71" s="16">
        <f t="shared" ref="G71:R71" si="25">G32-(G32/(1+$D32))</f>
        <v>0</v>
      </c>
      <c r="H71" s="16">
        <f t="shared" si="25"/>
        <v>0</v>
      </c>
      <c r="I71" s="16">
        <f t="shared" si="25"/>
        <v>0</v>
      </c>
      <c r="J71" s="16">
        <f t="shared" si="25"/>
        <v>0</v>
      </c>
      <c r="K71" s="16">
        <f t="shared" si="25"/>
        <v>0</v>
      </c>
      <c r="L71" s="16">
        <f t="shared" si="25"/>
        <v>0</v>
      </c>
      <c r="M71" s="16">
        <f t="shared" si="25"/>
        <v>0</v>
      </c>
      <c r="N71" s="16">
        <f t="shared" si="25"/>
        <v>0</v>
      </c>
      <c r="O71" s="16">
        <f t="shared" si="25"/>
        <v>0</v>
      </c>
      <c r="P71" s="16">
        <f t="shared" si="25"/>
        <v>0</v>
      </c>
      <c r="Q71" s="16">
        <f t="shared" si="25"/>
        <v>0</v>
      </c>
      <c r="R71" s="16">
        <f t="shared" si="25"/>
        <v>0</v>
      </c>
      <c r="T71" s="8"/>
      <c r="U71" s="8"/>
    </row>
    <row r="72" spans="2:21" ht="17.25" hidden="1" customHeight="1">
      <c r="B72" s="113"/>
      <c r="C72" s="113"/>
      <c r="D72" s="113"/>
      <c r="F72" s="130" t="str">
        <f t="shared" si="10"/>
        <v>Divers  (terminal…)</v>
      </c>
      <c r="G72" s="16">
        <f t="shared" ref="G72:R72" si="26">G33-(G33/(1+$D33))</f>
        <v>0</v>
      </c>
      <c r="H72" s="16">
        <f t="shared" si="26"/>
        <v>0</v>
      </c>
      <c r="I72" s="16">
        <f t="shared" si="26"/>
        <v>0</v>
      </c>
      <c r="J72" s="16">
        <f t="shared" si="26"/>
        <v>0</v>
      </c>
      <c r="K72" s="16">
        <f t="shared" si="26"/>
        <v>0</v>
      </c>
      <c r="L72" s="16">
        <f t="shared" si="26"/>
        <v>0</v>
      </c>
      <c r="M72" s="16">
        <f t="shared" si="26"/>
        <v>0</v>
      </c>
      <c r="N72" s="16">
        <f t="shared" si="26"/>
        <v>0</v>
      </c>
      <c r="O72" s="16">
        <f t="shared" si="26"/>
        <v>0</v>
      </c>
      <c r="P72" s="16">
        <f t="shared" si="26"/>
        <v>0</v>
      </c>
      <c r="Q72" s="16">
        <f t="shared" si="26"/>
        <v>0</v>
      </c>
      <c r="R72" s="16">
        <f t="shared" si="26"/>
        <v>0</v>
      </c>
      <c r="T72" s="8"/>
      <c r="U72" s="8"/>
    </row>
    <row r="73" spans="2:21" ht="17.25" hidden="1" customHeight="1">
      <c r="B73" s="113"/>
      <c r="C73" s="113"/>
      <c r="D73" s="113"/>
      <c r="F73" s="130" t="str">
        <f t="shared" si="10"/>
        <v>Divers 2</v>
      </c>
      <c r="G73" s="16">
        <f t="shared" ref="G73:R73" si="27">G34-(G34/(1+$D34))</f>
        <v>0</v>
      </c>
      <c r="H73" s="16">
        <f t="shared" si="27"/>
        <v>0</v>
      </c>
      <c r="I73" s="16">
        <f t="shared" si="27"/>
        <v>0</v>
      </c>
      <c r="J73" s="16">
        <f t="shared" si="27"/>
        <v>0</v>
      </c>
      <c r="K73" s="16">
        <f t="shared" si="27"/>
        <v>0</v>
      </c>
      <c r="L73" s="16">
        <f t="shared" si="27"/>
        <v>0</v>
      </c>
      <c r="M73" s="16">
        <f t="shared" si="27"/>
        <v>0</v>
      </c>
      <c r="N73" s="16">
        <f t="shared" si="27"/>
        <v>0</v>
      </c>
      <c r="O73" s="16">
        <f t="shared" si="27"/>
        <v>0</v>
      </c>
      <c r="P73" s="16">
        <f t="shared" si="27"/>
        <v>0</v>
      </c>
      <c r="Q73" s="16">
        <f t="shared" si="27"/>
        <v>0</v>
      </c>
      <c r="R73" s="16">
        <f t="shared" si="27"/>
        <v>0</v>
      </c>
      <c r="T73" s="8"/>
      <c r="U73" s="8"/>
    </row>
    <row r="74" spans="2:21" ht="17.25" hidden="1" customHeight="1">
      <c r="B74" s="113"/>
      <c r="C74" s="113"/>
      <c r="D74" s="113"/>
      <c r="F74" s="130" t="str">
        <f t="shared" si="10"/>
        <v>Divers 3</v>
      </c>
      <c r="G74" s="16">
        <f t="shared" ref="G74:R74" si="28">G35-(G35/(1+$D35))</f>
        <v>0</v>
      </c>
      <c r="H74" s="16">
        <f t="shared" si="28"/>
        <v>0</v>
      </c>
      <c r="I74" s="16">
        <f t="shared" si="28"/>
        <v>0</v>
      </c>
      <c r="J74" s="16">
        <f t="shared" si="28"/>
        <v>0</v>
      </c>
      <c r="K74" s="16">
        <f t="shared" si="28"/>
        <v>0</v>
      </c>
      <c r="L74" s="16">
        <f t="shared" si="28"/>
        <v>0</v>
      </c>
      <c r="M74" s="16">
        <f t="shared" si="28"/>
        <v>0</v>
      </c>
      <c r="N74" s="16">
        <f t="shared" si="28"/>
        <v>0</v>
      </c>
      <c r="O74" s="16">
        <f t="shared" si="28"/>
        <v>0</v>
      </c>
      <c r="P74" s="16">
        <f t="shared" si="28"/>
        <v>0</v>
      </c>
      <c r="Q74" s="16">
        <f t="shared" si="28"/>
        <v>0</v>
      </c>
      <c r="R74" s="16">
        <f t="shared" si="28"/>
        <v>0</v>
      </c>
      <c r="T74" s="8"/>
      <c r="U74" s="8"/>
    </row>
    <row r="75" spans="2:21" ht="17.25" hidden="1" customHeight="1">
      <c r="B75" s="113"/>
      <c r="C75" s="113"/>
      <c r="D75" s="113"/>
      <c r="F75" s="130" t="str">
        <f t="shared" si="10"/>
        <v>Frais de Personnel</v>
      </c>
      <c r="G75" s="16">
        <f t="shared" ref="G75:R75" si="29">G36-(G36/(1+$D36))</f>
        <v>0</v>
      </c>
      <c r="H75" s="16">
        <f t="shared" si="29"/>
        <v>0</v>
      </c>
      <c r="I75" s="16">
        <f t="shared" si="29"/>
        <v>0</v>
      </c>
      <c r="J75" s="16">
        <f t="shared" si="29"/>
        <v>0</v>
      </c>
      <c r="K75" s="16">
        <f t="shared" si="29"/>
        <v>0</v>
      </c>
      <c r="L75" s="16">
        <f t="shared" si="29"/>
        <v>0</v>
      </c>
      <c r="M75" s="16">
        <f t="shared" si="29"/>
        <v>0</v>
      </c>
      <c r="N75" s="16">
        <f t="shared" si="29"/>
        <v>0</v>
      </c>
      <c r="O75" s="16">
        <f t="shared" si="29"/>
        <v>0</v>
      </c>
      <c r="P75" s="16">
        <f t="shared" si="29"/>
        <v>0</v>
      </c>
      <c r="Q75" s="16">
        <f t="shared" si="29"/>
        <v>0</v>
      </c>
      <c r="R75" s="16">
        <f t="shared" si="29"/>
        <v>0</v>
      </c>
      <c r="T75" s="8"/>
      <c r="U75" s="8"/>
    </row>
    <row r="76" spans="2:21" ht="17.25" hidden="1" customHeight="1">
      <c r="B76" s="113"/>
      <c r="C76" s="113"/>
      <c r="D76" s="113"/>
      <c r="F76" s="130" t="str">
        <f t="shared" si="10"/>
        <v>Remboursement emprunt &amp; leasing</v>
      </c>
      <c r="G76" s="16">
        <f t="shared" ref="G76:R76" si="30">G37-(G37/(1+$D37))</f>
        <v>0</v>
      </c>
      <c r="H76" s="16">
        <f t="shared" si="30"/>
        <v>0</v>
      </c>
      <c r="I76" s="16">
        <f t="shared" si="30"/>
        <v>0</v>
      </c>
      <c r="J76" s="16">
        <f t="shared" si="30"/>
        <v>0</v>
      </c>
      <c r="K76" s="16">
        <f t="shared" si="30"/>
        <v>0</v>
      </c>
      <c r="L76" s="16">
        <f t="shared" si="30"/>
        <v>0</v>
      </c>
      <c r="M76" s="16">
        <f t="shared" si="30"/>
        <v>0</v>
      </c>
      <c r="N76" s="16">
        <f t="shared" si="30"/>
        <v>0</v>
      </c>
      <c r="O76" s="16">
        <f t="shared" si="30"/>
        <v>0</v>
      </c>
      <c r="P76" s="16">
        <f t="shared" si="30"/>
        <v>0</v>
      </c>
      <c r="Q76" s="16">
        <f t="shared" si="30"/>
        <v>0</v>
      </c>
      <c r="R76" s="16">
        <f t="shared" si="30"/>
        <v>0</v>
      </c>
      <c r="T76" s="8"/>
      <c r="U76" s="8"/>
    </row>
    <row r="77" spans="2:21" ht="17.25" hidden="1" customHeight="1">
      <c r="B77" s="113"/>
      <c r="C77" s="113"/>
      <c r="D77" s="113"/>
      <c r="F77" s="130" t="str">
        <f t="shared" si="10"/>
        <v>Investissements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T77" s="8"/>
      <c r="U77" s="8"/>
    </row>
    <row r="78" spans="2:21" ht="17.25" hidden="1" customHeight="1">
      <c r="B78" s="113"/>
      <c r="C78" s="113"/>
      <c r="D78" s="113"/>
      <c r="F78" s="130" t="str">
        <f t="shared" si="10"/>
        <v>Garantie locative</v>
      </c>
      <c r="G78" s="16">
        <f t="shared" ref="G78:R78" si="31">G39-(G39/(1+$D39))</f>
        <v>0</v>
      </c>
      <c r="H78" s="16">
        <f t="shared" si="31"/>
        <v>0</v>
      </c>
      <c r="I78" s="16">
        <f t="shared" si="31"/>
        <v>0</v>
      </c>
      <c r="J78" s="16">
        <f t="shared" si="31"/>
        <v>0</v>
      </c>
      <c r="K78" s="16">
        <f t="shared" si="31"/>
        <v>0</v>
      </c>
      <c r="L78" s="16">
        <f t="shared" si="31"/>
        <v>0</v>
      </c>
      <c r="M78" s="16">
        <f t="shared" si="31"/>
        <v>0</v>
      </c>
      <c r="N78" s="16">
        <f t="shared" si="31"/>
        <v>0</v>
      </c>
      <c r="O78" s="16">
        <f t="shared" si="31"/>
        <v>0</v>
      </c>
      <c r="P78" s="16">
        <f t="shared" si="31"/>
        <v>0</v>
      </c>
      <c r="Q78" s="16">
        <f t="shared" si="31"/>
        <v>0</v>
      </c>
      <c r="R78" s="16">
        <f t="shared" si="31"/>
        <v>0</v>
      </c>
      <c r="T78" s="8"/>
      <c r="U78" s="8"/>
    </row>
    <row r="79" spans="2:21" ht="17.25" hidden="1" customHeight="1">
      <c r="B79" s="113"/>
      <c r="C79" s="113"/>
      <c r="D79" s="113"/>
      <c r="F79" s="130" t="str">
        <f t="shared" si="10"/>
        <v>Caution gaz-électricité</v>
      </c>
      <c r="G79" s="16">
        <f t="shared" ref="G79:R79" si="32">G40-(G40/(1+$D40))</f>
        <v>0</v>
      </c>
      <c r="H79" s="16">
        <f t="shared" si="32"/>
        <v>0</v>
      </c>
      <c r="I79" s="16">
        <f t="shared" si="32"/>
        <v>0</v>
      </c>
      <c r="J79" s="16">
        <f t="shared" si="32"/>
        <v>0</v>
      </c>
      <c r="K79" s="16">
        <f t="shared" si="32"/>
        <v>0</v>
      </c>
      <c r="L79" s="16">
        <f t="shared" si="32"/>
        <v>0</v>
      </c>
      <c r="M79" s="16">
        <f t="shared" si="32"/>
        <v>0</v>
      </c>
      <c r="N79" s="16">
        <f t="shared" si="32"/>
        <v>0</v>
      </c>
      <c r="O79" s="16">
        <f t="shared" si="32"/>
        <v>0</v>
      </c>
      <c r="P79" s="16">
        <f t="shared" si="32"/>
        <v>0</v>
      </c>
      <c r="Q79" s="16">
        <f t="shared" si="32"/>
        <v>0</v>
      </c>
      <c r="R79" s="16">
        <f t="shared" si="32"/>
        <v>0</v>
      </c>
      <c r="T79" s="8"/>
      <c r="U79" s="8"/>
    </row>
    <row r="80" spans="2:21" ht="17.25" hidden="1" customHeight="1">
      <c r="B80" s="113"/>
      <c r="C80" s="113"/>
      <c r="D80" s="113"/>
      <c r="F80" s="168" t="str">
        <f t="shared" si="10"/>
        <v>Autres garanties</v>
      </c>
      <c r="G80" s="143">
        <f t="shared" ref="G80:R80" si="33">G41-(G41/(1+$D41))</f>
        <v>0</v>
      </c>
      <c r="H80" s="143">
        <f t="shared" si="33"/>
        <v>0</v>
      </c>
      <c r="I80" s="143">
        <f t="shared" si="33"/>
        <v>0</v>
      </c>
      <c r="J80" s="143">
        <f t="shared" si="33"/>
        <v>0</v>
      </c>
      <c r="K80" s="143">
        <f t="shared" si="33"/>
        <v>0</v>
      </c>
      <c r="L80" s="143">
        <f t="shared" si="33"/>
        <v>0</v>
      </c>
      <c r="M80" s="143">
        <f t="shared" si="33"/>
        <v>0</v>
      </c>
      <c r="N80" s="143">
        <f t="shared" si="33"/>
        <v>0</v>
      </c>
      <c r="O80" s="143">
        <f t="shared" si="33"/>
        <v>0</v>
      </c>
      <c r="P80" s="143">
        <f t="shared" si="33"/>
        <v>0</v>
      </c>
      <c r="Q80" s="143">
        <f t="shared" si="33"/>
        <v>0</v>
      </c>
      <c r="R80" s="143">
        <f t="shared" si="33"/>
        <v>0</v>
      </c>
      <c r="T80" s="8"/>
      <c r="U80" s="8"/>
    </row>
    <row r="81" spans="20:21" ht="17.25" hidden="1" customHeight="1">
      <c r="T81" s="8"/>
      <c r="U81" s="8"/>
    </row>
    <row r="82" spans="20:21" ht="17.25" hidden="1" customHeight="1">
      <c r="T82" s="8"/>
      <c r="U82" s="8"/>
    </row>
    <row r="83" spans="20:21" ht="17.25" hidden="1" customHeight="1">
      <c r="T83" s="8"/>
      <c r="U83" s="8"/>
    </row>
    <row r="84" spans="20:21" ht="17.25" hidden="1" customHeight="1">
      <c r="T84" s="8"/>
      <c r="U84" s="8"/>
    </row>
    <row r="85" spans="20:21" ht="17.25" hidden="1" customHeight="1">
      <c r="T85" s="8"/>
      <c r="U85" s="8"/>
    </row>
    <row r="86" spans="20:21">
      <c r="T86" s="8"/>
      <c r="U86" s="8"/>
    </row>
    <row r="87" spans="20:21">
      <c r="T87" s="8"/>
      <c r="U87" s="8"/>
    </row>
    <row r="88" spans="20:21">
      <c r="T88" s="8"/>
      <c r="U88" s="8"/>
    </row>
    <row r="89" spans="20:21">
      <c r="T89" s="8"/>
      <c r="U89" s="8"/>
    </row>
    <row r="90" spans="20:21">
      <c r="T90" s="8"/>
      <c r="U90" s="8"/>
    </row>
    <row r="91" spans="20:21">
      <c r="T91" s="8"/>
      <c r="U91" s="8"/>
    </row>
    <row r="92" spans="20:21">
      <c r="T92" s="8"/>
      <c r="U92" s="8"/>
    </row>
    <row r="93" spans="20:21">
      <c r="T93" s="8"/>
      <c r="U93" s="8"/>
    </row>
    <row r="94" spans="20:21">
      <c r="T94" s="8"/>
      <c r="U94" s="8"/>
    </row>
    <row r="95" spans="20:21">
      <c r="T95" s="8"/>
      <c r="U95" s="8"/>
    </row>
    <row r="96" spans="20:21">
      <c r="T96" s="8"/>
      <c r="U96" s="8"/>
    </row>
    <row r="97" spans="20:21">
      <c r="T97" s="8"/>
      <c r="U97" s="8"/>
    </row>
    <row r="98" spans="20:21">
      <c r="T98" s="8"/>
      <c r="U98" s="8"/>
    </row>
    <row r="99" spans="20:21">
      <c r="T99" s="8"/>
      <c r="U99" s="8"/>
    </row>
    <row r="100" spans="20:21">
      <c r="T100" s="8"/>
      <c r="U100" s="8"/>
    </row>
    <row r="101" spans="20:21">
      <c r="T101" s="8"/>
      <c r="U101" s="8"/>
    </row>
    <row r="102" spans="20:21">
      <c r="T102" s="8"/>
      <c r="U102" s="8"/>
    </row>
    <row r="103" spans="20:21">
      <c r="T103" s="8"/>
      <c r="U103" s="8"/>
    </row>
    <row r="104" spans="20:21">
      <c r="T104" s="8"/>
      <c r="U104" s="8"/>
    </row>
    <row r="105" spans="20:21">
      <c r="T105" s="8"/>
      <c r="U105" s="8"/>
    </row>
    <row r="106" spans="20:21">
      <c r="T106" s="8"/>
      <c r="U106" s="8"/>
    </row>
    <row r="107" spans="20:21">
      <c r="T107" s="8"/>
      <c r="U107" s="8"/>
    </row>
    <row r="108" spans="20:21">
      <c r="T108" s="8"/>
      <c r="U108" s="8"/>
    </row>
    <row r="109" spans="20:21">
      <c r="T109" s="8"/>
      <c r="U109" s="8"/>
    </row>
    <row r="110" spans="20:21">
      <c r="T110" s="8"/>
      <c r="U110" s="8"/>
    </row>
    <row r="111" spans="20:21">
      <c r="T111" s="8"/>
      <c r="U111" s="8"/>
    </row>
    <row r="112" spans="20:21">
      <c r="T112" s="8"/>
      <c r="U112" s="8"/>
    </row>
    <row r="113" spans="20:21">
      <c r="T113" s="8"/>
      <c r="U113" s="8"/>
    </row>
    <row r="114" spans="20:21">
      <c r="T114" s="8"/>
      <c r="U114" s="8"/>
    </row>
    <row r="115" spans="20:21">
      <c r="T115" s="8"/>
      <c r="U115" s="8"/>
    </row>
    <row r="116" spans="20:21">
      <c r="T116" s="8"/>
      <c r="U116" s="8"/>
    </row>
    <row r="117" spans="20:21">
      <c r="T117" s="8"/>
      <c r="U117" s="8"/>
    </row>
    <row r="118" spans="20:21">
      <c r="T118" s="8"/>
      <c r="U118" s="8"/>
    </row>
    <row r="119" spans="20:21">
      <c r="T119" s="8"/>
      <c r="U119" s="8"/>
    </row>
    <row r="120" spans="20:21">
      <c r="T120" s="8"/>
      <c r="U120" s="8"/>
    </row>
    <row r="121" spans="20:21">
      <c r="T121" s="8"/>
      <c r="U121" s="8"/>
    </row>
    <row r="122" spans="20:21">
      <c r="T122" s="8"/>
      <c r="U122" s="8"/>
    </row>
    <row r="123" spans="20:21">
      <c r="T123" s="8"/>
      <c r="U123" s="8"/>
    </row>
    <row r="124" spans="20:21">
      <c r="T124" s="8"/>
      <c r="U124" s="8"/>
    </row>
    <row r="125" spans="20:21">
      <c r="T125" s="8"/>
      <c r="U125" s="8"/>
    </row>
    <row r="126" spans="20:21">
      <c r="T126" s="8"/>
      <c r="U126" s="8"/>
    </row>
    <row r="127" spans="20:21">
      <c r="T127" s="8"/>
      <c r="U127" s="8"/>
    </row>
    <row r="128" spans="20:21">
      <c r="T128" s="8"/>
      <c r="U128" s="8"/>
    </row>
    <row r="129" spans="20:21">
      <c r="T129" s="8"/>
      <c r="U129" s="8"/>
    </row>
    <row r="130" spans="20:21">
      <c r="T130" s="8"/>
      <c r="U130" s="8"/>
    </row>
    <row r="131" spans="20:21">
      <c r="T131" s="8"/>
      <c r="U131" s="8"/>
    </row>
    <row r="132" spans="20:21">
      <c r="T132" s="8"/>
      <c r="U132" s="8"/>
    </row>
    <row r="133" spans="20:21">
      <c r="T133" s="8"/>
      <c r="U133" s="8"/>
    </row>
    <row r="134" spans="20:21">
      <c r="T134" s="8"/>
      <c r="U134" s="8"/>
    </row>
    <row r="135" spans="20:21">
      <c r="T135" s="8"/>
      <c r="U135" s="8"/>
    </row>
    <row r="136" spans="20:21">
      <c r="T136" s="8"/>
      <c r="U136" s="8"/>
    </row>
    <row r="137" spans="20:21">
      <c r="T137" s="8"/>
      <c r="U137" s="8"/>
    </row>
    <row r="138" spans="20:21">
      <c r="T138" s="8"/>
      <c r="U138" s="8"/>
    </row>
    <row r="139" spans="20:21">
      <c r="T139" s="8"/>
      <c r="U139" s="8"/>
    </row>
    <row r="140" spans="20:21">
      <c r="T140" s="8"/>
      <c r="U140" s="8"/>
    </row>
    <row r="141" spans="20:21">
      <c r="T141" s="8"/>
      <c r="U141" s="8"/>
    </row>
    <row r="142" spans="20:21">
      <c r="T142" s="8"/>
      <c r="U142" s="8"/>
    </row>
    <row r="143" spans="20:21">
      <c r="T143" s="8"/>
      <c r="U143" s="8"/>
    </row>
    <row r="144" spans="20:21">
      <c r="T144" s="8"/>
      <c r="U144" s="8"/>
    </row>
    <row r="145" spans="20:21">
      <c r="T145" s="8"/>
      <c r="U145" s="8"/>
    </row>
    <row r="146" spans="20:21">
      <c r="T146" s="8"/>
      <c r="U146" s="8"/>
    </row>
    <row r="147" spans="20:21">
      <c r="T147" s="8"/>
      <c r="U147" s="8"/>
    </row>
    <row r="148" spans="20:21">
      <c r="T148" s="8"/>
      <c r="U148" s="8"/>
    </row>
    <row r="149" spans="20:21">
      <c r="T149" s="8"/>
      <c r="U149" s="8"/>
    </row>
    <row r="150" spans="20:21">
      <c r="T150" s="8"/>
      <c r="U150" s="8"/>
    </row>
    <row r="151" spans="20:21">
      <c r="T151" s="8"/>
      <c r="U151" s="8"/>
    </row>
    <row r="152" spans="20:21">
      <c r="T152" s="8"/>
      <c r="U152" s="8"/>
    </row>
    <row r="153" spans="20:21">
      <c r="T153" s="8"/>
      <c r="U153" s="8"/>
    </row>
    <row r="154" spans="20:21">
      <c r="T154" s="8"/>
      <c r="U154" s="8"/>
    </row>
    <row r="155" spans="20:21">
      <c r="T155" s="8"/>
      <c r="U155" s="8"/>
    </row>
    <row r="156" spans="20:21">
      <c r="T156" s="8"/>
      <c r="U156" s="8"/>
    </row>
    <row r="157" spans="20:21">
      <c r="T157" s="8"/>
      <c r="U157" s="8"/>
    </row>
    <row r="158" spans="20:21">
      <c r="T158" s="8"/>
      <c r="U158" s="8"/>
    </row>
    <row r="159" spans="20:21">
      <c r="T159" s="8"/>
      <c r="U159" s="8"/>
    </row>
    <row r="160" spans="20:21">
      <c r="T160" s="8"/>
      <c r="U160" s="8"/>
    </row>
    <row r="161" spans="20:21">
      <c r="T161" s="8"/>
      <c r="U161" s="8"/>
    </row>
    <row r="162" spans="20:21">
      <c r="T162" s="8"/>
      <c r="U162" s="8"/>
    </row>
    <row r="163" spans="20:21">
      <c r="T163" s="8"/>
      <c r="U163" s="8"/>
    </row>
    <row r="164" spans="20:21">
      <c r="T164" s="8"/>
      <c r="U164" s="8"/>
    </row>
    <row r="165" spans="20:21">
      <c r="T165" s="8"/>
      <c r="U165" s="8"/>
    </row>
    <row r="166" spans="20:21">
      <c r="T166" s="8"/>
      <c r="U166" s="8"/>
    </row>
    <row r="167" spans="20:21">
      <c r="T167" s="8"/>
      <c r="U167" s="8"/>
    </row>
    <row r="168" spans="20:21">
      <c r="T168" s="8"/>
      <c r="U168" s="8"/>
    </row>
    <row r="169" spans="20:21">
      <c r="T169" s="8"/>
      <c r="U169" s="8"/>
    </row>
    <row r="170" spans="20:21">
      <c r="T170" s="8"/>
      <c r="U170" s="8"/>
    </row>
    <row r="171" spans="20:21">
      <c r="T171" s="8"/>
      <c r="U171" s="8"/>
    </row>
    <row r="172" spans="20:21">
      <c r="T172" s="8"/>
      <c r="U172" s="8"/>
    </row>
    <row r="173" spans="20:21">
      <c r="T173" s="8"/>
      <c r="U173" s="8"/>
    </row>
    <row r="174" spans="20:21">
      <c r="T174" s="8"/>
      <c r="U174" s="8"/>
    </row>
    <row r="175" spans="20:21">
      <c r="T175" s="8"/>
      <c r="U175" s="8"/>
    </row>
    <row r="176" spans="20:21">
      <c r="T176" s="8"/>
      <c r="U176" s="8"/>
    </row>
    <row r="177" spans="20:21">
      <c r="T177" s="8"/>
      <c r="U177" s="8"/>
    </row>
    <row r="178" spans="20:21">
      <c r="T178" s="8"/>
      <c r="U178" s="8"/>
    </row>
    <row r="179" spans="20:21">
      <c r="T179" s="8"/>
      <c r="U179" s="8"/>
    </row>
    <row r="180" spans="20:21">
      <c r="T180" s="8"/>
      <c r="U180" s="8"/>
    </row>
    <row r="181" spans="20:21">
      <c r="T181" s="8"/>
      <c r="U181" s="8"/>
    </row>
    <row r="182" spans="20:21">
      <c r="T182" s="8"/>
      <c r="U182" s="8"/>
    </row>
    <row r="183" spans="20:21">
      <c r="T183" s="8"/>
      <c r="U183" s="8"/>
    </row>
    <row r="184" spans="20:21">
      <c r="T184" s="8"/>
      <c r="U184" s="8"/>
    </row>
    <row r="185" spans="20:21">
      <c r="T185" s="8"/>
      <c r="U185" s="8"/>
    </row>
    <row r="186" spans="20:21">
      <c r="T186" s="8"/>
      <c r="U186" s="8"/>
    </row>
    <row r="187" spans="20:21">
      <c r="T187" s="8"/>
      <c r="U187" s="8"/>
    </row>
    <row r="188" spans="20:21">
      <c r="T188" s="8"/>
      <c r="U188" s="8"/>
    </row>
    <row r="189" spans="20:21">
      <c r="T189" s="8"/>
      <c r="U189" s="8"/>
    </row>
    <row r="190" spans="20:21">
      <c r="T190" s="8"/>
      <c r="U190" s="8"/>
    </row>
    <row r="191" spans="20:21">
      <c r="T191" s="8"/>
      <c r="U191" s="8"/>
    </row>
    <row r="192" spans="20:21">
      <c r="T192" s="8"/>
      <c r="U192" s="8"/>
    </row>
    <row r="193" spans="20:21">
      <c r="T193" s="8"/>
      <c r="U193" s="8"/>
    </row>
    <row r="194" spans="20:21">
      <c r="T194" s="8"/>
      <c r="U194" s="8"/>
    </row>
    <row r="195" spans="20:21">
      <c r="T195" s="8"/>
      <c r="U195" s="8"/>
    </row>
    <row r="196" spans="20:21">
      <c r="T196" s="8"/>
      <c r="U196" s="8"/>
    </row>
    <row r="197" spans="20:21">
      <c r="T197" s="8"/>
      <c r="U197" s="8"/>
    </row>
    <row r="198" spans="20:21">
      <c r="T198" s="8"/>
      <c r="U198" s="8"/>
    </row>
    <row r="199" spans="20:21">
      <c r="T199" s="8"/>
      <c r="U199" s="8"/>
    </row>
    <row r="200" spans="20:21">
      <c r="T200" s="8"/>
      <c r="U200" s="8"/>
    </row>
    <row r="201" spans="20:21">
      <c r="T201" s="8"/>
      <c r="U201" s="8"/>
    </row>
    <row r="202" spans="20:21">
      <c r="T202" s="8"/>
      <c r="U202" s="8"/>
    </row>
    <row r="203" spans="20:21">
      <c r="T203" s="8"/>
      <c r="U203" s="8"/>
    </row>
    <row r="204" spans="20:21">
      <c r="T204" s="8"/>
      <c r="U204" s="8"/>
    </row>
    <row r="205" spans="20:21">
      <c r="T205" s="8"/>
      <c r="U205" s="8"/>
    </row>
    <row r="206" spans="20:21">
      <c r="T206" s="8"/>
      <c r="U206" s="8"/>
    </row>
    <row r="207" spans="20:21">
      <c r="T207" s="8"/>
      <c r="U207" s="8"/>
    </row>
    <row r="208" spans="20:21">
      <c r="T208" s="8"/>
      <c r="U208" s="8"/>
    </row>
    <row r="209" spans="20:21">
      <c r="T209" s="8"/>
      <c r="U209" s="8"/>
    </row>
    <row r="210" spans="20:21">
      <c r="T210" s="8"/>
      <c r="U210" s="8"/>
    </row>
    <row r="211" spans="20:21">
      <c r="T211" s="8"/>
      <c r="U211" s="8"/>
    </row>
    <row r="212" spans="20:21">
      <c r="T212" s="8"/>
      <c r="U212" s="8"/>
    </row>
    <row r="213" spans="20:21">
      <c r="T213" s="8"/>
      <c r="U213" s="8"/>
    </row>
    <row r="214" spans="20:21">
      <c r="T214" s="8"/>
      <c r="U214" s="8"/>
    </row>
    <row r="215" spans="20:21">
      <c r="T215" s="8"/>
      <c r="U215" s="8"/>
    </row>
    <row r="216" spans="20:21">
      <c r="T216" s="8"/>
      <c r="U216" s="8"/>
    </row>
    <row r="217" spans="20:21">
      <c r="T217" s="8"/>
      <c r="U217" s="8"/>
    </row>
    <row r="218" spans="20:21">
      <c r="T218" s="8"/>
      <c r="U218" s="8"/>
    </row>
    <row r="219" spans="20:21">
      <c r="T219" s="8"/>
      <c r="U219" s="8"/>
    </row>
    <row r="220" spans="20:21">
      <c r="T220" s="8"/>
      <c r="U220" s="8"/>
    </row>
    <row r="221" spans="20:21">
      <c r="T221" s="8"/>
      <c r="U221" s="8"/>
    </row>
    <row r="222" spans="20:21">
      <c r="T222" s="8"/>
      <c r="U222" s="8"/>
    </row>
    <row r="223" spans="20:21">
      <c r="T223" s="8"/>
      <c r="U223" s="8"/>
    </row>
    <row r="224" spans="20:21">
      <c r="T224" s="8"/>
      <c r="U224" s="8"/>
    </row>
    <row r="225" spans="20:21">
      <c r="T225" s="8"/>
      <c r="U225" s="8"/>
    </row>
    <row r="226" spans="20:21">
      <c r="T226" s="8"/>
      <c r="U226" s="8"/>
    </row>
    <row r="227" spans="20:21">
      <c r="T227" s="8"/>
      <c r="U227" s="8"/>
    </row>
    <row r="228" spans="20:21">
      <c r="T228" s="8"/>
      <c r="U228" s="8"/>
    </row>
    <row r="229" spans="20:21">
      <c r="T229" s="8"/>
      <c r="U229" s="8"/>
    </row>
    <row r="230" spans="20:21">
      <c r="T230" s="8"/>
      <c r="U230" s="8"/>
    </row>
    <row r="231" spans="20:21">
      <c r="T231" s="8"/>
      <c r="U231" s="8"/>
    </row>
    <row r="232" spans="20:21">
      <c r="T232" s="8"/>
      <c r="U232" s="8"/>
    </row>
    <row r="233" spans="20:21">
      <c r="T233" s="8"/>
      <c r="U233" s="8"/>
    </row>
    <row r="234" spans="20:21">
      <c r="T234" s="8"/>
      <c r="U234" s="8"/>
    </row>
    <row r="235" spans="20:21">
      <c r="T235" s="8"/>
      <c r="U235" s="8"/>
    </row>
    <row r="236" spans="20:21">
      <c r="T236" s="8"/>
      <c r="U236" s="8"/>
    </row>
    <row r="237" spans="20:21">
      <c r="T237" s="8"/>
      <c r="U237" s="8"/>
    </row>
    <row r="238" spans="20:21">
      <c r="T238" s="8"/>
      <c r="U238" s="8"/>
    </row>
    <row r="239" spans="20:21">
      <c r="T239" s="8"/>
      <c r="U239" s="8"/>
    </row>
    <row r="240" spans="20:21">
      <c r="T240" s="8"/>
      <c r="U240" s="8"/>
    </row>
    <row r="241" spans="20:21">
      <c r="T241" s="8"/>
      <c r="U241" s="8"/>
    </row>
    <row r="242" spans="20:21">
      <c r="T242" s="8"/>
      <c r="U242" s="8"/>
    </row>
    <row r="243" spans="20:21">
      <c r="T243" s="8"/>
      <c r="U243" s="8"/>
    </row>
    <row r="244" spans="20:21">
      <c r="T244" s="8"/>
      <c r="U244" s="8"/>
    </row>
    <row r="245" spans="20:21">
      <c r="T245" s="8"/>
      <c r="U245" s="8"/>
    </row>
    <row r="246" spans="20:21">
      <c r="T246" s="8"/>
      <c r="U246" s="8"/>
    </row>
    <row r="247" spans="20:21">
      <c r="T247" s="8"/>
      <c r="U247" s="8"/>
    </row>
    <row r="248" spans="20:21">
      <c r="T248" s="8"/>
      <c r="U248" s="8"/>
    </row>
    <row r="249" spans="20:21">
      <c r="T249" s="8"/>
      <c r="U249" s="8"/>
    </row>
    <row r="250" spans="20:21">
      <c r="T250" s="8"/>
      <c r="U250" s="8"/>
    </row>
    <row r="251" spans="20:21">
      <c r="T251" s="8"/>
      <c r="U251" s="8"/>
    </row>
    <row r="252" spans="20:21">
      <c r="T252" s="8"/>
      <c r="U252" s="8"/>
    </row>
    <row r="253" spans="20:21">
      <c r="T253" s="8"/>
      <c r="U253" s="8"/>
    </row>
    <row r="254" spans="20:21">
      <c r="T254" s="8"/>
      <c r="U254" s="8"/>
    </row>
    <row r="255" spans="20:21">
      <c r="T255" s="8"/>
      <c r="U255" s="8"/>
    </row>
    <row r="256" spans="20:21">
      <c r="T256" s="8"/>
      <c r="U256" s="8"/>
    </row>
    <row r="257" spans="20:21">
      <c r="T257" s="8"/>
      <c r="U257" s="8"/>
    </row>
    <row r="258" spans="20:21">
      <c r="T258" s="8"/>
      <c r="U258" s="8"/>
    </row>
    <row r="259" spans="20:21">
      <c r="T259" s="8"/>
      <c r="U259" s="8"/>
    </row>
    <row r="260" spans="20:21">
      <c r="T260" s="8"/>
      <c r="U260" s="8"/>
    </row>
    <row r="261" spans="20:21">
      <c r="T261" s="8"/>
      <c r="U261" s="8"/>
    </row>
    <row r="262" spans="20:21">
      <c r="T262" s="8"/>
      <c r="U262" s="8"/>
    </row>
    <row r="263" spans="20:21">
      <c r="T263" s="8"/>
      <c r="U263" s="8"/>
    </row>
    <row r="264" spans="20:21">
      <c r="T264" s="8"/>
      <c r="U264" s="8"/>
    </row>
    <row r="265" spans="20:21">
      <c r="T265" s="8"/>
      <c r="U265" s="8"/>
    </row>
    <row r="266" spans="20:21">
      <c r="T266" s="8"/>
      <c r="U266" s="8"/>
    </row>
    <row r="267" spans="20:21">
      <c r="T267" s="8"/>
      <c r="U267" s="8"/>
    </row>
    <row r="268" spans="20:21">
      <c r="T268" s="8"/>
      <c r="U268" s="8"/>
    </row>
    <row r="269" spans="20:21">
      <c r="T269" s="8"/>
      <c r="U269" s="8"/>
    </row>
    <row r="270" spans="20:21">
      <c r="T270" s="8"/>
      <c r="U270" s="8"/>
    </row>
    <row r="271" spans="20:21">
      <c r="T271" s="8"/>
      <c r="U271" s="8"/>
    </row>
    <row r="272" spans="20:21">
      <c r="T272" s="8"/>
      <c r="U272" s="8"/>
    </row>
    <row r="273" spans="20:21">
      <c r="T273" s="8"/>
      <c r="U273" s="8"/>
    </row>
    <row r="274" spans="20:21">
      <c r="T274" s="8"/>
      <c r="U274" s="8"/>
    </row>
    <row r="275" spans="20:21">
      <c r="T275" s="8"/>
      <c r="U275" s="8"/>
    </row>
    <row r="276" spans="20:21">
      <c r="T276" s="8"/>
      <c r="U276" s="8"/>
    </row>
    <row r="277" spans="20:21">
      <c r="T277" s="8"/>
      <c r="U277" s="8"/>
    </row>
    <row r="278" spans="20:21">
      <c r="T278" s="8"/>
      <c r="U278" s="8"/>
    </row>
    <row r="279" spans="20:21">
      <c r="T279" s="8"/>
      <c r="U279" s="8"/>
    </row>
    <row r="280" spans="20:21">
      <c r="T280" s="8"/>
      <c r="U280" s="8"/>
    </row>
    <row r="281" spans="20:21">
      <c r="T281" s="8"/>
      <c r="U281" s="8"/>
    </row>
    <row r="282" spans="20:21">
      <c r="T282" s="8"/>
      <c r="U282" s="8"/>
    </row>
    <row r="283" spans="20:21">
      <c r="T283" s="8"/>
      <c r="U283" s="8"/>
    </row>
    <row r="284" spans="20:21">
      <c r="T284" s="8"/>
      <c r="U284" s="8"/>
    </row>
    <row r="285" spans="20:21">
      <c r="T285" s="8"/>
      <c r="U285" s="8"/>
    </row>
    <row r="286" spans="20:21">
      <c r="T286" s="8"/>
      <c r="U286" s="8"/>
    </row>
    <row r="287" spans="20:21">
      <c r="T287" s="8"/>
      <c r="U287" s="8"/>
    </row>
    <row r="288" spans="20:21">
      <c r="T288" s="8"/>
      <c r="U288" s="8"/>
    </row>
    <row r="289" spans="20:21">
      <c r="T289" s="8"/>
      <c r="U289" s="8"/>
    </row>
    <row r="290" spans="20:21">
      <c r="T290" s="8"/>
      <c r="U290" s="8"/>
    </row>
    <row r="291" spans="20:21">
      <c r="T291" s="8"/>
      <c r="U291" s="8"/>
    </row>
    <row r="292" spans="20:21">
      <c r="T292" s="8"/>
      <c r="U292" s="8"/>
    </row>
    <row r="293" spans="20:21">
      <c r="T293" s="8"/>
      <c r="U293" s="8"/>
    </row>
    <row r="294" spans="20:21">
      <c r="T294" s="8"/>
      <c r="U294" s="8"/>
    </row>
    <row r="295" spans="20:21">
      <c r="T295" s="8"/>
      <c r="U295" s="8"/>
    </row>
    <row r="296" spans="20:21">
      <c r="T296" s="8"/>
      <c r="U296" s="8"/>
    </row>
    <row r="297" spans="20:21">
      <c r="T297" s="8"/>
      <c r="U297" s="8"/>
    </row>
    <row r="298" spans="20:21">
      <c r="T298" s="8"/>
      <c r="U298" s="8"/>
    </row>
    <row r="299" spans="20:21">
      <c r="T299" s="8"/>
      <c r="U299" s="8"/>
    </row>
    <row r="300" spans="20:21">
      <c r="T300" s="8"/>
      <c r="U300" s="8"/>
    </row>
    <row r="301" spans="20:21">
      <c r="T301" s="8"/>
      <c r="U301" s="8"/>
    </row>
    <row r="302" spans="20:21">
      <c r="T302" s="8"/>
      <c r="U302" s="8"/>
    </row>
    <row r="303" spans="20:21">
      <c r="T303" s="8"/>
      <c r="U303" s="8"/>
    </row>
    <row r="304" spans="20:21">
      <c r="T304" s="8"/>
      <c r="U304" s="8"/>
    </row>
    <row r="305" spans="20:21">
      <c r="T305" s="8"/>
      <c r="U305" s="8"/>
    </row>
    <row r="306" spans="20:21">
      <c r="T306" s="8"/>
      <c r="U306" s="8"/>
    </row>
    <row r="307" spans="20:21">
      <c r="T307" s="8"/>
      <c r="U307" s="8"/>
    </row>
    <row r="308" spans="20:21">
      <c r="T308" s="8"/>
      <c r="U308" s="8"/>
    </row>
    <row r="309" spans="20:21">
      <c r="T309" s="8"/>
      <c r="U309" s="8"/>
    </row>
    <row r="310" spans="20:21">
      <c r="T310" s="8"/>
      <c r="U310" s="8"/>
    </row>
    <row r="311" spans="20:21">
      <c r="T311" s="8"/>
      <c r="U311" s="8"/>
    </row>
    <row r="312" spans="20:21">
      <c r="T312" s="8"/>
      <c r="U312" s="8"/>
    </row>
    <row r="313" spans="20:21">
      <c r="T313" s="8"/>
      <c r="U313" s="8"/>
    </row>
    <row r="314" spans="20:21">
      <c r="T314" s="8"/>
      <c r="U314" s="8"/>
    </row>
    <row r="315" spans="20:21">
      <c r="T315" s="8"/>
      <c r="U315" s="8"/>
    </row>
    <row r="316" spans="20:21">
      <c r="T316" s="8"/>
      <c r="U316" s="8"/>
    </row>
    <row r="317" spans="20:21">
      <c r="T317" s="8"/>
      <c r="U317" s="8"/>
    </row>
    <row r="318" spans="20:21">
      <c r="T318" s="8"/>
      <c r="U318" s="8"/>
    </row>
    <row r="319" spans="20:21">
      <c r="T319" s="8"/>
      <c r="U319" s="8"/>
    </row>
    <row r="320" spans="20:21">
      <c r="T320" s="8"/>
      <c r="U320" s="8"/>
    </row>
    <row r="321" spans="20:21">
      <c r="T321" s="8"/>
      <c r="U321" s="8"/>
    </row>
    <row r="322" spans="20:21">
      <c r="T322" s="8"/>
      <c r="U322" s="8"/>
    </row>
    <row r="323" spans="20:21">
      <c r="T323" s="8"/>
      <c r="U323" s="8"/>
    </row>
    <row r="324" spans="20:21">
      <c r="T324" s="8"/>
      <c r="U324" s="8"/>
    </row>
    <row r="325" spans="20:21">
      <c r="T325" s="8"/>
      <c r="U325" s="8"/>
    </row>
    <row r="326" spans="20:21">
      <c r="T326" s="8"/>
      <c r="U326" s="8"/>
    </row>
    <row r="327" spans="20:21">
      <c r="T327" s="8"/>
      <c r="U327" s="8"/>
    </row>
    <row r="328" spans="20:21">
      <c r="T328" s="8"/>
      <c r="U328" s="8"/>
    </row>
    <row r="329" spans="20:21">
      <c r="T329" s="8"/>
      <c r="U329" s="8"/>
    </row>
    <row r="330" spans="20:21">
      <c r="T330" s="8"/>
      <c r="U330" s="8"/>
    </row>
    <row r="331" spans="20:21">
      <c r="T331" s="8"/>
      <c r="U331" s="8"/>
    </row>
    <row r="332" spans="20:21">
      <c r="T332" s="8"/>
      <c r="U332" s="8"/>
    </row>
    <row r="333" spans="20:21">
      <c r="T333" s="8"/>
      <c r="U333" s="8"/>
    </row>
    <row r="334" spans="20:21">
      <c r="T334" s="8"/>
      <c r="U334" s="8"/>
    </row>
    <row r="335" spans="20:21">
      <c r="T335" s="8"/>
      <c r="U335" s="8"/>
    </row>
    <row r="336" spans="20:21">
      <c r="T336" s="8"/>
      <c r="U336" s="8"/>
    </row>
    <row r="337" spans="20:21">
      <c r="T337" s="8"/>
      <c r="U337" s="8"/>
    </row>
    <row r="338" spans="20:21">
      <c r="T338" s="8"/>
      <c r="U338" s="8"/>
    </row>
    <row r="339" spans="20:21">
      <c r="T339" s="8"/>
      <c r="U339" s="8"/>
    </row>
    <row r="340" spans="20:21">
      <c r="T340" s="8"/>
      <c r="U340" s="8"/>
    </row>
    <row r="341" spans="20:21">
      <c r="T341" s="8"/>
      <c r="U341" s="8"/>
    </row>
    <row r="342" spans="20:21">
      <c r="T342" s="8"/>
      <c r="U342" s="8"/>
    </row>
    <row r="343" spans="20:21">
      <c r="T343" s="8"/>
      <c r="U343" s="8"/>
    </row>
    <row r="344" spans="20:21">
      <c r="T344" s="8"/>
      <c r="U344" s="8"/>
    </row>
    <row r="345" spans="20:21">
      <c r="T345" s="8"/>
      <c r="U345" s="8"/>
    </row>
    <row r="346" spans="20:21">
      <c r="T346" s="8"/>
      <c r="U346" s="8"/>
    </row>
    <row r="347" spans="20:21">
      <c r="T347" s="8"/>
      <c r="U347" s="8"/>
    </row>
    <row r="348" spans="20:21">
      <c r="T348" s="8"/>
      <c r="U348" s="8"/>
    </row>
    <row r="349" spans="20:21">
      <c r="T349" s="8"/>
      <c r="U349" s="8"/>
    </row>
    <row r="350" spans="20:21">
      <c r="T350" s="8"/>
      <c r="U350" s="8"/>
    </row>
    <row r="351" spans="20:21">
      <c r="T351" s="8"/>
      <c r="U351" s="8"/>
    </row>
    <row r="352" spans="20:21">
      <c r="T352" s="8"/>
      <c r="U352" s="8"/>
    </row>
    <row r="353" spans="20:21">
      <c r="T353" s="8"/>
      <c r="U353" s="8"/>
    </row>
    <row r="354" spans="20:21">
      <c r="T354" s="8"/>
      <c r="U354" s="8"/>
    </row>
    <row r="355" spans="20:21">
      <c r="T355" s="8"/>
      <c r="U355" s="8"/>
    </row>
    <row r="356" spans="20:21">
      <c r="T356" s="8"/>
      <c r="U356" s="8"/>
    </row>
    <row r="357" spans="20:21">
      <c r="T357" s="8"/>
      <c r="U357" s="8"/>
    </row>
    <row r="358" spans="20:21">
      <c r="T358" s="8"/>
      <c r="U358" s="8"/>
    </row>
    <row r="359" spans="20:21">
      <c r="T359" s="8"/>
      <c r="U359" s="8"/>
    </row>
    <row r="360" spans="20:21">
      <c r="T360" s="8"/>
      <c r="U360" s="8"/>
    </row>
    <row r="361" spans="20:21">
      <c r="T361" s="8"/>
      <c r="U361" s="8"/>
    </row>
    <row r="362" spans="20:21">
      <c r="T362" s="8"/>
      <c r="U362" s="8"/>
    </row>
    <row r="363" spans="20:21">
      <c r="T363" s="8"/>
      <c r="U363" s="8"/>
    </row>
    <row r="364" spans="20:21">
      <c r="T364" s="8"/>
      <c r="U364" s="8"/>
    </row>
    <row r="365" spans="20:21">
      <c r="T365" s="8"/>
      <c r="U365" s="8"/>
    </row>
    <row r="366" spans="20:21">
      <c r="T366" s="8"/>
      <c r="U366" s="8"/>
    </row>
    <row r="367" spans="20:21">
      <c r="T367" s="8"/>
      <c r="U367" s="8"/>
    </row>
    <row r="368" spans="20:21">
      <c r="T368" s="8"/>
      <c r="U368" s="8"/>
    </row>
    <row r="369" spans="20:21">
      <c r="T369" s="8"/>
      <c r="U369" s="8"/>
    </row>
    <row r="370" spans="20:21">
      <c r="T370" s="8"/>
      <c r="U370" s="8"/>
    </row>
    <row r="371" spans="20:21">
      <c r="T371" s="8"/>
      <c r="U371" s="8"/>
    </row>
    <row r="372" spans="20:21">
      <c r="T372" s="8"/>
      <c r="U372" s="8"/>
    </row>
    <row r="373" spans="20:21">
      <c r="T373" s="8"/>
      <c r="U373" s="8"/>
    </row>
    <row r="374" spans="20:21">
      <c r="T374" s="8"/>
      <c r="U374" s="8"/>
    </row>
    <row r="375" spans="20:21">
      <c r="T375" s="8"/>
      <c r="U375" s="8"/>
    </row>
    <row r="376" spans="20:21">
      <c r="T376" s="8"/>
      <c r="U376" s="8"/>
    </row>
    <row r="377" spans="20:21">
      <c r="T377" s="8"/>
      <c r="U377" s="8"/>
    </row>
    <row r="378" spans="20:21">
      <c r="T378" s="8"/>
      <c r="U378" s="8"/>
    </row>
    <row r="379" spans="20:21">
      <c r="T379" s="8"/>
      <c r="U379" s="8"/>
    </row>
    <row r="380" spans="20:21">
      <c r="T380" s="8"/>
      <c r="U380" s="8"/>
    </row>
    <row r="381" spans="20:21">
      <c r="T381" s="8"/>
      <c r="U381" s="8"/>
    </row>
    <row r="382" spans="20:21">
      <c r="T382" s="8"/>
      <c r="U382" s="8"/>
    </row>
    <row r="383" spans="20:21">
      <c r="T383" s="8"/>
      <c r="U383" s="8"/>
    </row>
    <row r="384" spans="20:21">
      <c r="T384" s="8"/>
      <c r="U384" s="8"/>
    </row>
    <row r="385" spans="20:21">
      <c r="T385" s="8"/>
      <c r="U385" s="8"/>
    </row>
    <row r="386" spans="20:21">
      <c r="T386" s="8"/>
      <c r="U386" s="8"/>
    </row>
    <row r="387" spans="20:21">
      <c r="T387" s="8"/>
      <c r="U387" s="8"/>
    </row>
    <row r="388" spans="20:21">
      <c r="T388" s="8"/>
      <c r="U388" s="8"/>
    </row>
    <row r="389" spans="20:21">
      <c r="T389" s="8"/>
      <c r="U389" s="8"/>
    </row>
    <row r="390" spans="20:21">
      <c r="T390" s="8"/>
      <c r="U390" s="8"/>
    </row>
    <row r="391" spans="20:21">
      <c r="T391" s="8"/>
      <c r="U391" s="8"/>
    </row>
    <row r="392" spans="20:21">
      <c r="T392" s="8"/>
      <c r="U392" s="8"/>
    </row>
    <row r="393" spans="20:21">
      <c r="T393" s="8"/>
      <c r="U393" s="8"/>
    </row>
    <row r="394" spans="20:21">
      <c r="T394" s="8"/>
      <c r="U394" s="8"/>
    </row>
    <row r="395" spans="20:21">
      <c r="T395" s="8"/>
      <c r="U395" s="8"/>
    </row>
    <row r="396" spans="20:21">
      <c r="T396" s="8"/>
      <c r="U396" s="8"/>
    </row>
    <row r="397" spans="20:21">
      <c r="T397" s="8"/>
      <c r="U397" s="8"/>
    </row>
    <row r="398" spans="20:21">
      <c r="T398" s="8"/>
      <c r="U398" s="8"/>
    </row>
    <row r="399" spans="20:21">
      <c r="T399" s="8"/>
      <c r="U399" s="8"/>
    </row>
    <row r="400" spans="20:21">
      <c r="T400" s="8"/>
      <c r="U400" s="8"/>
    </row>
    <row r="401" spans="20:21">
      <c r="T401" s="8"/>
      <c r="U401" s="8"/>
    </row>
    <row r="402" spans="20:21">
      <c r="T402" s="8"/>
      <c r="U402" s="8"/>
    </row>
    <row r="403" spans="20:21">
      <c r="T403" s="8"/>
      <c r="U403" s="8"/>
    </row>
    <row r="404" spans="20:21">
      <c r="T404" s="8"/>
      <c r="U404" s="8"/>
    </row>
    <row r="405" spans="20:21">
      <c r="T405" s="8"/>
      <c r="U405" s="8"/>
    </row>
    <row r="406" spans="20:21">
      <c r="T406" s="8"/>
      <c r="U406" s="8"/>
    </row>
    <row r="407" spans="20:21">
      <c r="T407" s="8"/>
      <c r="U407" s="8"/>
    </row>
    <row r="408" spans="20:21">
      <c r="T408" s="8"/>
      <c r="U408" s="8"/>
    </row>
    <row r="409" spans="20:21">
      <c r="T409" s="8"/>
      <c r="U409" s="8"/>
    </row>
    <row r="410" spans="20:21">
      <c r="T410" s="8"/>
      <c r="U410" s="8"/>
    </row>
    <row r="411" spans="20:21">
      <c r="T411" s="8"/>
      <c r="U411" s="8"/>
    </row>
    <row r="412" spans="20:21">
      <c r="T412" s="8"/>
      <c r="U412" s="8"/>
    </row>
    <row r="413" spans="20:21">
      <c r="T413" s="8"/>
      <c r="U413" s="8"/>
    </row>
    <row r="414" spans="20:21">
      <c r="T414" s="8"/>
      <c r="U414" s="8"/>
    </row>
    <row r="415" spans="20:21">
      <c r="T415" s="8"/>
      <c r="U415" s="8"/>
    </row>
    <row r="416" spans="20:21">
      <c r="T416" s="8"/>
      <c r="U416" s="8"/>
    </row>
    <row r="417" spans="20:21">
      <c r="T417" s="8"/>
      <c r="U417" s="8"/>
    </row>
    <row r="418" spans="20:21">
      <c r="T418" s="8"/>
      <c r="U418" s="8"/>
    </row>
    <row r="419" spans="20:21">
      <c r="T419" s="8"/>
      <c r="U419" s="8"/>
    </row>
    <row r="420" spans="20:21">
      <c r="T420" s="8"/>
      <c r="U420" s="8"/>
    </row>
    <row r="421" spans="20:21">
      <c r="T421" s="8"/>
      <c r="U421" s="8"/>
    </row>
    <row r="422" spans="20:21">
      <c r="T422" s="8"/>
      <c r="U422" s="8"/>
    </row>
    <row r="423" spans="20:21">
      <c r="T423" s="8"/>
      <c r="U423" s="8"/>
    </row>
    <row r="424" spans="20:21">
      <c r="T424" s="8"/>
      <c r="U424" s="8"/>
    </row>
    <row r="425" spans="20:21">
      <c r="T425" s="8"/>
      <c r="U425" s="8"/>
    </row>
    <row r="426" spans="20:21">
      <c r="T426" s="8"/>
      <c r="U426" s="8"/>
    </row>
    <row r="427" spans="20:21">
      <c r="T427" s="8"/>
      <c r="U427" s="8"/>
    </row>
    <row r="428" spans="20:21">
      <c r="T428" s="8"/>
      <c r="U428" s="8"/>
    </row>
    <row r="429" spans="20:21">
      <c r="T429" s="8"/>
      <c r="U429" s="8"/>
    </row>
    <row r="430" spans="20:21">
      <c r="T430" s="8"/>
      <c r="U430" s="8"/>
    </row>
    <row r="431" spans="20:21">
      <c r="T431" s="8"/>
      <c r="U431" s="8"/>
    </row>
    <row r="432" spans="20:21">
      <c r="T432" s="8"/>
      <c r="U432" s="8"/>
    </row>
    <row r="433" spans="20:21">
      <c r="T433" s="8"/>
      <c r="U433" s="8"/>
    </row>
    <row r="434" spans="20:21">
      <c r="T434" s="8"/>
      <c r="U434" s="8"/>
    </row>
    <row r="435" spans="20:21">
      <c r="T435" s="8"/>
      <c r="U435" s="8"/>
    </row>
    <row r="436" spans="20:21">
      <c r="T436" s="8"/>
      <c r="U436" s="8"/>
    </row>
    <row r="437" spans="20:21">
      <c r="T437" s="8"/>
      <c r="U437" s="8"/>
    </row>
    <row r="438" spans="20:21">
      <c r="T438" s="8"/>
      <c r="U438" s="8"/>
    </row>
    <row r="439" spans="20:21">
      <c r="T439" s="8"/>
      <c r="U439" s="8"/>
    </row>
    <row r="440" spans="20:21">
      <c r="T440" s="8"/>
      <c r="U440" s="8"/>
    </row>
    <row r="441" spans="20:21">
      <c r="T441" s="8"/>
      <c r="U441" s="8"/>
    </row>
    <row r="442" spans="20:21">
      <c r="T442" s="8"/>
      <c r="U442" s="8"/>
    </row>
    <row r="443" spans="20:21">
      <c r="T443" s="8"/>
      <c r="U443" s="8"/>
    </row>
    <row r="444" spans="20:21">
      <c r="T444" s="8"/>
      <c r="U444" s="8"/>
    </row>
    <row r="445" spans="20:21">
      <c r="T445" s="8"/>
      <c r="U445" s="8"/>
    </row>
    <row r="446" spans="20:21">
      <c r="T446" s="8"/>
      <c r="U446" s="8"/>
    </row>
    <row r="447" spans="20:21">
      <c r="T447" s="8"/>
      <c r="U447" s="8"/>
    </row>
    <row r="448" spans="20:21">
      <c r="T448" s="8"/>
      <c r="U448" s="8"/>
    </row>
    <row r="449" spans="20:21">
      <c r="T449" s="8"/>
      <c r="U449" s="8"/>
    </row>
    <row r="450" spans="20:21">
      <c r="T450" s="8"/>
      <c r="U450" s="8"/>
    </row>
    <row r="451" spans="20:21">
      <c r="T451" s="8"/>
      <c r="U451" s="8"/>
    </row>
    <row r="452" spans="20:21">
      <c r="T452" s="8"/>
      <c r="U452" s="8"/>
    </row>
    <row r="453" spans="20:21">
      <c r="T453" s="8"/>
      <c r="U453" s="8"/>
    </row>
    <row r="454" spans="20:21">
      <c r="T454" s="8"/>
      <c r="U454" s="8"/>
    </row>
    <row r="455" spans="20:21">
      <c r="T455" s="8"/>
      <c r="U455" s="8"/>
    </row>
    <row r="456" spans="20:21">
      <c r="T456" s="8"/>
      <c r="U456" s="8"/>
    </row>
    <row r="457" spans="20:21">
      <c r="T457" s="8"/>
      <c r="U457" s="8"/>
    </row>
    <row r="458" spans="20:21">
      <c r="T458" s="8"/>
      <c r="U458" s="8"/>
    </row>
    <row r="459" spans="20:21">
      <c r="T459" s="8"/>
      <c r="U459" s="8"/>
    </row>
    <row r="460" spans="20:21">
      <c r="T460" s="8"/>
      <c r="U460" s="8"/>
    </row>
    <row r="461" spans="20:21">
      <c r="T461" s="8"/>
      <c r="U461" s="8"/>
    </row>
    <row r="462" spans="20:21">
      <c r="T462" s="8"/>
      <c r="U462" s="8"/>
    </row>
    <row r="463" spans="20:21">
      <c r="T463" s="8"/>
      <c r="U463" s="8"/>
    </row>
    <row r="464" spans="20:21">
      <c r="T464" s="8"/>
      <c r="U464" s="8"/>
    </row>
    <row r="465" spans="20:21">
      <c r="T465" s="8"/>
      <c r="U465" s="8"/>
    </row>
    <row r="466" spans="20:21">
      <c r="T466" s="8"/>
      <c r="U466" s="8"/>
    </row>
    <row r="467" spans="20:21">
      <c r="T467" s="8"/>
      <c r="U467" s="8"/>
    </row>
    <row r="468" spans="20:21">
      <c r="T468" s="8"/>
      <c r="U468" s="8"/>
    </row>
    <row r="469" spans="20:21">
      <c r="T469" s="8"/>
      <c r="U469" s="8"/>
    </row>
    <row r="470" spans="20:21">
      <c r="T470" s="8"/>
      <c r="U470" s="8"/>
    </row>
    <row r="471" spans="20:21">
      <c r="T471" s="8"/>
      <c r="U471" s="8"/>
    </row>
    <row r="472" spans="20:21">
      <c r="T472" s="8"/>
      <c r="U472" s="8"/>
    </row>
    <row r="473" spans="20:21">
      <c r="T473" s="8"/>
      <c r="U473" s="8"/>
    </row>
    <row r="474" spans="20:21">
      <c r="T474" s="8"/>
      <c r="U474" s="8"/>
    </row>
    <row r="475" spans="20:21">
      <c r="T475" s="8"/>
      <c r="U475" s="8"/>
    </row>
    <row r="476" spans="20:21">
      <c r="T476" s="8"/>
      <c r="U476" s="8"/>
    </row>
    <row r="477" spans="20:21">
      <c r="T477" s="8"/>
      <c r="U477" s="8"/>
    </row>
    <row r="478" spans="20:21">
      <c r="T478" s="8"/>
      <c r="U478" s="8"/>
    </row>
    <row r="479" spans="20:21">
      <c r="T479" s="8"/>
      <c r="U479" s="8"/>
    </row>
    <row r="480" spans="20:21">
      <c r="T480" s="8"/>
      <c r="U480" s="8"/>
    </row>
    <row r="481" spans="20:21">
      <c r="T481" s="8"/>
      <c r="U481" s="8"/>
    </row>
    <row r="482" spans="20:21">
      <c r="T482" s="8"/>
      <c r="U482" s="8"/>
    </row>
    <row r="483" spans="20:21">
      <c r="T483" s="8"/>
      <c r="U483" s="8"/>
    </row>
    <row r="484" spans="20:21">
      <c r="T484" s="8"/>
      <c r="U484" s="8"/>
    </row>
    <row r="485" spans="20:21">
      <c r="T485" s="8"/>
      <c r="U485" s="8"/>
    </row>
    <row r="486" spans="20:21">
      <c r="T486" s="8"/>
      <c r="U486" s="8"/>
    </row>
    <row r="487" spans="20:21">
      <c r="T487" s="8"/>
      <c r="U487" s="8"/>
    </row>
    <row r="488" spans="20:21">
      <c r="T488" s="8"/>
      <c r="U488" s="8"/>
    </row>
    <row r="489" spans="20:21">
      <c r="T489" s="8"/>
      <c r="U489" s="8"/>
    </row>
    <row r="490" spans="20:21">
      <c r="T490" s="8"/>
      <c r="U490" s="8"/>
    </row>
    <row r="491" spans="20:21">
      <c r="T491" s="8"/>
      <c r="U491" s="8"/>
    </row>
    <row r="492" spans="20:21">
      <c r="T492" s="8"/>
      <c r="U492" s="8"/>
    </row>
    <row r="493" spans="20:21">
      <c r="T493" s="8"/>
      <c r="U493" s="8"/>
    </row>
    <row r="494" spans="20:21">
      <c r="T494" s="8"/>
      <c r="U494" s="8"/>
    </row>
    <row r="495" spans="20:21">
      <c r="T495" s="8"/>
      <c r="U495" s="8"/>
    </row>
    <row r="496" spans="20:21">
      <c r="T496" s="8"/>
      <c r="U496" s="8"/>
    </row>
    <row r="497" spans="20:21">
      <c r="T497" s="8"/>
      <c r="U497" s="8"/>
    </row>
    <row r="498" spans="20:21">
      <c r="T498" s="8"/>
      <c r="U498" s="8"/>
    </row>
    <row r="499" spans="20:21">
      <c r="T499" s="8"/>
      <c r="U499" s="8"/>
    </row>
    <row r="500" spans="20:21">
      <c r="T500" s="8"/>
      <c r="U500" s="8"/>
    </row>
    <row r="501" spans="20:21">
      <c r="T501" s="8"/>
      <c r="U501" s="8"/>
    </row>
    <row r="502" spans="20:21">
      <c r="T502" s="8"/>
      <c r="U502" s="8"/>
    </row>
    <row r="503" spans="20:21">
      <c r="T503" s="8"/>
      <c r="U503" s="8"/>
    </row>
    <row r="504" spans="20:21">
      <c r="T504" s="8"/>
      <c r="U504" s="8"/>
    </row>
    <row r="505" spans="20:21">
      <c r="T505" s="8"/>
      <c r="U505" s="8"/>
    </row>
    <row r="506" spans="20:21">
      <c r="T506" s="8"/>
      <c r="U506" s="8"/>
    </row>
    <row r="507" spans="20:21">
      <c r="T507" s="8"/>
      <c r="U507" s="8"/>
    </row>
    <row r="508" spans="20:21">
      <c r="T508" s="8"/>
      <c r="U508" s="8"/>
    </row>
    <row r="509" spans="20:21">
      <c r="T509" s="8"/>
      <c r="U509" s="8"/>
    </row>
    <row r="510" spans="20:21">
      <c r="T510" s="8"/>
      <c r="U510" s="8"/>
    </row>
    <row r="511" spans="20:21">
      <c r="T511" s="8"/>
      <c r="U511" s="8"/>
    </row>
    <row r="512" spans="20:21">
      <c r="T512" s="8"/>
      <c r="U512" s="8"/>
    </row>
    <row r="513" spans="20:21">
      <c r="T513" s="8"/>
      <c r="U513" s="8"/>
    </row>
    <row r="514" spans="20:21">
      <c r="T514" s="8"/>
      <c r="U514" s="8"/>
    </row>
    <row r="515" spans="20:21">
      <c r="T515" s="8"/>
      <c r="U515" s="8"/>
    </row>
    <row r="516" spans="20:21">
      <c r="T516" s="8"/>
      <c r="U516" s="8"/>
    </row>
    <row r="517" spans="20:21">
      <c r="T517" s="8"/>
      <c r="U517" s="8"/>
    </row>
    <row r="518" spans="20:21">
      <c r="T518" s="8"/>
      <c r="U518" s="8"/>
    </row>
    <row r="519" spans="20:21">
      <c r="T519" s="8"/>
      <c r="U519" s="8"/>
    </row>
    <row r="520" spans="20:21">
      <c r="T520" s="8"/>
      <c r="U520" s="8"/>
    </row>
    <row r="521" spans="20:21">
      <c r="T521" s="8"/>
      <c r="U521" s="8"/>
    </row>
    <row r="522" spans="20:21">
      <c r="T522" s="8"/>
      <c r="U522" s="8"/>
    </row>
    <row r="523" spans="20:21">
      <c r="T523" s="8"/>
      <c r="U523" s="8"/>
    </row>
    <row r="524" spans="20:21">
      <c r="T524" s="8"/>
      <c r="U524" s="8"/>
    </row>
    <row r="525" spans="20:21">
      <c r="T525" s="8"/>
      <c r="U525" s="8"/>
    </row>
    <row r="526" spans="20:21">
      <c r="T526" s="8"/>
      <c r="U526" s="8"/>
    </row>
    <row r="527" spans="20:21">
      <c r="T527" s="8"/>
      <c r="U527" s="8"/>
    </row>
    <row r="528" spans="20:21">
      <c r="T528" s="8"/>
      <c r="U528" s="8"/>
    </row>
    <row r="529" spans="20:21">
      <c r="T529" s="8"/>
      <c r="U529" s="8"/>
    </row>
    <row r="530" spans="20:21">
      <c r="T530" s="8"/>
      <c r="U530" s="8"/>
    </row>
    <row r="531" spans="20:21">
      <c r="T531" s="8"/>
      <c r="U531" s="8"/>
    </row>
    <row r="532" spans="20:21">
      <c r="T532" s="8"/>
      <c r="U532" s="8"/>
    </row>
    <row r="533" spans="20:21">
      <c r="T533" s="8"/>
      <c r="U533" s="8"/>
    </row>
    <row r="534" spans="20:21">
      <c r="T534" s="8"/>
      <c r="U534" s="8"/>
    </row>
    <row r="535" spans="20:21">
      <c r="T535" s="8"/>
      <c r="U535" s="8"/>
    </row>
    <row r="536" spans="20:21">
      <c r="T536" s="8"/>
      <c r="U536" s="8"/>
    </row>
    <row r="537" spans="20:21">
      <c r="T537" s="8"/>
      <c r="U537" s="8"/>
    </row>
    <row r="538" spans="20:21">
      <c r="T538" s="8"/>
      <c r="U538" s="8"/>
    </row>
    <row r="539" spans="20:21">
      <c r="T539" s="8"/>
      <c r="U539" s="8"/>
    </row>
    <row r="540" spans="20:21">
      <c r="T540" s="8"/>
      <c r="U540" s="8"/>
    </row>
    <row r="541" spans="20:21">
      <c r="T541" s="8"/>
      <c r="U541" s="8"/>
    </row>
    <row r="542" spans="20:21">
      <c r="T542" s="8"/>
      <c r="U542" s="8"/>
    </row>
    <row r="543" spans="20:21">
      <c r="T543" s="8"/>
      <c r="U543" s="8"/>
    </row>
    <row r="544" spans="20:21">
      <c r="T544" s="8"/>
      <c r="U544" s="8"/>
    </row>
    <row r="545" spans="20:21">
      <c r="T545" s="8"/>
      <c r="U545" s="8"/>
    </row>
    <row r="546" spans="20:21">
      <c r="T546" s="8"/>
      <c r="U546" s="8"/>
    </row>
    <row r="547" spans="20:21">
      <c r="T547" s="8"/>
      <c r="U547" s="8"/>
    </row>
    <row r="548" spans="20:21">
      <c r="T548" s="8"/>
      <c r="U548" s="8"/>
    </row>
    <row r="549" spans="20:21">
      <c r="T549" s="8"/>
      <c r="U549" s="8"/>
    </row>
    <row r="550" spans="20:21">
      <c r="T550" s="8"/>
      <c r="U550" s="8"/>
    </row>
    <row r="551" spans="20:21">
      <c r="T551" s="8"/>
      <c r="U551" s="8"/>
    </row>
    <row r="552" spans="20:21">
      <c r="T552" s="8"/>
      <c r="U552" s="8"/>
    </row>
    <row r="553" spans="20:21">
      <c r="T553" s="8"/>
      <c r="U553" s="8"/>
    </row>
    <row r="554" spans="20:21">
      <c r="T554" s="8"/>
      <c r="U554" s="8"/>
    </row>
    <row r="555" spans="20:21">
      <c r="T555" s="8"/>
      <c r="U555" s="8"/>
    </row>
    <row r="556" spans="20:21">
      <c r="T556" s="8"/>
      <c r="U556" s="8"/>
    </row>
    <row r="557" spans="20:21">
      <c r="T557" s="8"/>
      <c r="U557" s="8"/>
    </row>
    <row r="558" spans="20:21">
      <c r="T558" s="8"/>
      <c r="U558" s="8"/>
    </row>
    <row r="559" spans="20:21">
      <c r="T559" s="8"/>
      <c r="U559" s="8"/>
    </row>
    <row r="560" spans="20:21">
      <c r="T560" s="8"/>
      <c r="U560" s="8"/>
    </row>
    <row r="561" spans="20:21">
      <c r="T561" s="8"/>
      <c r="U561" s="8"/>
    </row>
    <row r="562" spans="20:21">
      <c r="T562" s="8"/>
      <c r="U562" s="8"/>
    </row>
    <row r="563" spans="20:21">
      <c r="T563" s="8"/>
      <c r="U563" s="8"/>
    </row>
    <row r="564" spans="20:21">
      <c r="T564" s="8"/>
      <c r="U564" s="8"/>
    </row>
    <row r="565" spans="20:21">
      <c r="T565" s="8"/>
      <c r="U565" s="8"/>
    </row>
    <row r="566" spans="20:21">
      <c r="T566" s="8"/>
      <c r="U566" s="8"/>
    </row>
    <row r="567" spans="20:21">
      <c r="T567" s="8"/>
      <c r="U567" s="8"/>
    </row>
    <row r="568" spans="20:21">
      <c r="T568" s="8"/>
      <c r="U568" s="8"/>
    </row>
    <row r="569" spans="20:21">
      <c r="T569" s="8"/>
      <c r="U569" s="8"/>
    </row>
    <row r="570" spans="20:21">
      <c r="T570" s="8"/>
      <c r="U570" s="8"/>
    </row>
    <row r="571" spans="20:21">
      <c r="T571" s="8"/>
      <c r="U571" s="8"/>
    </row>
    <row r="572" spans="20:21">
      <c r="T572" s="8"/>
      <c r="U572" s="8"/>
    </row>
    <row r="573" spans="20:21">
      <c r="T573" s="8"/>
      <c r="U573" s="8"/>
    </row>
    <row r="574" spans="20:21">
      <c r="T574" s="8"/>
      <c r="U574" s="8"/>
    </row>
    <row r="575" spans="20:21">
      <c r="T575" s="8"/>
      <c r="U575" s="8"/>
    </row>
    <row r="576" spans="20:21">
      <c r="T576" s="8"/>
      <c r="U576" s="8"/>
    </row>
    <row r="577" spans="20:21">
      <c r="T577" s="8"/>
      <c r="U577" s="8"/>
    </row>
    <row r="578" spans="20:21">
      <c r="T578" s="8"/>
      <c r="U578" s="8"/>
    </row>
    <row r="579" spans="20:21">
      <c r="T579" s="8"/>
      <c r="U579" s="8"/>
    </row>
    <row r="580" spans="20:21">
      <c r="T580" s="8"/>
      <c r="U580" s="8"/>
    </row>
    <row r="581" spans="20:21">
      <c r="T581" s="8"/>
      <c r="U581" s="8"/>
    </row>
    <row r="582" spans="20:21">
      <c r="T582" s="8"/>
      <c r="U582" s="8"/>
    </row>
    <row r="583" spans="20:21">
      <c r="T583" s="8"/>
      <c r="U583" s="8"/>
    </row>
    <row r="584" spans="20:21">
      <c r="T584" s="8"/>
      <c r="U584" s="8"/>
    </row>
    <row r="585" spans="20:21">
      <c r="T585" s="8"/>
      <c r="U585" s="8"/>
    </row>
    <row r="586" spans="20:21">
      <c r="T586" s="8"/>
      <c r="U586" s="8"/>
    </row>
    <row r="587" spans="20:21">
      <c r="T587" s="8"/>
      <c r="U587" s="8"/>
    </row>
    <row r="588" spans="20:21">
      <c r="T588" s="8"/>
      <c r="U588" s="8"/>
    </row>
    <row r="589" spans="20:21">
      <c r="T589" s="8"/>
      <c r="U589" s="8"/>
    </row>
    <row r="590" spans="20:21">
      <c r="T590" s="8"/>
      <c r="U590" s="8"/>
    </row>
    <row r="591" spans="20:21">
      <c r="T591" s="8"/>
      <c r="U591" s="8"/>
    </row>
    <row r="592" spans="20:21">
      <c r="T592" s="8"/>
      <c r="U592" s="8"/>
    </row>
    <row r="593" spans="20:21">
      <c r="T593" s="8"/>
      <c r="U593" s="8"/>
    </row>
    <row r="594" spans="20:21">
      <c r="T594" s="8"/>
      <c r="U594" s="8"/>
    </row>
    <row r="595" spans="20:21">
      <c r="T595" s="8"/>
      <c r="U595" s="8"/>
    </row>
    <row r="596" spans="20:21">
      <c r="T596" s="8"/>
      <c r="U596" s="8"/>
    </row>
    <row r="597" spans="20:21">
      <c r="T597" s="8"/>
      <c r="U597" s="8"/>
    </row>
    <row r="598" spans="20:21">
      <c r="T598" s="8"/>
      <c r="U598" s="8"/>
    </row>
    <row r="599" spans="20:21">
      <c r="T599" s="8"/>
      <c r="U599" s="8"/>
    </row>
    <row r="600" spans="20:21">
      <c r="T600" s="8"/>
      <c r="U600" s="8"/>
    </row>
    <row r="601" spans="20:21">
      <c r="T601" s="8"/>
      <c r="U601" s="8"/>
    </row>
    <row r="602" spans="20:21">
      <c r="T602" s="8"/>
      <c r="U602" s="8"/>
    </row>
    <row r="603" spans="20:21">
      <c r="T603" s="8"/>
      <c r="U603" s="8"/>
    </row>
    <row r="604" spans="20:21">
      <c r="T604" s="8"/>
      <c r="U604" s="8"/>
    </row>
    <row r="605" spans="20:21">
      <c r="T605" s="8"/>
      <c r="U605" s="8"/>
    </row>
    <row r="606" spans="20:21">
      <c r="T606" s="8"/>
      <c r="U606" s="8"/>
    </row>
    <row r="607" spans="20:21">
      <c r="T607" s="8"/>
      <c r="U607" s="8"/>
    </row>
    <row r="608" spans="20:21">
      <c r="T608" s="8"/>
      <c r="U608" s="8"/>
    </row>
    <row r="609" spans="20:21">
      <c r="T609" s="8"/>
      <c r="U609" s="8"/>
    </row>
    <row r="610" spans="20:21">
      <c r="T610" s="8"/>
      <c r="U610" s="8"/>
    </row>
    <row r="611" spans="20:21">
      <c r="T611" s="8"/>
      <c r="U611" s="8"/>
    </row>
    <row r="612" spans="20:21">
      <c r="T612" s="8"/>
      <c r="U612" s="8"/>
    </row>
    <row r="613" spans="20:21">
      <c r="T613" s="8"/>
      <c r="U613" s="8"/>
    </row>
    <row r="614" spans="20:21">
      <c r="T614" s="8"/>
      <c r="U614" s="8"/>
    </row>
    <row r="615" spans="20:21">
      <c r="T615" s="8"/>
      <c r="U615" s="8"/>
    </row>
    <row r="616" spans="20:21">
      <c r="T616" s="8"/>
      <c r="U616" s="8"/>
    </row>
    <row r="617" spans="20:21">
      <c r="T617" s="8"/>
      <c r="U617" s="8"/>
    </row>
    <row r="618" spans="20:21">
      <c r="T618" s="8"/>
      <c r="U618" s="8"/>
    </row>
    <row r="619" spans="20:21">
      <c r="T619" s="8"/>
      <c r="U619" s="8"/>
    </row>
    <row r="620" spans="20:21">
      <c r="T620" s="8"/>
      <c r="U620" s="8"/>
    </row>
    <row r="621" spans="20:21">
      <c r="T621" s="8"/>
      <c r="U621" s="8"/>
    </row>
    <row r="622" spans="20:21">
      <c r="T622" s="8"/>
      <c r="U622" s="8"/>
    </row>
    <row r="623" spans="20:21">
      <c r="T623" s="8"/>
      <c r="U623" s="8"/>
    </row>
    <row r="624" spans="20:21">
      <c r="T624" s="8"/>
      <c r="U624" s="8"/>
    </row>
    <row r="625" spans="20:21">
      <c r="T625" s="8"/>
      <c r="U625" s="8"/>
    </row>
    <row r="626" spans="20:21">
      <c r="T626" s="8"/>
      <c r="U626" s="8"/>
    </row>
    <row r="627" spans="20:21">
      <c r="T627" s="8"/>
      <c r="U627" s="8"/>
    </row>
    <row r="628" spans="20:21">
      <c r="T628" s="8"/>
      <c r="U628" s="8"/>
    </row>
    <row r="629" spans="20:21">
      <c r="T629" s="8"/>
      <c r="U629" s="8"/>
    </row>
    <row r="630" spans="20:21">
      <c r="T630" s="8"/>
      <c r="U630" s="8"/>
    </row>
    <row r="631" spans="20:21">
      <c r="T631" s="8"/>
      <c r="U631" s="8"/>
    </row>
    <row r="632" spans="20:21">
      <c r="T632" s="8"/>
      <c r="U632" s="8"/>
    </row>
    <row r="633" spans="20:21">
      <c r="T633" s="8"/>
      <c r="U633" s="8"/>
    </row>
    <row r="634" spans="20:21">
      <c r="T634" s="8"/>
      <c r="U634" s="8"/>
    </row>
    <row r="635" spans="20:21">
      <c r="T635" s="8"/>
      <c r="U635" s="8"/>
    </row>
    <row r="636" spans="20:21">
      <c r="T636" s="8"/>
      <c r="U636" s="8"/>
    </row>
    <row r="637" spans="20:21">
      <c r="T637" s="8"/>
      <c r="U637" s="8"/>
    </row>
    <row r="638" spans="20:21">
      <c r="T638" s="8"/>
      <c r="U638" s="8"/>
    </row>
    <row r="639" spans="20:21">
      <c r="T639" s="8"/>
      <c r="U639" s="8"/>
    </row>
    <row r="640" spans="20:21">
      <c r="T640" s="8"/>
      <c r="U640" s="8"/>
    </row>
    <row r="641" spans="20:21">
      <c r="T641" s="8"/>
      <c r="U641" s="8"/>
    </row>
    <row r="642" spans="20:21">
      <c r="T642" s="8"/>
      <c r="U642" s="8"/>
    </row>
    <row r="643" spans="20:21">
      <c r="T643" s="8"/>
      <c r="U643" s="8"/>
    </row>
    <row r="644" spans="20:21">
      <c r="T644" s="8"/>
      <c r="U644" s="8"/>
    </row>
    <row r="645" spans="20:21">
      <c r="T645" s="8"/>
      <c r="U645" s="8"/>
    </row>
    <row r="646" spans="20:21">
      <c r="T646" s="8"/>
      <c r="U646" s="8"/>
    </row>
    <row r="647" spans="20:21">
      <c r="T647" s="8"/>
      <c r="U647" s="8"/>
    </row>
    <row r="648" spans="20:21">
      <c r="T648" s="8"/>
      <c r="U648" s="8"/>
    </row>
    <row r="649" spans="20:21">
      <c r="T649" s="8"/>
      <c r="U649" s="8"/>
    </row>
    <row r="650" spans="20:21">
      <c r="T650" s="8"/>
      <c r="U650" s="8"/>
    </row>
    <row r="651" spans="20:21">
      <c r="T651" s="8"/>
      <c r="U651" s="8"/>
    </row>
    <row r="652" spans="20:21">
      <c r="T652" s="8"/>
      <c r="U652" s="8"/>
    </row>
    <row r="653" spans="20:21">
      <c r="T653" s="8"/>
      <c r="U653" s="8"/>
    </row>
    <row r="654" spans="20:21">
      <c r="T654" s="8"/>
      <c r="U654" s="8"/>
    </row>
    <row r="655" spans="20:21">
      <c r="T655" s="8"/>
      <c r="U655" s="8"/>
    </row>
    <row r="656" spans="20:21">
      <c r="T656" s="8"/>
      <c r="U656" s="8"/>
    </row>
    <row r="657" spans="20:21">
      <c r="T657" s="8"/>
      <c r="U657" s="8"/>
    </row>
    <row r="658" spans="20:21">
      <c r="T658" s="8"/>
      <c r="U658" s="8"/>
    </row>
    <row r="659" spans="20:21">
      <c r="T659" s="8"/>
      <c r="U659" s="8"/>
    </row>
    <row r="660" spans="20:21">
      <c r="T660" s="8"/>
      <c r="U660" s="8"/>
    </row>
    <row r="661" spans="20:21">
      <c r="T661" s="8"/>
      <c r="U661" s="8"/>
    </row>
    <row r="662" spans="20:21">
      <c r="T662" s="8"/>
      <c r="U662" s="8"/>
    </row>
    <row r="663" spans="20:21">
      <c r="T663" s="8"/>
      <c r="U663" s="8"/>
    </row>
    <row r="664" spans="20:21">
      <c r="T664" s="8"/>
      <c r="U664" s="8"/>
    </row>
    <row r="665" spans="20:21">
      <c r="T665" s="8"/>
      <c r="U665" s="8"/>
    </row>
    <row r="666" spans="20:21">
      <c r="T666" s="8"/>
      <c r="U666" s="8"/>
    </row>
    <row r="667" spans="20:21">
      <c r="T667" s="8"/>
      <c r="U667" s="8"/>
    </row>
    <row r="668" spans="20:21">
      <c r="T668" s="8"/>
      <c r="U668" s="8"/>
    </row>
    <row r="669" spans="20:21">
      <c r="T669" s="8"/>
      <c r="U669" s="8"/>
    </row>
    <row r="670" spans="20:21">
      <c r="T670" s="8"/>
      <c r="U670" s="8"/>
    </row>
    <row r="671" spans="20:21">
      <c r="T671" s="8"/>
      <c r="U671" s="8"/>
    </row>
    <row r="672" spans="20:21">
      <c r="T672" s="8"/>
      <c r="U672" s="8"/>
    </row>
    <row r="673" spans="20:21">
      <c r="T673" s="8"/>
      <c r="U673" s="8"/>
    </row>
    <row r="674" spans="20:21">
      <c r="T674" s="8"/>
      <c r="U674" s="8"/>
    </row>
    <row r="675" spans="20:21">
      <c r="T675" s="8"/>
      <c r="U675" s="8"/>
    </row>
    <row r="676" spans="20:21">
      <c r="T676" s="8"/>
      <c r="U676" s="8"/>
    </row>
    <row r="677" spans="20:21">
      <c r="T677" s="8"/>
      <c r="U677" s="8"/>
    </row>
    <row r="678" spans="20:21">
      <c r="T678" s="8"/>
      <c r="U678" s="8"/>
    </row>
    <row r="679" spans="20:21">
      <c r="T679" s="8"/>
      <c r="U679" s="8"/>
    </row>
    <row r="680" spans="20:21">
      <c r="T680" s="8"/>
      <c r="U680" s="8"/>
    </row>
    <row r="681" spans="20:21">
      <c r="T681" s="8"/>
      <c r="U681" s="8"/>
    </row>
    <row r="682" spans="20:21">
      <c r="T682" s="8"/>
      <c r="U682" s="8"/>
    </row>
    <row r="683" spans="20:21">
      <c r="T683" s="8"/>
      <c r="U683" s="8"/>
    </row>
    <row r="684" spans="20:21">
      <c r="T684" s="8"/>
      <c r="U684" s="8"/>
    </row>
    <row r="685" spans="20:21">
      <c r="T685" s="8"/>
      <c r="U685" s="8"/>
    </row>
    <row r="686" spans="20:21">
      <c r="T686" s="8"/>
      <c r="U686" s="8"/>
    </row>
    <row r="687" spans="20:21">
      <c r="T687" s="8"/>
      <c r="U687" s="8"/>
    </row>
    <row r="688" spans="20:21">
      <c r="T688" s="8"/>
      <c r="U688" s="8"/>
    </row>
    <row r="689" spans="20:21">
      <c r="T689" s="8"/>
      <c r="U689" s="8"/>
    </row>
    <row r="690" spans="20:21">
      <c r="T690" s="8"/>
      <c r="U690" s="8"/>
    </row>
    <row r="691" spans="20:21">
      <c r="T691" s="8"/>
      <c r="U691" s="8"/>
    </row>
    <row r="692" spans="20:21">
      <c r="T692" s="8"/>
      <c r="U692" s="8"/>
    </row>
    <row r="693" spans="20:21">
      <c r="T693" s="8"/>
      <c r="U693" s="8"/>
    </row>
    <row r="694" spans="20:21">
      <c r="T694" s="8"/>
      <c r="U694" s="8"/>
    </row>
    <row r="695" spans="20:21">
      <c r="T695" s="8"/>
      <c r="U695" s="8"/>
    </row>
    <row r="696" spans="20:21">
      <c r="T696" s="8"/>
      <c r="U696" s="8"/>
    </row>
    <row r="697" spans="20:21">
      <c r="T697" s="8"/>
      <c r="U697" s="8"/>
    </row>
    <row r="698" spans="20:21">
      <c r="T698" s="8"/>
      <c r="U698" s="8"/>
    </row>
    <row r="699" spans="20:21">
      <c r="T699" s="8"/>
      <c r="U699" s="8"/>
    </row>
    <row r="700" spans="20:21">
      <c r="T700" s="8"/>
      <c r="U700" s="8"/>
    </row>
    <row r="701" spans="20:21">
      <c r="T701" s="8"/>
      <c r="U701" s="8"/>
    </row>
    <row r="702" spans="20:21">
      <c r="T702" s="8"/>
      <c r="U702" s="8"/>
    </row>
    <row r="703" spans="20:21">
      <c r="T703" s="8"/>
      <c r="U703" s="8"/>
    </row>
    <row r="704" spans="20:21">
      <c r="T704" s="8"/>
      <c r="U704" s="8"/>
    </row>
    <row r="705" spans="20:21">
      <c r="T705" s="8"/>
      <c r="U705" s="8"/>
    </row>
    <row r="706" spans="20:21">
      <c r="T706" s="8"/>
      <c r="U706" s="8"/>
    </row>
    <row r="707" spans="20:21">
      <c r="T707" s="8"/>
      <c r="U707" s="8"/>
    </row>
    <row r="708" spans="20:21">
      <c r="T708" s="8"/>
      <c r="U708" s="8"/>
    </row>
    <row r="709" spans="20:21">
      <c r="T709" s="8"/>
      <c r="U709" s="8"/>
    </row>
    <row r="710" spans="20:21">
      <c r="T710" s="8"/>
      <c r="U710" s="8"/>
    </row>
    <row r="711" spans="20:21">
      <c r="T711" s="8"/>
      <c r="U711" s="8"/>
    </row>
    <row r="712" spans="20:21">
      <c r="T712" s="8"/>
      <c r="U712" s="8"/>
    </row>
    <row r="713" spans="20:21">
      <c r="T713" s="8"/>
      <c r="U713" s="8"/>
    </row>
    <row r="714" spans="20:21">
      <c r="T714" s="8"/>
      <c r="U714" s="8"/>
    </row>
    <row r="715" spans="20:21">
      <c r="T715" s="8"/>
      <c r="U715" s="8"/>
    </row>
    <row r="716" spans="20:21">
      <c r="T716" s="8"/>
      <c r="U716" s="8"/>
    </row>
    <row r="717" spans="20:21">
      <c r="T717" s="8"/>
      <c r="U717" s="8"/>
    </row>
    <row r="718" spans="20:21">
      <c r="T718" s="8"/>
      <c r="U718" s="8"/>
    </row>
    <row r="719" spans="20:21">
      <c r="T719" s="8"/>
      <c r="U719" s="8"/>
    </row>
    <row r="720" spans="20:21">
      <c r="T720" s="8"/>
      <c r="U720" s="8"/>
    </row>
    <row r="721" spans="20:21">
      <c r="T721" s="8"/>
      <c r="U721" s="8"/>
    </row>
    <row r="722" spans="20:21">
      <c r="T722" s="8"/>
      <c r="U722" s="8"/>
    </row>
    <row r="723" spans="20:21">
      <c r="T723" s="8"/>
      <c r="U723" s="8"/>
    </row>
    <row r="724" spans="20:21">
      <c r="T724" s="8"/>
      <c r="U724" s="8"/>
    </row>
    <row r="725" spans="20:21">
      <c r="T725" s="8"/>
      <c r="U725" s="8"/>
    </row>
    <row r="726" spans="20:21">
      <c r="T726" s="8"/>
      <c r="U726" s="8"/>
    </row>
    <row r="727" spans="20:21">
      <c r="T727" s="8"/>
      <c r="U727" s="8"/>
    </row>
    <row r="728" spans="20:21">
      <c r="T728" s="8"/>
      <c r="U728" s="8"/>
    </row>
    <row r="729" spans="20:21">
      <c r="T729" s="8"/>
      <c r="U729" s="8"/>
    </row>
    <row r="730" spans="20:21">
      <c r="T730" s="8"/>
      <c r="U730" s="8"/>
    </row>
    <row r="731" spans="20:21">
      <c r="T731" s="8"/>
      <c r="U731" s="8"/>
    </row>
    <row r="732" spans="20:21">
      <c r="T732" s="8"/>
      <c r="U732" s="8"/>
    </row>
    <row r="733" spans="20:21">
      <c r="T733" s="8"/>
      <c r="U733" s="8"/>
    </row>
    <row r="734" spans="20:21">
      <c r="T734" s="8"/>
      <c r="U734" s="8"/>
    </row>
    <row r="735" spans="20:21">
      <c r="T735" s="8"/>
      <c r="U735" s="8"/>
    </row>
    <row r="736" spans="20:21">
      <c r="T736" s="8"/>
      <c r="U736" s="8"/>
    </row>
    <row r="737" spans="20:21">
      <c r="T737" s="8"/>
      <c r="U737" s="8"/>
    </row>
    <row r="738" spans="20:21">
      <c r="T738" s="8"/>
      <c r="U738" s="8"/>
    </row>
    <row r="739" spans="20:21">
      <c r="T739" s="8"/>
      <c r="U739" s="8"/>
    </row>
    <row r="740" spans="20:21">
      <c r="T740" s="8"/>
      <c r="U740" s="8"/>
    </row>
    <row r="741" spans="20:21">
      <c r="T741" s="8"/>
      <c r="U741" s="8"/>
    </row>
    <row r="742" spans="20:21">
      <c r="T742" s="8"/>
      <c r="U742" s="8"/>
    </row>
    <row r="743" spans="20:21">
      <c r="T743" s="8"/>
      <c r="U743" s="8"/>
    </row>
    <row r="744" spans="20:21">
      <c r="T744" s="8"/>
      <c r="U744" s="8"/>
    </row>
    <row r="745" spans="20:21">
      <c r="T745" s="8"/>
      <c r="U745" s="8"/>
    </row>
    <row r="746" spans="20:21">
      <c r="T746" s="8"/>
      <c r="U746" s="8"/>
    </row>
    <row r="747" spans="20:21">
      <c r="T747" s="8"/>
      <c r="U747" s="8"/>
    </row>
    <row r="748" spans="20:21">
      <c r="T748" s="8"/>
      <c r="U748" s="8"/>
    </row>
    <row r="749" spans="20:21">
      <c r="T749" s="8"/>
      <c r="U749" s="8"/>
    </row>
    <row r="750" spans="20:21">
      <c r="T750" s="8"/>
      <c r="U750" s="8"/>
    </row>
    <row r="751" spans="20:21">
      <c r="T751" s="8"/>
      <c r="U751" s="8"/>
    </row>
    <row r="752" spans="20:21">
      <c r="T752" s="8"/>
      <c r="U752" s="8"/>
    </row>
    <row r="753" spans="20:21">
      <c r="T753" s="8"/>
      <c r="U753" s="8"/>
    </row>
    <row r="754" spans="20:21">
      <c r="T754" s="8"/>
      <c r="U754" s="8"/>
    </row>
    <row r="755" spans="20:21">
      <c r="T755" s="8"/>
      <c r="U755" s="8"/>
    </row>
    <row r="756" spans="20:21">
      <c r="T756" s="8"/>
      <c r="U756" s="8"/>
    </row>
    <row r="757" spans="20:21">
      <c r="T757" s="8"/>
      <c r="U757" s="8"/>
    </row>
    <row r="758" spans="20:21">
      <c r="T758" s="8"/>
      <c r="U758" s="8"/>
    </row>
    <row r="759" spans="20:21">
      <c r="T759" s="8"/>
      <c r="U759" s="8"/>
    </row>
    <row r="760" spans="20:21">
      <c r="T760" s="8"/>
      <c r="U760" s="8"/>
    </row>
    <row r="761" spans="20:21">
      <c r="T761" s="8"/>
      <c r="U761" s="8"/>
    </row>
    <row r="762" spans="20:21">
      <c r="T762" s="8"/>
      <c r="U762" s="8"/>
    </row>
    <row r="763" spans="20:21">
      <c r="T763" s="8"/>
      <c r="U763" s="8"/>
    </row>
    <row r="764" spans="20:21">
      <c r="T764" s="8"/>
      <c r="U764" s="8"/>
    </row>
    <row r="765" spans="20:21">
      <c r="T765" s="8"/>
      <c r="U765" s="8"/>
    </row>
    <row r="766" spans="20:21">
      <c r="T766" s="8"/>
      <c r="U766" s="8"/>
    </row>
    <row r="767" spans="20:21">
      <c r="T767" s="8"/>
      <c r="U767" s="8"/>
    </row>
    <row r="768" spans="20:21">
      <c r="T768" s="8"/>
      <c r="U768" s="8"/>
    </row>
    <row r="769" spans="20:21">
      <c r="T769" s="8"/>
      <c r="U769" s="8"/>
    </row>
    <row r="770" spans="20:21">
      <c r="T770" s="8"/>
      <c r="U770" s="8"/>
    </row>
    <row r="771" spans="20:21">
      <c r="T771" s="8"/>
      <c r="U771" s="8"/>
    </row>
    <row r="772" spans="20:21">
      <c r="T772" s="8"/>
      <c r="U772" s="8"/>
    </row>
    <row r="773" spans="20:21">
      <c r="T773" s="8"/>
      <c r="U773" s="8"/>
    </row>
    <row r="774" spans="20:21">
      <c r="T774" s="8"/>
      <c r="U774" s="8"/>
    </row>
    <row r="775" spans="20:21">
      <c r="T775" s="8"/>
      <c r="U775" s="8"/>
    </row>
    <row r="776" spans="20:21">
      <c r="T776" s="8"/>
      <c r="U776" s="8"/>
    </row>
    <row r="777" spans="20:21">
      <c r="T777" s="8"/>
      <c r="U777" s="8"/>
    </row>
    <row r="778" spans="20:21">
      <c r="T778" s="8"/>
      <c r="U778" s="8"/>
    </row>
    <row r="779" spans="20:21">
      <c r="T779" s="8"/>
      <c r="U779" s="8"/>
    </row>
    <row r="780" spans="20:21">
      <c r="T780" s="8"/>
      <c r="U780" s="8"/>
    </row>
    <row r="781" spans="20:21">
      <c r="T781" s="8"/>
      <c r="U781" s="8"/>
    </row>
    <row r="782" spans="20:21">
      <c r="T782" s="8"/>
      <c r="U782" s="8"/>
    </row>
    <row r="783" spans="20:21">
      <c r="T783" s="8"/>
      <c r="U783" s="8"/>
    </row>
    <row r="784" spans="20:21">
      <c r="T784" s="8"/>
      <c r="U784" s="8"/>
    </row>
    <row r="785" spans="20:21">
      <c r="T785" s="8"/>
      <c r="U785" s="8"/>
    </row>
    <row r="786" spans="20:21">
      <c r="T786" s="8"/>
      <c r="U786" s="8"/>
    </row>
    <row r="787" spans="20:21">
      <c r="T787" s="8"/>
      <c r="U787" s="8"/>
    </row>
    <row r="788" spans="20:21">
      <c r="T788" s="8"/>
      <c r="U788" s="8"/>
    </row>
    <row r="789" spans="20:21">
      <c r="T789" s="8"/>
      <c r="U789" s="8"/>
    </row>
    <row r="790" spans="20:21">
      <c r="T790" s="8"/>
      <c r="U790" s="8"/>
    </row>
    <row r="791" spans="20:21">
      <c r="T791" s="8"/>
      <c r="U791" s="8"/>
    </row>
    <row r="792" spans="20:21">
      <c r="T792" s="8"/>
      <c r="U792" s="8"/>
    </row>
    <row r="793" spans="20:21">
      <c r="T793" s="8"/>
      <c r="U793" s="8"/>
    </row>
    <row r="794" spans="20:21">
      <c r="T794" s="8"/>
      <c r="U794" s="8"/>
    </row>
    <row r="795" spans="20:21">
      <c r="T795" s="8"/>
      <c r="U795" s="8"/>
    </row>
    <row r="796" spans="20:21">
      <c r="T796" s="8"/>
      <c r="U796" s="8"/>
    </row>
    <row r="797" spans="20:21">
      <c r="T797" s="8"/>
      <c r="U797" s="8"/>
    </row>
    <row r="798" spans="20:21">
      <c r="T798" s="8"/>
      <c r="U798" s="8"/>
    </row>
    <row r="799" spans="20:21">
      <c r="T799" s="8"/>
      <c r="U799" s="8"/>
    </row>
    <row r="800" spans="20:21">
      <c r="T800" s="8"/>
      <c r="U800" s="8"/>
    </row>
    <row r="801" spans="20:21">
      <c r="T801" s="8"/>
      <c r="U801" s="8"/>
    </row>
    <row r="802" spans="20:21">
      <c r="T802" s="8"/>
      <c r="U802" s="8"/>
    </row>
    <row r="803" spans="20:21">
      <c r="T803" s="8"/>
      <c r="U803" s="8"/>
    </row>
    <row r="804" spans="20:21">
      <c r="T804" s="8"/>
      <c r="U804" s="8"/>
    </row>
    <row r="805" spans="20:21">
      <c r="T805" s="8"/>
      <c r="U805" s="8"/>
    </row>
    <row r="806" spans="20:21">
      <c r="T806" s="8"/>
      <c r="U806" s="8"/>
    </row>
    <row r="807" spans="20:21">
      <c r="T807" s="8"/>
      <c r="U807" s="8"/>
    </row>
    <row r="808" spans="20:21">
      <c r="T808" s="8"/>
      <c r="U808" s="8"/>
    </row>
    <row r="809" spans="20:21">
      <c r="T809" s="8"/>
      <c r="U809" s="8"/>
    </row>
    <row r="810" spans="20:21">
      <c r="T810" s="8"/>
      <c r="U810" s="8"/>
    </row>
    <row r="811" spans="20:21">
      <c r="T811" s="8"/>
      <c r="U811" s="8"/>
    </row>
    <row r="812" spans="20:21">
      <c r="T812" s="8"/>
      <c r="U812" s="8"/>
    </row>
    <row r="813" spans="20:21">
      <c r="T813" s="8"/>
      <c r="U813" s="8"/>
    </row>
    <row r="814" spans="20:21">
      <c r="T814" s="8"/>
      <c r="U814" s="8"/>
    </row>
    <row r="815" spans="20:21">
      <c r="T815" s="8"/>
      <c r="U815" s="8"/>
    </row>
    <row r="816" spans="20:21">
      <c r="T816" s="8"/>
      <c r="U816" s="8"/>
    </row>
    <row r="817" spans="20:21">
      <c r="T817" s="8"/>
      <c r="U817" s="8"/>
    </row>
    <row r="818" spans="20:21">
      <c r="T818" s="8"/>
      <c r="U818" s="8"/>
    </row>
    <row r="819" spans="20:21">
      <c r="T819" s="8"/>
      <c r="U819" s="8"/>
    </row>
    <row r="820" spans="20:21">
      <c r="T820" s="8"/>
      <c r="U820" s="8"/>
    </row>
    <row r="821" spans="20:21">
      <c r="T821" s="8"/>
      <c r="U821" s="8"/>
    </row>
    <row r="822" spans="20:21">
      <c r="T822" s="8"/>
      <c r="U822" s="8"/>
    </row>
    <row r="823" spans="20:21">
      <c r="T823" s="8"/>
      <c r="U823" s="8"/>
    </row>
    <row r="824" spans="20:21">
      <c r="T824" s="8"/>
      <c r="U824" s="8"/>
    </row>
    <row r="825" spans="20:21">
      <c r="T825" s="8"/>
      <c r="U825" s="8"/>
    </row>
    <row r="826" spans="20:21">
      <c r="T826" s="8"/>
      <c r="U826" s="8"/>
    </row>
    <row r="827" spans="20:21">
      <c r="T827" s="8"/>
      <c r="U827" s="8"/>
    </row>
    <row r="828" spans="20:21">
      <c r="T828" s="8"/>
      <c r="U828" s="8"/>
    </row>
    <row r="829" spans="20:21">
      <c r="T829" s="8"/>
      <c r="U829" s="8"/>
    </row>
    <row r="830" spans="20:21">
      <c r="T830" s="8"/>
      <c r="U830" s="8"/>
    </row>
    <row r="831" spans="20:21">
      <c r="T831" s="8"/>
      <c r="U831" s="8"/>
    </row>
    <row r="832" spans="20:21">
      <c r="T832" s="8"/>
      <c r="U832" s="8"/>
    </row>
    <row r="833" spans="20:21">
      <c r="T833" s="8"/>
      <c r="U833" s="8"/>
    </row>
    <row r="834" spans="20:21">
      <c r="T834" s="8"/>
      <c r="U834" s="8"/>
    </row>
    <row r="835" spans="20:21">
      <c r="T835" s="8"/>
      <c r="U835" s="8"/>
    </row>
    <row r="836" spans="20:21">
      <c r="T836" s="8"/>
      <c r="U836" s="8"/>
    </row>
    <row r="837" spans="20:21">
      <c r="T837" s="8"/>
      <c r="U837" s="8"/>
    </row>
    <row r="838" spans="20:21">
      <c r="T838" s="8"/>
      <c r="U838" s="8"/>
    </row>
    <row r="839" spans="20:21">
      <c r="T839" s="8"/>
      <c r="U839" s="8"/>
    </row>
    <row r="840" spans="20:21">
      <c r="T840" s="8"/>
      <c r="U840" s="8"/>
    </row>
    <row r="841" spans="20:21">
      <c r="T841" s="8"/>
      <c r="U841" s="8"/>
    </row>
    <row r="842" spans="20:21">
      <c r="T842" s="8"/>
      <c r="U842" s="8"/>
    </row>
    <row r="843" spans="20:21">
      <c r="T843" s="8"/>
      <c r="U843" s="8"/>
    </row>
    <row r="844" spans="20:21">
      <c r="T844" s="8"/>
      <c r="U844" s="8"/>
    </row>
    <row r="845" spans="20:21">
      <c r="T845" s="8"/>
      <c r="U845" s="8"/>
    </row>
    <row r="846" spans="20:21">
      <c r="T846" s="8"/>
      <c r="U846" s="8"/>
    </row>
    <row r="847" spans="20:21">
      <c r="T847" s="8"/>
      <c r="U847" s="8"/>
    </row>
    <row r="848" spans="20:21">
      <c r="T848" s="8"/>
      <c r="U848" s="8"/>
    </row>
    <row r="849" spans="20:21">
      <c r="T849" s="8"/>
      <c r="U849" s="8"/>
    </row>
    <row r="850" spans="20:21">
      <c r="T850" s="8"/>
      <c r="U850" s="8"/>
    </row>
    <row r="851" spans="20:21">
      <c r="T851" s="8"/>
      <c r="U851" s="8"/>
    </row>
    <row r="852" spans="20:21">
      <c r="T852" s="8"/>
      <c r="U852" s="8"/>
    </row>
    <row r="853" spans="20:21">
      <c r="T853" s="8"/>
      <c r="U853" s="8"/>
    </row>
    <row r="854" spans="20:21">
      <c r="T854" s="8"/>
      <c r="U854" s="8"/>
    </row>
    <row r="855" spans="20:21">
      <c r="T855" s="8"/>
      <c r="U855" s="8"/>
    </row>
    <row r="856" spans="20:21">
      <c r="T856" s="8"/>
      <c r="U856" s="8"/>
    </row>
    <row r="857" spans="20:21">
      <c r="T857" s="8"/>
      <c r="U857" s="8"/>
    </row>
    <row r="858" spans="20:21">
      <c r="T858" s="8"/>
      <c r="U858" s="8"/>
    </row>
    <row r="859" spans="20:21">
      <c r="T859" s="8"/>
      <c r="U859" s="8"/>
    </row>
    <row r="860" spans="20:21">
      <c r="T860" s="8"/>
      <c r="U860" s="8"/>
    </row>
    <row r="861" spans="20:21">
      <c r="T861" s="8"/>
      <c r="U861" s="8"/>
    </row>
    <row r="862" spans="20:21">
      <c r="T862" s="8"/>
      <c r="U862" s="8"/>
    </row>
    <row r="863" spans="20:21">
      <c r="T863" s="8"/>
      <c r="U863" s="8"/>
    </row>
    <row r="864" spans="20:21">
      <c r="T864" s="8"/>
      <c r="U864" s="8"/>
    </row>
    <row r="865" spans="20:21">
      <c r="T865" s="8"/>
      <c r="U865" s="8"/>
    </row>
    <row r="866" spans="20:21">
      <c r="T866" s="8"/>
      <c r="U866" s="8"/>
    </row>
    <row r="867" spans="20:21">
      <c r="T867" s="8"/>
      <c r="U867" s="8"/>
    </row>
    <row r="868" spans="20:21">
      <c r="T868" s="8"/>
      <c r="U868" s="8"/>
    </row>
    <row r="869" spans="20:21">
      <c r="T869" s="8"/>
      <c r="U869" s="8"/>
    </row>
    <row r="870" spans="20:21">
      <c r="T870" s="8"/>
      <c r="U870" s="8"/>
    </row>
    <row r="871" spans="20:21">
      <c r="T871" s="8"/>
      <c r="U871" s="8"/>
    </row>
    <row r="872" spans="20:21">
      <c r="T872" s="8"/>
      <c r="U872" s="8"/>
    </row>
    <row r="873" spans="20:21">
      <c r="T873" s="8"/>
      <c r="U873" s="8"/>
    </row>
    <row r="874" spans="20:21">
      <c r="T874" s="8"/>
      <c r="U874" s="8"/>
    </row>
    <row r="875" spans="20:21">
      <c r="T875" s="8"/>
      <c r="U875" s="8"/>
    </row>
    <row r="876" spans="20:21">
      <c r="T876" s="8"/>
      <c r="U876" s="8"/>
    </row>
    <row r="877" spans="20:21">
      <c r="T877" s="8"/>
      <c r="U877" s="8"/>
    </row>
    <row r="878" spans="20:21">
      <c r="T878" s="8"/>
      <c r="U878" s="8"/>
    </row>
    <row r="879" spans="20:21">
      <c r="T879" s="8"/>
      <c r="U879" s="8"/>
    </row>
    <row r="880" spans="20:21">
      <c r="T880" s="8"/>
      <c r="U880" s="8"/>
    </row>
    <row r="881" spans="20:21">
      <c r="T881" s="8"/>
      <c r="U881" s="8"/>
    </row>
    <row r="882" spans="20:21">
      <c r="T882" s="8"/>
      <c r="U882" s="8"/>
    </row>
    <row r="883" spans="20:21">
      <c r="T883" s="8"/>
      <c r="U883" s="8"/>
    </row>
    <row r="884" spans="20:21">
      <c r="T884" s="8"/>
      <c r="U884" s="8"/>
    </row>
    <row r="885" spans="20:21">
      <c r="T885" s="8"/>
      <c r="U885" s="8"/>
    </row>
    <row r="886" spans="20:21">
      <c r="T886" s="8"/>
      <c r="U886" s="8"/>
    </row>
    <row r="887" spans="20:21">
      <c r="T887" s="8"/>
      <c r="U887" s="8"/>
    </row>
    <row r="888" spans="20:21">
      <c r="T888" s="8"/>
      <c r="U888" s="8"/>
    </row>
    <row r="889" spans="20:21">
      <c r="T889" s="8"/>
      <c r="U889" s="8"/>
    </row>
    <row r="890" spans="20:21">
      <c r="T890" s="8"/>
      <c r="U890" s="8"/>
    </row>
    <row r="891" spans="20:21">
      <c r="T891" s="8"/>
      <c r="U891" s="8"/>
    </row>
    <row r="892" spans="20:21">
      <c r="T892" s="8"/>
      <c r="U892" s="8"/>
    </row>
    <row r="893" spans="20:21">
      <c r="T893" s="8"/>
      <c r="U893" s="8"/>
    </row>
    <row r="894" spans="20:21">
      <c r="T894" s="8"/>
      <c r="U894" s="8"/>
    </row>
    <row r="895" spans="20:21">
      <c r="T895" s="8"/>
      <c r="U895" s="8"/>
    </row>
    <row r="896" spans="20:21">
      <c r="T896" s="8"/>
      <c r="U896" s="8"/>
    </row>
    <row r="897" spans="20:21">
      <c r="T897" s="8"/>
      <c r="U897" s="8"/>
    </row>
    <row r="898" spans="20:21">
      <c r="T898" s="8"/>
      <c r="U898" s="8"/>
    </row>
    <row r="899" spans="20:21">
      <c r="T899" s="8"/>
      <c r="U899" s="8"/>
    </row>
    <row r="900" spans="20:21">
      <c r="T900" s="8"/>
      <c r="U900" s="8"/>
    </row>
    <row r="901" spans="20:21">
      <c r="T901" s="8"/>
      <c r="U901" s="8"/>
    </row>
    <row r="902" spans="20:21">
      <c r="T902" s="8"/>
      <c r="U902" s="8"/>
    </row>
    <row r="903" spans="20:21">
      <c r="T903" s="8"/>
      <c r="U903" s="8"/>
    </row>
    <row r="904" spans="20:21">
      <c r="T904" s="8"/>
      <c r="U904" s="8"/>
    </row>
    <row r="905" spans="20:21">
      <c r="T905" s="8"/>
      <c r="U905" s="8"/>
    </row>
    <row r="906" spans="20:21">
      <c r="T906" s="8"/>
      <c r="U906" s="8"/>
    </row>
    <row r="907" spans="20:21">
      <c r="T907" s="8"/>
      <c r="U907" s="8"/>
    </row>
    <row r="908" spans="20:21">
      <c r="T908" s="8"/>
      <c r="U908" s="8"/>
    </row>
    <row r="909" spans="20:21">
      <c r="T909" s="8"/>
      <c r="U909" s="8"/>
    </row>
    <row r="910" spans="20:21">
      <c r="T910" s="8"/>
      <c r="U910" s="8"/>
    </row>
    <row r="911" spans="20:21">
      <c r="T911" s="8"/>
      <c r="U911" s="8"/>
    </row>
    <row r="912" spans="20:21">
      <c r="T912" s="8"/>
      <c r="U912" s="8"/>
    </row>
    <row r="913" spans="20:21">
      <c r="T913" s="8"/>
      <c r="U913" s="8"/>
    </row>
    <row r="914" spans="20:21">
      <c r="T914" s="8"/>
      <c r="U914" s="8"/>
    </row>
    <row r="915" spans="20:21">
      <c r="T915" s="8"/>
      <c r="U915" s="8"/>
    </row>
    <row r="916" spans="20:21">
      <c r="T916" s="8"/>
      <c r="U916" s="8"/>
    </row>
    <row r="917" spans="20:21">
      <c r="T917" s="8"/>
      <c r="U917" s="8"/>
    </row>
    <row r="918" spans="20:21">
      <c r="T918" s="8"/>
      <c r="U918" s="8"/>
    </row>
    <row r="919" spans="20:21">
      <c r="T919" s="8"/>
      <c r="U919" s="8"/>
    </row>
    <row r="920" spans="20:21">
      <c r="T920" s="8"/>
      <c r="U920" s="8"/>
    </row>
    <row r="921" spans="20:21">
      <c r="T921" s="8"/>
      <c r="U921" s="8"/>
    </row>
    <row r="922" spans="20:21">
      <c r="T922" s="8"/>
      <c r="U922" s="8"/>
    </row>
    <row r="923" spans="20:21">
      <c r="T923" s="8"/>
      <c r="U923" s="8"/>
    </row>
    <row r="924" spans="20:21">
      <c r="T924" s="8"/>
      <c r="U924" s="8"/>
    </row>
    <row r="925" spans="20:21">
      <c r="T925" s="8"/>
      <c r="U925" s="8"/>
    </row>
    <row r="926" spans="20:21">
      <c r="T926" s="8"/>
      <c r="U926" s="8"/>
    </row>
    <row r="927" spans="20:21">
      <c r="T927" s="8"/>
      <c r="U927" s="8"/>
    </row>
    <row r="928" spans="20:21">
      <c r="T928" s="8"/>
      <c r="U928" s="8"/>
    </row>
    <row r="929" spans="20:21">
      <c r="T929" s="8"/>
      <c r="U929" s="8"/>
    </row>
    <row r="930" spans="20:21">
      <c r="T930" s="8"/>
      <c r="U930" s="8"/>
    </row>
    <row r="931" spans="20:21">
      <c r="T931" s="8"/>
      <c r="U931" s="8"/>
    </row>
    <row r="932" spans="20:21">
      <c r="T932" s="8"/>
      <c r="U932" s="8"/>
    </row>
    <row r="933" spans="20:21">
      <c r="T933" s="8"/>
      <c r="U933" s="8"/>
    </row>
    <row r="934" spans="20:21">
      <c r="T934" s="8"/>
      <c r="U934" s="8"/>
    </row>
    <row r="935" spans="20:21">
      <c r="T935" s="8"/>
      <c r="U935" s="8"/>
    </row>
    <row r="936" spans="20:21">
      <c r="T936" s="8"/>
      <c r="U936" s="8"/>
    </row>
    <row r="937" spans="20:21">
      <c r="T937" s="8"/>
      <c r="U937" s="8"/>
    </row>
    <row r="938" spans="20:21">
      <c r="T938" s="8"/>
      <c r="U938" s="8"/>
    </row>
    <row r="939" spans="20:21">
      <c r="T939" s="8"/>
      <c r="U939" s="8"/>
    </row>
    <row r="940" spans="20:21">
      <c r="T940" s="8"/>
      <c r="U940" s="8"/>
    </row>
    <row r="941" spans="20:21">
      <c r="T941" s="8"/>
      <c r="U941" s="8"/>
    </row>
    <row r="942" spans="20:21">
      <c r="T942" s="8"/>
      <c r="U942" s="8"/>
    </row>
    <row r="943" spans="20:21">
      <c r="T943" s="8"/>
      <c r="U943" s="8"/>
    </row>
    <row r="944" spans="20:21">
      <c r="T944" s="8"/>
      <c r="U944" s="8"/>
    </row>
    <row r="945" spans="20:21">
      <c r="T945" s="8"/>
      <c r="U945" s="8"/>
    </row>
    <row r="946" spans="20:21">
      <c r="T946" s="8"/>
      <c r="U946" s="8"/>
    </row>
    <row r="947" spans="20:21">
      <c r="T947" s="8"/>
      <c r="U947" s="8"/>
    </row>
    <row r="948" spans="20:21">
      <c r="T948" s="8"/>
      <c r="U948" s="8"/>
    </row>
    <row r="949" spans="20:21">
      <c r="T949" s="8"/>
      <c r="U949" s="8"/>
    </row>
    <row r="950" spans="20:21">
      <c r="T950" s="8"/>
      <c r="U950" s="8"/>
    </row>
    <row r="951" spans="20:21">
      <c r="T951" s="8"/>
      <c r="U951" s="8"/>
    </row>
    <row r="952" spans="20:21">
      <c r="T952" s="8"/>
      <c r="U952" s="8"/>
    </row>
    <row r="953" spans="20:21">
      <c r="T953" s="8"/>
      <c r="U953" s="8"/>
    </row>
    <row r="954" spans="20:21">
      <c r="T954" s="8"/>
      <c r="U954" s="8"/>
    </row>
    <row r="955" spans="20:21">
      <c r="T955" s="8"/>
      <c r="U955" s="8"/>
    </row>
    <row r="956" spans="20:21">
      <c r="T956" s="8"/>
      <c r="U956" s="8"/>
    </row>
    <row r="957" spans="20:21">
      <c r="T957" s="8"/>
      <c r="U957" s="8"/>
    </row>
    <row r="958" spans="20:21">
      <c r="T958" s="8"/>
      <c r="U958" s="8"/>
    </row>
    <row r="959" spans="20:21">
      <c r="T959" s="8"/>
      <c r="U959" s="8"/>
    </row>
    <row r="960" spans="20:21">
      <c r="T960" s="8"/>
      <c r="U960" s="8"/>
    </row>
    <row r="961" spans="20:21">
      <c r="T961" s="8"/>
      <c r="U961" s="8"/>
    </row>
    <row r="962" spans="20:21">
      <c r="T962" s="8"/>
      <c r="U962" s="8"/>
    </row>
    <row r="963" spans="20:21">
      <c r="T963" s="8"/>
      <c r="U963" s="8"/>
    </row>
    <row r="964" spans="20:21">
      <c r="T964" s="8"/>
      <c r="U964" s="8"/>
    </row>
    <row r="965" spans="20:21">
      <c r="T965" s="8"/>
      <c r="U965" s="8"/>
    </row>
    <row r="966" spans="20:21">
      <c r="T966" s="8"/>
      <c r="U966" s="8"/>
    </row>
    <row r="967" spans="20:21">
      <c r="T967" s="8"/>
      <c r="U967" s="8"/>
    </row>
    <row r="968" spans="20:21">
      <c r="T968" s="8"/>
      <c r="U968" s="8"/>
    </row>
    <row r="969" spans="20:21">
      <c r="T969" s="8"/>
      <c r="U969" s="8"/>
    </row>
    <row r="970" spans="20:21">
      <c r="T970" s="8"/>
      <c r="U970" s="8"/>
    </row>
    <row r="971" spans="20:21">
      <c r="T971" s="8"/>
      <c r="U971" s="8"/>
    </row>
    <row r="972" spans="20:21">
      <c r="T972" s="8"/>
      <c r="U972" s="8"/>
    </row>
    <row r="973" spans="20:21">
      <c r="T973" s="8"/>
      <c r="U973" s="8"/>
    </row>
    <row r="974" spans="20:21">
      <c r="T974" s="8"/>
      <c r="U974" s="8"/>
    </row>
    <row r="975" spans="20:21">
      <c r="T975" s="8"/>
      <c r="U975" s="8"/>
    </row>
    <row r="976" spans="20:21">
      <c r="T976" s="8"/>
      <c r="U976" s="8"/>
    </row>
    <row r="977" spans="20:21">
      <c r="T977" s="8"/>
      <c r="U977" s="8"/>
    </row>
    <row r="978" spans="20:21">
      <c r="T978" s="8"/>
      <c r="U978" s="8"/>
    </row>
    <row r="979" spans="20:21">
      <c r="T979" s="8"/>
      <c r="U979" s="8"/>
    </row>
    <row r="980" spans="20:21">
      <c r="T980" s="8"/>
      <c r="U980" s="8"/>
    </row>
    <row r="981" spans="20:21">
      <c r="T981" s="8"/>
      <c r="U981" s="8"/>
    </row>
    <row r="982" spans="20:21">
      <c r="T982" s="8"/>
      <c r="U982" s="8"/>
    </row>
    <row r="983" spans="20:21">
      <c r="T983" s="8"/>
      <c r="U983" s="8"/>
    </row>
    <row r="984" spans="20:21">
      <c r="T984" s="8"/>
      <c r="U984" s="8"/>
    </row>
    <row r="985" spans="20:21">
      <c r="T985" s="8"/>
      <c r="U985" s="8"/>
    </row>
    <row r="986" spans="20:21">
      <c r="T986" s="8"/>
      <c r="U986" s="8"/>
    </row>
    <row r="987" spans="20:21">
      <c r="T987" s="8"/>
      <c r="U987" s="8"/>
    </row>
    <row r="988" spans="20:21">
      <c r="T988" s="8"/>
      <c r="U988" s="8"/>
    </row>
    <row r="989" spans="20:21">
      <c r="T989" s="8"/>
      <c r="U989" s="8"/>
    </row>
    <row r="990" spans="20:21">
      <c r="T990" s="8"/>
      <c r="U990" s="8"/>
    </row>
    <row r="991" spans="20:21">
      <c r="T991" s="8"/>
      <c r="U991" s="8"/>
    </row>
    <row r="992" spans="20:21">
      <c r="T992" s="8"/>
      <c r="U992" s="8"/>
    </row>
    <row r="993" spans="20:21">
      <c r="T993" s="8"/>
      <c r="U993" s="8"/>
    </row>
    <row r="994" spans="20:21">
      <c r="T994" s="8"/>
      <c r="U994" s="8"/>
    </row>
    <row r="995" spans="20:21">
      <c r="T995" s="8"/>
      <c r="U995" s="8"/>
    </row>
    <row r="996" spans="20:21">
      <c r="T996" s="8"/>
      <c r="U996" s="8"/>
    </row>
    <row r="997" spans="20:21">
      <c r="T997" s="8"/>
      <c r="U997" s="8"/>
    </row>
    <row r="998" spans="20:21">
      <c r="T998" s="8"/>
      <c r="U998" s="8"/>
    </row>
    <row r="999" spans="20:21">
      <c r="T999" s="8"/>
      <c r="U999" s="8"/>
    </row>
    <row r="1000" spans="20:21">
      <c r="T1000" s="8"/>
      <c r="U1000" s="8"/>
    </row>
    <row r="1001" spans="20:21">
      <c r="T1001" s="8"/>
      <c r="U1001" s="8"/>
    </row>
    <row r="1002" spans="20:21">
      <c r="T1002" s="8"/>
      <c r="U1002" s="8"/>
    </row>
    <row r="1003" spans="20:21">
      <c r="T1003" s="8"/>
      <c r="U1003" s="8"/>
    </row>
    <row r="1004" spans="20:21">
      <c r="T1004" s="8"/>
      <c r="U1004" s="8"/>
    </row>
    <row r="1005" spans="20:21">
      <c r="T1005" s="8"/>
      <c r="U1005" s="8"/>
    </row>
    <row r="1006" spans="20:21">
      <c r="T1006" s="8"/>
      <c r="U1006" s="8"/>
    </row>
    <row r="1007" spans="20:21">
      <c r="T1007" s="8"/>
      <c r="U1007" s="8"/>
    </row>
    <row r="1008" spans="20:21">
      <c r="T1008" s="8"/>
      <c r="U1008" s="8"/>
    </row>
    <row r="1009" spans="20:21">
      <c r="T1009" s="8"/>
      <c r="U1009" s="8"/>
    </row>
    <row r="1010" spans="20:21">
      <c r="T1010" s="8"/>
      <c r="U1010" s="8"/>
    </row>
    <row r="1011" spans="20:21">
      <c r="T1011" s="8"/>
      <c r="U1011" s="8"/>
    </row>
    <row r="1012" spans="20:21">
      <c r="T1012" s="8"/>
      <c r="U1012" s="8"/>
    </row>
    <row r="1013" spans="20:21">
      <c r="T1013" s="8"/>
      <c r="U1013" s="8"/>
    </row>
    <row r="1014" spans="20:21">
      <c r="T1014" s="8"/>
      <c r="U1014" s="8"/>
    </row>
    <row r="1015" spans="20:21">
      <c r="T1015" s="8"/>
      <c r="U1015" s="8"/>
    </row>
    <row r="1016" spans="20:21">
      <c r="T1016" s="8"/>
      <c r="U1016" s="8"/>
    </row>
    <row r="1017" spans="20:21">
      <c r="T1017" s="8"/>
      <c r="U1017" s="8"/>
    </row>
    <row r="1018" spans="20:21">
      <c r="T1018" s="8"/>
      <c r="U1018" s="8"/>
    </row>
    <row r="1019" spans="20:21">
      <c r="T1019" s="8"/>
      <c r="U1019" s="8"/>
    </row>
    <row r="1020" spans="20:21">
      <c r="T1020" s="8"/>
      <c r="U1020" s="8"/>
    </row>
    <row r="1021" spans="20:21">
      <c r="T1021" s="8"/>
      <c r="U1021" s="8"/>
    </row>
    <row r="1022" spans="20:21">
      <c r="T1022" s="8"/>
      <c r="U1022" s="8"/>
    </row>
    <row r="1023" spans="20:21">
      <c r="T1023" s="8"/>
      <c r="U1023" s="8"/>
    </row>
    <row r="1024" spans="20:21">
      <c r="T1024" s="8"/>
      <c r="U1024" s="8"/>
    </row>
    <row r="1025" spans="20:21">
      <c r="T1025" s="8"/>
      <c r="U1025" s="8"/>
    </row>
    <row r="1026" spans="20:21">
      <c r="T1026" s="8"/>
      <c r="U1026" s="8"/>
    </row>
    <row r="1027" spans="20:21">
      <c r="T1027" s="8"/>
      <c r="U1027" s="8"/>
    </row>
    <row r="1028" spans="20:21">
      <c r="T1028" s="8"/>
      <c r="U1028" s="8"/>
    </row>
    <row r="1029" spans="20:21">
      <c r="T1029" s="8"/>
      <c r="U1029" s="8"/>
    </row>
    <row r="1030" spans="20:21">
      <c r="T1030" s="8"/>
      <c r="U1030" s="8"/>
    </row>
    <row r="1031" spans="20:21">
      <c r="T1031" s="8"/>
      <c r="U1031" s="8"/>
    </row>
    <row r="1032" spans="20:21">
      <c r="T1032" s="8"/>
      <c r="U1032" s="8"/>
    </row>
    <row r="1033" spans="20:21">
      <c r="T1033" s="8"/>
      <c r="U1033" s="8"/>
    </row>
    <row r="1034" spans="20:21">
      <c r="T1034" s="8"/>
      <c r="U1034" s="8"/>
    </row>
    <row r="1035" spans="20:21">
      <c r="T1035" s="8"/>
      <c r="U1035" s="8"/>
    </row>
    <row r="1036" spans="20:21">
      <c r="T1036" s="8"/>
      <c r="U1036" s="8"/>
    </row>
    <row r="1037" spans="20:21">
      <c r="T1037" s="8"/>
      <c r="U1037" s="8"/>
    </row>
    <row r="1038" spans="20:21">
      <c r="T1038" s="8"/>
      <c r="U1038" s="8"/>
    </row>
    <row r="1039" spans="20:21">
      <c r="T1039" s="8"/>
      <c r="U1039" s="8"/>
    </row>
    <row r="1040" spans="20:21">
      <c r="T1040" s="8"/>
      <c r="U1040" s="8"/>
    </row>
    <row r="1041" spans="20:21">
      <c r="T1041" s="8"/>
      <c r="U1041" s="8"/>
    </row>
    <row r="1042" spans="20:21">
      <c r="T1042" s="8"/>
      <c r="U1042" s="8"/>
    </row>
    <row r="1043" spans="20:21">
      <c r="T1043" s="8"/>
      <c r="U1043" s="8"/>
    </row>
    <row r="1044" spans="20:21">
      <c r="T1044" s="8"/>
      <c r="U1044" s="8"/>
    </row>
    <row r="1045" spans="20:21">
      <c r="T1045" s="8"/>
      <c r="U1045" s="8"/>
    </row>
    <row r="1046" spans="20:21">
      <c r="T1046" s="8"/>
      <c r="U1046" s="8"/>
    </row>
    <row r="1047" spans="20:21">
      <c r="T1047" s="8"/>
      <c r="U1047" s="8"/>
    </row>
    <row r="1048" spans="20:21">
      <c r="T1048" s="8"/>
      <c r="U1048" s="8"/>
    </row>
    <row r="1049" spans="20:21">
      <c r="T1049" s="8"/>
      <c r="U1049" s="8"/>
    </row>
    <row r="1050" spans="20:21">
      <c r="T1050" s="8"/>
      <c r="U1050" s="8"/>
    </row>
    <row r="1051" spans="20:21">
      <c r="T1051" s="8"/>
      <c r="U1051" s="8"/>
    </row>
    <row r="1052" spans="20:21">
      <c r="T1052" s="8"/>
      <c r="U1052" s="8"/>
    </row>
    <row r="1053" spans="20:21">
      <c r="T1053" s="8"/>
      <c r="U1053" s="8"/>
    </row>
    <row r="1054" spans="20:21">
      <c r="T1054" s="8"/>
      <c r="U1054" s="8"/>
    </row>
    <row r="1055" spans="20:21">
      <c r="T1055" s="8"/>
      <c r="U1055" s="8"/>
    </row>
    <row r="1056" spans="20:21">
      <c r="T1056" s="8"/>
      <c r="U1056" s="8"/>
    </row>
    <row r="1057" spans="20:21">
      <c r="T1057" s="8"/>
      <c r="U1057" s="8"/>
    </row>
    <row r="1058" spans="20:21">
      <c r="T1058" s="8"/>
      <c r="U1058" s="8"/>
    </row>
    <row r="1059" spans="20:21">
      <c r="T1059" s="8"/>
      <c r="U1059" s="8"/>
    </row>
    <row r="1060" spans="20:21">
      <c r="T1060" s="8"/>
      <c r="U1060" s="8"/>
    </row>
    <row r="1061" spans="20:21">
      <c r="T1061" s="8"/>
      <c r="U1061" s="8"/>
    </row>
    <row r="1062" spans="20:21">
      <c r="T1062" s="8"/>
      <c r="U1062" s="8"/>
    </row>
    <row r="1063" spans="20:21">
      <c r="T1063" s="8"/>
      <c r="U1063" s="8"/>
    </row>
    <row r="1064" spans="20:21">
      <c r="T1064" s="8"/>
      <c r="U1064" s="8"/>
    </row>
    <row r="1065" spans="20:21">
      <c r="T1065" s="8"/>
      <c r="U1065" s="8"/>
    </row>
    <row r="1066" spans="20:21">
      <c r="T1066" s="8"/>
      <c r="U1066" s="8"/>
    </row>
    <row r="1067" spans="20:21">
      <c r="T1067" s="8"/>
      <c r="U1067" s="8"/>
    </row>
    <row r="1068" spans="20:21">
      <c r="T1068" s="8"/>
      <c r="U1068" s="8"/>
    </row>
    <row r="1069" spans="20:21">
      <c r="T1069" s="8"/>
      <c r="U1069" s="8"/>
    </row>
    <row r="1070" spans="20:21">
      <c r="T1070" s="8"/>
      <c r="U1070" s="8"/>
    </row>
    <row r="1071" spans="20:21">
      <c r="T1071" s="8"/>
      <c r="U1071" s="8"/>
    </row>
    <row r="1072" spans="20:21">
      <c r="T1072" s="8"/>
      <c r="U1072" s="8"/>
    </row>
    <row r="1073" spans="20:21">
      <c r="T1073" s="8"/>
      <c r="U1073" s="8"/>
    </row>
    <row r="1074" spans="20:21">
      <c r="T1074" s="8"/>
      <c r="U1074" s="8"/>
    </row>
    <row r="1075" spans="20:21">
      <c r="T1075" s="8"/>
      <c r="U1075" s="8"/>
    </row>
    <row r="1076" spans="20:21">
      <c r="T1076" s="8"/>
      <c r="U1076" s="8"/>
    </row>
    <row r="1077" spans="20:21">
      <c r="T1077" s="8"/>
      <c r="U1077" s="8"/>
    </row>
    <row r="1078" spans="20:21">
      <c r="T1078" s="8"/>
      <c r="U1078" s="8"/>
    </row>
    <row r="1079" spans="20:21">
      <c r="T1079" s="8"/>
      <c r="U1079" s="8"/>
    </row>
    <row r="1080" spans="20:21">
      <c r="T1080" s="8"/>
      <c r="U1080" s="8"/>
    </row>
    <row r="1081" spans="20:21">
      <c r="T1081" s="8"/>
      <c r="U1081" s="8"/>
    </row>
    <row r="1082" spans="20:21">
      <c r="T1082" s="8"/>
      <c r="U1082" s="8"/>
    </row>
    <row r="1083" spans="20:21">
      <c r="T1083" s="8"/>
      <c r="U1083" s="8"/>
    </row>
    <row r="1084" spans="20:21">
      <c r="T1084" s="8"/>
      <c r="U1084" s="8"/>
    </row>
    <row r="1085" spans="20:21">
      <c r="T1085" s="8"/>
      <c r="U1085" s="8"/>
    </row>
    <row r="1086" spans="20:21">
      <c r="T1086" s="8"/>
      <c r="U1086" s="8"/>
    </row>
    <row r="1087" spans="20:21">
      <c r="T1087" s="8"/>
      <c r="U1087" s="8"/>
    </row>
    <row r="1088" spans="20:21">
      <c r="T1088" s="8"/>
      <c r="U1088" s="8"/>
    </row>
    <row r="1089" spans="20:21">
      <c r="T1089" s="8"/>
      <c r="U1089" s="8"/>
    </row>
    <row r="1090" spans="20:21">
      <c r="T1090" s="8"/>
      <c r="U1090" s="8"/>
    </row>
    <row r="1091" spans="20:21">
      <c r="T1091" s="8"/>
      <c r="U1091" s="8"/>
    </row>
    <row r="1092" spans="20:21">
      <c r="T1092" s="8"/>
      <c r="U1092" s="8"/>
    </row>
    <row r="1093" spans="20:21">
      <c r="T1093" s="8"/>
      <c r="U1093" s="8"/>
    </row>
    <row r="1094" spans="20:21">
      <c r="T1094" s="8"/>
      <c r="U1094" s="8"/>
    </row>
    <row r="1095" spans="20:21">
      <c r="T1095" s="8"/>
      <c r="U1095" s="8"/>
    </row>
    <row r="1096" spans="20:21">
      <c r="T1096" s="8"/>
      <c r="U1096" s="8"/>
    </row>
    <row r="1097" spans="20:21">
      <c r="T1097" s="8"/>
      <c r="U1097" s="8"/>
    </row>
    <row r="1098" spans="20:21">
      <c r="T1098" s="8"/>
      <c r="U1098" s="8"/>
    </row>
    <row r="1099" spans="20:21">
      <c r="T1099" s="8"/>
      <c r="U1099" s="8"/>
    </row>
    <row r="1100" spans="20:21">
      <c r="T1100" s="8"/>
      <c r="U1100" s="8"/>
    </row>
    <row r="1101" spans="20:21">
      <c r="T1101" s="8"/>
      <c r="U1101" s="8"/>
    </row>
    <row r="1102" spans="20:21">
      <c r="T1102" s="8"/>
      <c r="U1102" s="8"/>
    </row>
    <row r="1103" spans="20:21">
      <c r="T1103" s="8"/>
      <c r="U1103" s="8"/>
    </row>
    <row r="1104" spans="20:21">
      <c r="T1104" s="8"/>
      <c r="U1104" s="8"/>
    </row>
    <row r="1105" spans="20:21">
      <c r="T1105" s="8"/>
      <c r="U1105" s="8"/>
    </row>
    <row r="1106" spans="20:21">
      <c r="T1106" s="8"/>
      <c r="U1106" s="8"/>
    </row>
    <row r="1107" spans="20:21">
      <c r="T1107" s="8"/>
      <c r="U1107" s="8"/>
    </row>
    <row r="1108" spans="20:21">
      <c r="T1108" s="8"/>
      <c r="U1108" s="8"/>
    </row>
    <row r="1109" spans="20:21">
      <c r="T1109" s="8"/>
      <c r="U1109" s="8"/>
    </row>
    <row r="1110" spans="20:21">
      <c r="T1110" s="8"/>
      <c r="U1110" s="8"/>
    </row>
    <row r="1111" spans="20:21">
      <c r="T1111" s="8"/>
      <c r="U1111" s="8"/>
    </row>
    <row r="1112" spans="20:21">
      <c r="T1112" s="8"/>
      <c r="U1112" s="8"/>
    </row>
    <row r="1113" spans="20:21">
      <c r="T1113" s="8"/>
      <c r="U1113" s="8"/>
    </row>
    <row r="1114" spans="20:21">
      <c r="T1114" s="8"/>
      <c r="U1114" s="8"/>
    </row>
    <row r="1115" spans="20:21">
      <c r="T1115" s="8"/>
      <c r="U1115" s="8"/>
    </row>
    <row r="1116" spans="20:21">
      <c r="T1116" s="8"/>
      <c r="U1116" s="8"/>
    </row>
    <row r="1117" spans="20:21">
      <c r="T1117" s="8"/>
      <c r="U1117" s="8"/>
    </row>
    <row r="1118" spans="20:21">
      <c r="T1118" s="8"/>
      <c r="U1118" s="8"/>
    </row>
    <row r="1119" spans="20:21">
      <c r="T1119" s="8"/>
      <c r="U1119" s="8"/>
    </row>
    <row r="1120" spans="20:21">
      <c r="T1120" s="8"/>
      <c r="U1120" s="8"/>
    </row>
    <row r="1121" spans="20:21">
      <c r="T1121" s="8"/>
      <c r="U1121" s="8"/>
    </row>
    <row r="1122" spans="20:21">
      <c r="T1122" s="8"/>
      <c r="U1122" s="8"/>
    </row>
    <row r="1123" spans="20:21">
      <c r="T1123" s="8"/>
      <c r="U1123" s="8"/>
    </row>
    <row r="1124" spans="20:21">
      <c r="T1124" s="8"/>
      <c r="U1124" s="8"/>
    </row>
    <row r="1125" spans="20:21">
      <c r="T1125" s="8"/>
      <c r="U1125" s="8"/>
    </row>
    <row r="1126" spans="20:21">
      <c r="T1126" s="8"/>
      <c r="U1126" s="8"/>
    </row>
    <row r="1127" spans="20:21">
      <c r="T1127" s="8"/>
      <c r="U1127" s="8"/>
    </row>
    <row r="1128" spans="20:21">
      <c r="T1128" s="8"/>
      <c r="U1128" s="8"/>
    </row>
    <row r="1129" spans="20:21">
      <c r="T1129" s="8"/>
      <c r="U1129" s="8"/>
    </row>
    <row r="1130" spans="20:21">
      <c r="T1130" s="8"/>
      <c r="U1130" s="8"/>
    </row>
    <row r="1131" spans="20:21">
      <c r="T1131" s="8"/>
      <c r="U1131" s="8"/>
    </row>
    <row r="1132" spans="20:21">
      <c r="T1132" s="8"/>
      <c r="U1132" s="8"/>
    </row>
    <row r="1133" spans="20:21">
      <c r="T1133" s="8"/>
      <c r="U1133" s="8"/>
    </row>
    <row r="1134" spans="20:21">
      <c r="T1134" s="8"/>
      <c r="U1134" s="8"/>
    </row>
    <row r="1135" spans="20:21">
      <c r="T1135" s="8"/>
      <c r="U1135" s="8"/>
    </row>
    <row r="1136" spans="20:21">
      <c r="T1136" s="8"/>
      <c r="U1136" s="8"/>
    </row>
    <row r="1137" spans="20:21">
      <c r="T1137" s="8"/>
      <c r="U1137" s="8"/>
    </row>
    <row r="1138" spans="20:21">
      <c r="T1138" s="8"/>
      <c r="U1138" s="8"/>
    </row>
    <row r="1139" spans="20:21">
      <c r="T1139" s="8"/>
      <c r="U1139" s="8"/>
    </row>
    <row r="1140" spans="20:21">
      <c r="T1140" s="8"/>
      <c r="U1140" s="8"/>
    </row>
    <row r="1141" spans="20:21">
      <c r="T1141" s="8"/>
      <c r="U1141" s="8"/>
    </row>
    <row r="1142" spans="20:21">
      <c r="T1142" s="8"/>
      <c r="U1142" s="8"/>
    </row>
    <row r="1143" spans="20:21">
      <c r="T1143" s="8"/>
      <c r="U1143" s="8"/>
    </row>
    <row r="1144" spans="20:21">
      <c r="T1144" s="8"/>
      <c r="U1144" s="8"/>
    </row>
    <row r="1145" spans="20:21">
      <c r="T1145" s="8"/>
      <c r="U1145" s="8"/>
    </row>
    <row r="1146" spans="20:21">
      <c r="T1146" s="8"/>
      <c r="U1146" s="8"/>
    </row>
    <row r="1147" spans="20:21">
      <c r="T1147" s="8"/>
      <c r="U1147" s="8"/>
    </row>
    <row r="1148" spans="20:21">
      <c r="T1148" s="8"/>
      <c r="U1148" s="8"/>
    </row>
    <row r="1149" spans="20:21">
      <c r="T1149" s="8"/>
      <c r="U1149" s="8"/>
    </row>
    <row r="1150" spans="20:21">
      <c r="T1150" s="8"/>
      <c r="U1150" s="8"/>
    </row>
    <row r="1151" spans="20:21">
      <c r="T1151" s="8"/>
      <c r="U1151" s="8"/>
    </row>
    <row r="1152" spans="20:21">
      <c r="T1152" s="8"/>
      <c r="U1152" s="8"/>
    </row>
    <row r="1153" spans="20:21">
      <c r="T1153" s="8"/>
      <c r="U1153" s="8"/>
    </row>
    <row r="1154" spans="20:21">
      <c r="T1154" s="8"/>
      <c r="U1154" s="8"/>
    </row>
    <row r="1155" spans="20:21">
      <c r="T1155" s="8"/>
      <c r="U1155" s="8"/>
    </row>
    <row r="1156" spans="20:21">
      <c r="T1156" s="8"/>
      <c r="U1156" s="8"/>
    </row>
    <row r="1157" spans="20:21">
      <c r="T1157" s="8"/>
      <c r="U1157" s="8"/>
    </row>
    <row r="1158" spans="20:21">
      <c r="T1158" s="8"/>
      <c r="U1158" s="8"/>
    </row>
    <row r="1159" spans="20:21">
      <c r="T1159" s="8"/>
      <c r="U1159" s="8"/>
    </row>
    <row r="1160" spans="20:21">
      <c r="T1160" s="8"/>
      <c r="U1160" s="8"/>
    </row>
    <row r="1161" spans="20:21">
      <c r="T1161" s="8"/>
      <c r="U1161" s="8"/>
    </row>
    <row r="1162" spans="20:21">
      <c r="T1162" s="8"/>
      <c r="U1162" s="8"/>
    </row>
    <row r="1163" spans="20:21">
      <c r="T1163" s="8"/>
      <c r="U1163" s="8"/>
    </row>
    <row r="1164" spans="20:21">
      <c r="T1164" s="8"/>
      <c r="U1164" s="8"/>
    </row>
    <row r="1165" spans="20:21">
      <c r="T1165" s="8"/>
      <c r="U1165" s="8"/>
    </row>
    <row r="1166" spans="20:21">
      <c r="T1166" s="8"/>
      <c r="U1166" s="8"/>
    </row>
    <row r="1167" spans="20:21">
      <c r="T1167" s="8"/>
      <c r="U1167" s="8"/>
    </row>
    <row r="1168" spans="20:21">
      <c r="T1168" s="8"/>
      <c r="U1168" s="8"/>
    </row>
    <row r="1169" spans="20:21">
      <c r="T1169" s="8"/>
      <c r="U1169" s="8"/>
    </row>
    <row r="1170" spans="20:21">
      <c r="T1170" s="8"/>
      <c r="U1170" s="8"/>
    </row>
    <row r="1171" spans="20:21">
      <c r="T1171" s="8"/>
      <c r="U1171" s="8"/>
    </row>
    <row r="1172" spans="20:21">
      <c r="T1172" s="8"/>
      <c r="U1172" s="8"/>
    </row>
    <row r="1173" spans="20:21">
      <c r="T1173" s="8"/>
      <c r="U1173" s="8"/>
    </row>
    <row r="1174" spans="20:21">
      <c r="T1174" s="8"/>
      <c r="U1174" s="8"/>
    </row>
    <row r="1175" spans="20:21">
      <c r="T1175" s="8"/>
      <c r="U1175" s="8"/>
    </row>
    <row r="1176" spans="20:21">
      <c r="T1176" s="8"/>
      <c r="U1176" s="8"/>
    </row>
    <row r="1177" spans="20:21">
      <c r="T1177" s="8"/>
      <c r="U1177" s="8"/>
    </row>
    <row r="1178" spans="20:21">
      <c r="T1178" s="8"/>
      <c r="U1178" s="8"/>
    </row>
    <row r="1179" spans="20:21">
      <c r="T1179" s="8"/>
      <c r="U1179" s="8"/>
    </row>
    <row r="1180" spans="20:21">
      <c r="T1180" s="8"/>
      <c r="U1180" s="8"/>
    </row>
    <row r="1181" spans="20:21">
      <c r="T1181" s="8"/>
      <c r="U1181" s="8"/>
    </row>
    <row r="1182" spans="20:21">
      <c r="T1182" s="8"/>
      <c r="U1182" s="8"/>
    </row>
    <row r="1183" spans="20:21">
      <c r="T1183" s="8"/>
      <c r="U1183" s="8"/>
    </row>
    <row r="1184" spans="20:21">
      <c r="T1184" s="8"/>
      <c r="U1184" s="8"/>
    </row>
    <row r="1185" spans="20:21">
      <c r="T1185" s="8"/>
      <c r="U1185" s="8"/>
    </row>
    <row r="1186" spans="20:21">
      <c r="T1186" s="8"/>
      <c r="U1186" s="8"/>
    </row>
    <row r="1187" spans="20:21">
      <c r="T1187" s="8"/>
      <c r="U1187" s="8"/>
    </row>
    <row r="1188" spans="20:21">
      <c r="T1188" s="8"/>
      <c r="U1188" s="8"/>
    </row>
    <row r="1189" spans="20:21">
      <c r="T1189" s="8"/>
      <c r="U1189" s="8"/>
    </row>
    <row r="1190" spans="20:21">
      <c r="T1190" s="8"/>
      <c r="U1190" s="8"/>
    </row>
    <row r="1191" spans="20:21">
      <c r="T1191" s="8"/>
      <c r="U1191" s="8"/>
    </row>
    <row r="1192" spans="20:21">
      <c r="T1192" s="8"/>
      <c r="U1192" s="8"/>
    </row>
    <row r="1193" spans="20:21">
      <c r="T1193" s="8"/>
      <c r="U1193" s="8"/>
    </row>
    <row r="1194" spans="20:21">
      <c r="T1194" s="8"/>
      <c r="U1194" s="8"/>
    </row>
    <row r="1195" spans="20:21">
      <c r="T1195" s="8"/>
      <c r="U1195" s="8"/>
    </row>
    <row r="1196" spans="20:21">
      <c r="T1196" s="8"/>
      <c r="U1196" s="8"/>
    </row>
    <row r="1197" spans="20:21">
      <c r="T1197" s="8"/>
      <c r="U1197" s="8"/>
    </row>
    <row r="1198" spans="20:21">
      <c r="T1198" s="8"/>
      <c r="U1198" s="8"/>
    </row>
    <row r="1199" spans="20:21">
      <c r="T1199" s="8"/>
      <c r="U1199" s="8"/>
    </row>
    <row r="1200" spans="20:21">
      <c r="T1200" s="8"/>
      <c r="U1200" s="8"/>
    </row>
    <row r="1201" spans="20:21">
      <c r="T1201" s="8"/>
      <c r="U1201" s="8"/>
    </row>
    <row r="1202" spans="20:21">
      <c r="T1202" s="8"/>
      <c r="U1202" s="8"/>
    </row>
    <row r="1203" spans="20:21">
      <c r="T1203" s="8"/>
      <c r="U1203" s="8"/>
    </row>
    <row r="1204" spans="20:21">
      <c r="T1204" s="8"/>
      <c r="U1204" s="8"/>
    </row>
    <row r="1205" spans="20:21">
      <c r="T1205" s="8"/>
      <c r="U1205" s="8"/>
    </row>
    <row r="1206" spans="20:21">
      <c r="T1206" s="8"/>
      <c r="U1206" s="8"/>
    </row>
    <row r="1207" spans="20:21">
      <c r="T1207" s="8"/>
      <c r="U1207" s="8"/>
    </row>
    <row r="1208" spans="20:21">
      <c r="T1208" s="8"/>
      <c r="U1208" s="8"/>
    </row>
    <row r="1209" spans="20:21">
      <c r="T1209" s="8"/>
      <c r="U1209" s="8"/>
    </row>
    <row r="1210" spans="20:21">
      <c r="T1210" s="8"/>
      <c r="U1210" s="8"/>
    </row>
    <row r="1211" spans="20:21">
      <c r="T1211" s="8"/>
      <c r="U1211" s="8"/>
    </row>
    <row r="1212" spans="20:21">
      <c r="T1212" s="8"/>
      <c r="U1212" s="8"/>
    </row>
    <row r="1213" spans="20:21">
      <c r="T1213" s="8"/>
      <c r="U1213" s="8"/>
    </row>
    <row r="1214" spans="20:21">
      <c r="T1214" s="8"/>
      <c r="U1214" s="8"/>
    </row>
    <row r="1215" spans="20:21">
      <c r="T1215" s="8"/>
      <c r="U1215" s="8"/>
    </row>
    <row r="1216" spans="20:21">
      <c r="T1216" s="8"/>
      <c r="U1216" s="8"/>
    </row>
    <row r="1217" spans="20:21">
      <c r="T1217" s="8"/>
      <c r="U1217" s="8"/>
    </row>
    <row r="1218" spans="20:21">
      <c r="T1218" s="8"/>
      <c r="U1218" s="8"/>
    </row>
    <row r="1219" spans="20:21">
      <c r="T1219" s="8"/>
      <c r="U1219" s="8"/>
    </row>
    <row r="1220" spans="20:21">
      <c r="T1220" s="8"/>
      <c r="U1220" s="8"/>
    </row>
    <row r="1221" spans="20:21">
      <c r="T1221" s="8"/>
      <c r="U1221" s="8"/>
    </row>
    <row r="1222" spans="20:21">
      <c r="T1222" s="8"/>
      <c r="U1222" s="8"/>
    </row>
    <row r="1223" spans="20:21">
      <c r="T1223" s="8"/>
      <c r="U1223" s="8"/>
    </row>
    <row r="1224" spans="20:21">
      <c r="T1224" s="8"/>
      <c r="U1224" s="8"/>
    </row>
    <row r="1225" spans="20:21">
      <c r="T1225" s="8"/>
      <c r="U1225" s="8"/>
    </row>
    <row r="1226" spans="20:21">
      <c r="T1226" s="8"/>
      <c r="U1226" s="8"/>
    </row>
    <row r="1227" spans="20:21">
      <c r="T1227" s="8"/>
      <c r="U1227" s="8"/>
    </row>
    <row r="1228" spans="20:21">
      <c r="T1228" s="8"/>
      <c r="U1228" s="8"/>
    </row>
    <row r="1229" spans="20:21">
      <c r="T1229" s="8"/>
      <c r="U1229" s="8"/>
    </row>
    <row r="1230" spans="20:21">
      <c r="T1230" s="8"/>
      <c r="U1230" s="8"/>
    </row>
    <row r="1231" spans="20:21">
      <c r="T1231" s="8"/>
      <c r="U1231" s="8"/>
    </row>
    <row r="1232" spans="20:21">
      <c r="T1232" s="8"/>
      <c r="U1232" s="8"/>
    </row>
    <row r="1233" spans="20:21">
      <c r="T1233" s="8"/>
      <c r="U1233" s="8"/>
    </row>
    <row r="1234" spans="20:21">
      <c r="T1234" s="8"/>
      <c r="U1234" s="8"/>
    </row>
    <row r="1235" spans="20:21">
      <c r="T1235" s="8"/>
      <c r="U1235" s="8"/>
    </row>
    <row r="1236" spans="20:21">
      <c r="T1236" s="8"/>
      <c r="U1236" s="8"/>
    </row>
    <row r="1237" spans="20:21">
      <c r="T1237" s="8"/>
      <c r="U1237" s="8"/>
    </row>
    <row r="1238" spans="20:21">
      <c r="T1238" s="8"/>
      <c r="U1238" s="8"/>
    </row>
    <row r="1239" spans="20:21">
      <c r="T1239" s="8"/>
      <c r="U1239" s="8"/>
    </row>
    <row r="1240" spans="20:21">
      <c r="T1240" s="8"/>
      <c r="U1240" s="8"/>
    </row>
    <row r="1241" spans="20:21">
      <c r="T1241" s="8"/>
      <c r="U1241" s="8"/>
    </row>
    <row r="1242" spans="20:21">
      <c r="T1242" s="8"/>
      <c r="U1242" s="8"/>
    </row>
    <row r="1243" spans="20:21">
      <c r="T1243" s="8"/>
      <c r="U1243" s="8"/>
    </row>
    <row r="1244" spans="20:21">
      <c r="T1244" s="8"/>
      <c r="U1244" s="8"/>
    </row>
    <row r="1245" spans="20:21">
      <c r="T1245" s="8"/>
      <c r="U1245" s="8"/>
    </row>
    <row r="1246" spans="20:21">
      <c r="T1246" s="8"/>
      <c r="U1246" s="8"/>
    </row>
    <row r="1247" spans="20:21">
      <c r="T1247" s="8"/>
      <c r="U1247" s="8"/>
    </row>
    <row r="1248" spans="20:21">
      <c r="T1248" s="8"/>
      <c r="U1248" s="8"/>
    </row>
    <row r="1249" spans="20:21">
      <c r="T1249" s="8"/>
      <c r="U1249" s="8"/>
    </row>
    <row r="1250" spans="20:21">
      <c r="T1250" s="8"/>
      <c r="U1250" s="8"/>
    </row>
    <row r="1251" spans="20:21">
      <c r="T1251" s="8"/>
      <c r="U1251" s="8"/>
    </row>
    <row r="1252" spans="20:21">
      <c r="T1252" s="8"/>
      <c r="U1252" s="8"/>
    </row>
    <row r="1253" spans="20:21">
      <c r="T1253" s="8"/>
      <c r="U1253" s="8"/>
    </row>
    <row r="1254" spans="20:21">
      <c r="T1254" s="8"/>
      <c r="U1254" s="8"/>
    </row>
    <row r="1255" spans="20:21">
      <c r="T1255" s="8"/>
      <c r="U1255" s="8"/>
    </row>
    <row r="1256" spans="20:21">
      <c r="T1256" s="8"/>
      <c r="U1256" s="8"/>
    </row>
    <row r="1257" spans="20:21">
      <c r="T1257" s="8"/>
      <c r="U1257" s="8"/>
    </row>
    <row r="1258" spans="20:21">
      <c r="T1258" s="8"/>
      <c r="U1258" s="8"/>
    </row>
    <row r="1259" spans="20:21">
      <c r="T1259" s="8"/>
      <c r="U1259" s="8"/>
    </row>
    <row r="1260" spans="20:21">
      <c r="T1260" s="8"/>
      <c r="U1260" s="8"/>
    </row>
    <row r="1261" spans="20:21">
      <c r="T1261" s="8"/>
      <c r="U1261" s="8"/>
    </row>
    <row r="1262" spans="20:21">
      <c r="T1262" s="8"/>
      <c r="U1262" s="8"/>
    </row>
    <row r="1263" spans="20:21">
      <c r="T1263" s="8"/>
      <c r="U1263" s="8"/>
    </row>
    <row r="1264" spans="20:21">
      <c r="T1264" s="8"/>
      <c r="U1264" s="8"/>
    </row>
    <row r="1265" spans="20:21">
      <c r="T1265" s="8"/>
      <c r="U1265" s="8"/>
    </row>
    <row r="1266" spans="20:21">
      <c r="T1266" s="8"/>
      <c r="U1266" s="8"/>
    </row>
    <row r="1267" spans="20:21">
      <c r="T1267" s="8"/>
      <c r="U1267" s="8"/>
    </row>
    <row r="1268" spans="20:21">
      <c r="T1268" s="8"/>
      <c r="U1268" s="8"/>
    </row>
    <row r="1269" spans="20:21">
      <c r="T1269" s="8"/>
      <c r="U1269" s="8"/>
    </row>
    <row r="1270" spans="20:21">
      <c r="T1270" s="8"/>
      <c r="U1270" s="8"/>
    </row>
    <row r="1271" spans="20:21">
      <c r="T1271" s="8"/>
      <c r="U1271" s="8"/>
    </row>
    <row r="1272" spans="20:21">
      <c r="T1272" s="8"/>
      <c r="U1272" s="8"/>
    </row>
    <row r="1273" spans="20:21">
      <c r="T1273" s="8"/>
      <c r="U1273" s="8"/>
    </row>
    <row r="1274" spans="20:21">
      <c r="T1274" s="8"/>
      <c r="U1274" s="8"/>
    </row>
    <row r="1275" spans="20:21">
      <c r="T1275" s="8"/>
      <c r="U1275" s="8"/>
    </row>
    <row r="1276" spans="20:21">
      <c r="T1276" s="8"/>
      <c r="U1276" s="8"/>
    </row>
    <row r="1277" spans="20:21">
      <c r="T1277" s="8"/>
      <c r="U1277" s="8"/>
    </row>
    <row r="1278" spans="20:21">
      <c r="T1278" s="8"/>
      <c r="U1278" s="8"/>
    </row>
    <row r="1279" spans="20:21">
      <c r="T1279" s="8"/>
      <c r="U1279" s="8"/>
    </row>
    <row r="1280" spans="20:21">
      <c r="T1280" s="8"/>
      <c r="U1280" s="8"/>
    </row>
    <row r="1281" spans="20:21">
      <c r="T1281" s="8"/>
      <c r="U1281" s="8"/>
    </row>
    <row r="1282" spans="20:21">
      <c r="T1282" s="8"/>
      <c r="U1282" s="8"/>
    </row>
    <row r="1283" spans="20:21">
      <c r="T1283" s="8"/>
      <c r="U1283" s="8"/>
    </row>
    <row r="1284" spans="20:21">
      <c r="T1284" s="8"/>
      <c r="U1284" s="8"/>
    </row>
    <row r="1285" spans="20:21">
      <c r="T1285" s="8"/>
      <c r="U1285" s="8"/>
    </row>
    <row r="1286" spans="20:21">
      <c r="T1286" s="8"/>
      <c r="U1286" s="8"/>
    </row>
    <row r="1287" spans="20:21">
      <c r="T1287" s="8"/>
      <c r="U1287" s="8"/>
    </row>
    <row r="1288" spans="20:21">
      <c r="T1288" s="8"/>
      <c r="U1288" s="8"/>
    </row>
    <row r="1289" spans="20:21">
      <c r="T1289" s="8"/>
      <c r="U1289" s="8"/>
    </row>
    <row r="1290" spans="20:21">
      <c r="T1290" s="8"/>
      <c r="U1290" s="8"/>
    </row>
    <row r="1291" spans="20:21">
      <c r="T1291" s="8"/>
      <c r="U1291" s="8"/>
    </row>
    <row r="1292" spans="20:21">
      <c r="T1292" s="8"/>
      <c r="U1292" s="8"/>
    </row>
    <row r="1293" spans="20:21">
      <c r="T1293" s="8"/>
      <c r="U1293" s="8"/>
    </row>
    <row r="1294" spans="20:21">
      <c r="T1294" s="8"/>
      <c r="U1294" s="8"/>
    </row>
    <row r="1295" spans="20:21">
      <c r="T1295" s="8"/>
      <c r="U1295" s="8"/>
    </row>
    <row r="1296" spans="20:21">
      <c r="T1296" s="8"/>
      <c r="U1296" s="8"/>
    </row>
    <row r="1297" spans="20:21">
      <c r="T1297" s="8"/>
      <c r="U1297" s="8"/>
    </row>
    <row r="1298" spans="20:21">
      <c r="T1298" s="8"/>
      <c r="U1298" s="8"/>
    </row>
    <row r="1299" spans="20:21">
      <c r="T1299" s="8"/>
      <c r="U1299" s="8"/>
    </row>
    <row r="1300" spans="20:21">
      <c r="T1300" s="8"/>
      <c r="U1300" s="8"/>
    </row>
    <row r="1301" spans="20:21">
      <c r="T1301" s="8"/>
      <c r="U1301" s="8"/>
    </row>
    <row r="1302" spans="20:21">
      <c r="T1302" s="8"/>
      <c r="U1302" s="8"/>
    </row>
    <row r="1303" spans="20:21">
      <c r="T1303" s="8"/>
      <c r="U1303" s="8"/>
    </row>
    <row r="1304" spans="20:21">
      <c r="T1304" s="8"/>
      <c r="U1304" s="8"/>
    </row>
    <row r="1305" spans="20:21">
      <c r="T1305" s="8"/>
      <c r="U1305" s="8"/>
    </row>
    <row r="1306" spans="20:21">
      <c r="T1306" s="8"/>
      <c r="U1306" s="8"/>
    </row>
    <row r="1307" spans="20:21">
      <c r="T1307" s="8"/>
      <c r="U1307" s="8"/>
    </row>
    <row r="1308" spans="20:21">
      <c r="T1308" s="8"/>
      <c r="U1308" s="8"/>
    </row>
    <row r="1309" spans="20:21">
      <c r="T1309" s="8"/>
      <c r="U1309" s="8"/>
    </row>
    <row r="1310" spans="20:21">
      <c r="T1310" s="8"/>
      <c r="U1310" s="8"/>
    </row>
    <row r="1311" spans="20:21">
      <c r="T1311" s="8"/>
      <c r="U1311" s="8"/>
    </row>
    <row r="1312" spans="20:21">
      <c r="T1312" s="8"/>
      <c r="U1312" s="8"/>
    </row>
    <row r="1313" spans="20:21">
      <c r="T1313" s="8"/>
      <c r="U1313" s="8"/>
    </row>
    <row r="1314" spans="20:21">
      <c r="T1314" s="8"/>
      <c r="U1314" s="8"/>
    </row>
    <row r="1315" spans="20:21">
      <c r="T1315" s="8"/>
      <c r="U1315" s="8"/>
    </row>
    <row r="1316" spans="20:21">
      <c r="T1316" s="8"/>
      <c r="U1316" s="8"/>
    </row>
    <row r="1317" spans="20:21">
      <c r="T1317" s="8"/>
      <c r="U1317" s="8"/>
    </row>
    <row r="1318" spans="20:21">
      <c r="T1318" s="8"/>
      <c r="U1318" s="8"/>
    </row>
    <row r="1319" spans="20:21">
      <c r="T1319" s="8"/>
      <c r="U1319" s="8"/>
    </row>
    <row r="1320" spans="20:21">
      <c r="T1320" s="8"/>
      <c r="U1320" s="8"/>
    </row>
    <row r="1321" spans="20:21">
      <c r="T1321" s="8"/>
      <c r="U1321" s="8"/>
    </row>
    <row r="1322" spans="20:21">
      <c r="T1322" s="8"/>
      <c r="U1322" s="8"/>
    </row>
    <row r="1323" spans="20:21">
      <c r="T1323" s="8"/>
      <c r="U1323" s="8"/>
    </row>
    <row r="1324" spans="20:21">
      <c r="T1324" s="8"/>
      <c r="U1324" s="8"/>
    </row>
    <row r="1325" spans="20:21">
      <c r="T1325" s="8"/>
      <c r="U1325" s="8"/>
    </row>
    <row r="1326" spans="20:21">
      <c r="T1326" s="8"/>
      <c r="U1326" s="8"/>
    </row>
    <row r="1327" spans="20:21">
      <c r="T1327" s="8"/>
      <c r="U1327" s="8"/>
    </row>
    <row r="1328" spans="20:21">
      <c r="T1328" s="8"/>
      <c r="U1328" s="8"/>
    </row>
    <row r="1329" spans="20:21">
      <c r="T1329" s="8"/>
      <c r="U1329" s="8"/>
    </row>
    <row r="1330" spans="20:21">
      <c r="T1330" s="8"/>
      <c r="U1330" s="8"/>
    </row>
    <row r="1331" spans="20:21">
      <c r="T1331" s="8"/>
      <c r="U1331" s="8"/>
    </row>
    <row r="1332" spans="20:21">
      <c r="T1332" s="8"/>
      <c r="U1332" s="8"/>
    </row>
    <row r="1333" spans="20:21">
      <c r="T1333" s="8"/>
      <c r="U1333" s="8"/>
    </row>
    <row r="1334" spans="20:21">
      <c r="T1334" s="8"/>
      <c r="U1334" s="8"/>
    </row>
    <row r="1335" spans="20:21">
      <c r="T1335" s="8"/>
      <c r="U1335" s="8"/>
    </row>
    <row r="1336" spans="20:21">
      <c r="T1336" s="8"/>
      <c r="U1336" s="8"/>
    </row>
    <row r="1337" spans="20:21">
      <c r="T1337" s="8"/>
      <c r="U1337" s="8"/>
    </row>
    <row r="1338" spans="20:21">
      <c r="T1338" s="8"/>
      <c r="U1338" s="8"/>
    </row>
    <row r="1339" spans="20:21">
      <c r="T1339" s="8"/>
      <c r="U1339" s="8"/>
    </row>
    <row r="1340" spans="20:21">
      <c r="T1340" s="8"/>
      <c r="U1340" s="8"/>
    </row>
    <row r="1341" spans="20:21">
      <c r="T1341" s="8"/>
      <c r="U1341" s="8"/>
    </row>
    <row r="1342" spans="20:21">
      <c r="T1342" s="8"/>
      <c r="U1342" s="8"/>
    </row>
    <row r="1343" spans="20:21">
      <c r="T1343" s="8"/>
      <c r="U1343" s="8"/>
    </row>
    <row r="1344" spans="20:21">
      <c r="T1344" s="8"/>
      <c r="U1344" s="8"/>
    </row>
    <row r="1345" spans="20:21">
      <c r="T1345" s="8"/>
      <c r="U1345" s="8"/>
    </row>
    <row r="1346" spans="20:21">
      <c r="T1346" s="8"/>
      <c r="U1346" s="8"/>
    </row>
    <row r="1347" spans="20:21">
      <c r="T1347" s="8"/>
      <c r="U1347" s="8"/>
    </row>
    <row r="1348" spans="20:21">
      <c r="T1348" s="8"/>
      <c r="U1348" s="8"/>
    </row>
    <row r="1349" spans="20:21">
      <c r="T1349" s="8"/>
      <c r="U1349" s="8"/>
    </row>
    <row r="1350" spans="20:21">
      <c r="T1350" s="8"/>
      <c r="U1350" s="8"/>
    </row>
    <row r="1351" spans="20:21">
      <c r="T1351" s="8"/>
      <c r="U1351" s="8"/>
    </row>
    <row r="1352" spans="20:21">
      <c r="T1352" s="8"/>
      <c r="U1352" s="8"/>
    </row>
    <row r="1353" spans="20:21">
      <c r="T1353" s="8"/>
      <c r="U1353" s="8"/>
    </row>
    <row r="1354" spans="20:21">
      <c r="T1354" s="8"/>
      <c r="U1354" s="8"/>
    </row>
    <row r="1355" spans="20:21">
      <c r="T1355" s="8"/>
      <c r="U1355" s="8"/>
    </row>
    <row r="1356" spans="20:21">
      <c r="T1356" s="8"/>
      <c r="U1356" s="8"/>
    </row>
    <row r="1357" spans="20:21">
      <c r="T1357" s="8"/>
      <c r="U1357" s="8"/>
    </row>
    <row r="1358" spans="20:21">
      <c r="T1358" s="8"/>
      <c r="U1358" s="8"/>
    </row>
    <row r="1359" spans="20:21">
      <c r="T1359" s="8"/>
      <c r="U1359" s="8"/>
    </row>
    <row r="1360" spans="20:21">
      <c r="T1360" s="8"/>
      <c r="U1360" s="8"/>
    </row>
    <row r="1361" spans="20:21">
      <c r="T1361" s="8"/>
      <c r="U1361" s="8"/>
    </row>
    <row r="1362" spans="20:21">
      <c r="T1362" s="8"/>
      <c r="U1362" s="8"/>
    </row>
    <row r="1363" spans="20:21">
      <c r="T1363" s="8"/>
      <c r="U1363" s="8"/>
    </row>
    <row r="1364" spans="20:21">
      <c r="T1364" s="8"/>
      <c r="U1364" s="8"/>
    </row>
    <row r="1365" spans="20:21">
      <c r="T1365" s="8"/>
      <c r="U1365" s="8"/>
    </row>
    <row r="1366" spans="20:21">
      <c r="T1366" s="8"/>
      <c r="U1366" s="8"/>
    </row>
    <row r="1367" spans="20:21">
      <c r="T1367" s="8"/>
      <c r="U1367" s="8"/>
    </row>
    <row r="1368" spans="20:21">
      <c r="T1368" s="8"/>
      <c r="U1368" s="8"/>
    </row>
    <row r="1369" spans="20:21">
      <c r="T1369" s="8"/>
      <c r="U1369" s="8"/>
    </row>
    <row r="1370" spans="20:21">
      <c r="T1370" s="8"/>
      <c r="U1370" s="8"/>
    </row>
    <row r="1371" spans="20:21">
      <c r="T1371" s="8"/>
      <c r="U1371" s="8"/>
    </row>
    <row r="1372" spans="20:21">
      <c r="T1372" s="8"/>
      <c r="U1372" s="8"/>
    </row>
    <row r="1373" spans="20:21">
      <c r="T1373" s="8"/>
      <c r="U1373" s="8"/>
    </row>
    <row r="1374" spans="20:21">
      <c r="T1374" s="8"/>
      <c r="U1374" s="8"/>
    </row>
    <row r="1375" spans="20:21">
      <c r="T1375" s="8"/>
      <c r="U1375" s="8"/>
    </row>
    <row r="1376" spans="20:21">
      <c r="T1376" s="8"/>
      <c r="U1376" s="8"/>
    </row>
    <row r="1377" spans="20:21">
      <c r="T1377" s="8"/>
      <c r="U1377" s="8"/>
    </row>
    <row r="1378" spans="20:21">
      <c r="T1378" s="8"/>
      <c r="U1378" s="8"/>
    </row>
    <row r="1379" spans="20:21">
      <c r="T1379" s="8"/>
      <c r="U1379" s="8"/>
    </row>
    <row r="1380" spans="20:21">
      <c r="T1380" s="8"/>
      <c r="U1380" s="8"/>
    </row>
    <row r="1381" spans="20:21">
      <c r="T1381" s="8"/>
      <c r="U1381" s="8"/>
    </row>
    <row r="1382" spans="20:21">
      <c r="T1382" s="8"/>
      <c r="U1382" s="8"/>
    </row>
    <row r="1383" spans="20:21">
      <c r="T1383" s="8"/>
      <c r="U1383" s="8"/>
    </row>
    <row r="1384" spans="20:21">
      <c r="T1384" s="8"/>
      <c r="U1384" s="8"/>
    </row>
    <row r="1385" spans="20:21">
      <c r="T1385" s="8"/>
      <c r="U1385" s="8"/>
    </row>
    <row r="1386" spans="20:21">
      <c r="T1386" s="8"/>
      <c r="U1386" s="8"/>
    </row>
    <row r="1387" spans="20:21">
      <c r="T1387" s="8"/>
      <c r="U1387" s="8"/>
    </row>
    <row r="1388" spans="20:21">
      <c r="T1388" s="8"/>
      <c r="U1388" s="8"/>
    </row>
    <row r="1389" spans="20:21">
      <c r="T1389" s="8"/>
      <c r="U1389" s="8"/>
    </row>
    <row r="1390" spans="20:21">
      <c r="T1390" s="8"/>
      <c r="U1390" s="8"/>
    </row>
    <row r="1391" spans="20:21">
      <c r="T1391" s="8"/>
      <c r="U1391" s="8"/>
    </row>
    <row r="1392" spans="20:21">
      <c r="T1392" s="8"/>
      <c r="U1392" s="8"/>
    </row>
    <row r="1393" spans="20:21">
      <c r="T1393" s="8"/>
      <c r="U1393" s="8"/>
    </row>
    <row r="1394" spans="20:21">
      <c r="T1394" s="8"/>
      <c r="U1394" s="8"/>
    </row>
    <row r="1395" spans="20:21">
      <c r="T1395" s="8"/>
      <c r="U1395" s="8"/>
    </row>
    <row r="1396" spans="20:21">
      <c r="T1396" s="8"/>
      <c r="U1396" s="8"/>
    </row>
    <row r="1397" spans="20:21">
      <c r="T1397" s="8"/>
      <c r="U1397" s="8"/>
    </row>
    <row r="1398" spans="20:21">
      <c r="T1398" s="8"/>
      <c r="U1398" s="8"/>
    </row>
    <row r="1399" spans="20:21">
      <c r="T1399" s="8"/>
      <c r="U1399" s="8"/>
    </row>
    <row r="1400" spans="20:21">
      <c r="T1400" s="8"/>
      <c r="U1400" s="8"/>
    </row>
    <row r="1401" spans="20:21">
      <c r="T1401" s="8"/>
      <c r="U1401" s="8"/>
    </row>
    <row r="1402" spans="20:21">
      <c r="T1402" s="8"/>
      <c r="U1402" s="8"/>
    </row>
    <row r="1403" spans="20:21">
      <c r="T1403" s="8"/>
      <c r="U1403" s="8"/>
    </row>
    <row r="1404" spans="20:21">
      <c r="T1404" s="8"/>
      <c r="U1404" s="8"/>
    </row>
    <row r="1405" spans="20:21">
      <c r="T1405" s="8"/>
      <c r="U1405" s="8"/>
    </row>
    <row r="1406" spans="20:21">
      <c r="T1406" s="8"/>
      <c r="U1406" s="8"/>
    </row>
    <row r="1407" spans="20:21">
      <c r="T1407" s="8"/>
      <c r="U1407" s="8"/>
    </row>
    <row r="1408" spans="20:21">
      <c r="T1408" s="8"/>
      <c r="U1408" s="8"/>
    </row>
    <row r="1409" spans="20:21">
      <c r="T1409" s="8"/>
      <c r="U1409" s="8"/>
    </row>
    <row r="1410" spans="20:21">
      <c r="T1410" s="8"/>
      <c r="U1410" s="8"/>
    </row>
    <row r="1411" spans="20:21">
      <c r="T1411" s="8"/>
      <c r="U1411" s="8"/>
    </row>
    <row r="1412" spans="20:21">
      <c r="T1412" s="8"/>
      <c r="U1412" s="8"/>
    </row>
    <row r="1413" spans="20:21">
      <c r="T1413" s="8"/>
      <c r="U1413" s="8"/>
    </row>
    <row r="1414" spans="20:21">
      <c r="T1414" s="8"/>
      <c r="U1414" s="8"/>
    </row>
    <row r="1415" spans="20:21">
      <c r="T1415" s="8"/>
      <c r="U1415" s="8"/>
    </row>
    <row r="1416" spans="20:21">
      <c r="T1416" s="8"/>
      <c r="U1416" s="8"/>
    </row>
    <row r="1417" spans="20:21">
      <c r="T1417" s="8"/>
      <c r="U1417" s="8"/>
    </row>
    <row r="1418" spans="20:21">
      <c r="T1418" s="8"/>
      <c r="U1418" s="8"/>
    </row>
    <row r="1419" spans="20:21">
      <c r="T1419" s="8"/>
      <c r="U1419" s="8"/>
    </row>
    <row r="1420" spans="20:21">
      <c r="T1420" s="8"/>
      <c r="U1420" s="8"/>
    </row>
    <row r="1421" spans="20:21">
      <c r="T1421" s="8"/>
      <c r="U1421" s="8"/>
    </row>
    <row r="1422" spans="20:21">
      <c r="T1422" s="8"/>
      <c r="U1422" s="8"/>
    </row>
    <row r="1423" spans="20:21">
      <c r="T1423" s="8"/>
      <c r="U1423" s="8"/>
    </row>
    <row r="1424" spans="20:21">
      <c r="T1424" s="8"/>
      <c r="U1424" s="8"/>
    </row>
    <row r="1425" spans="20:21">
      <c r="T1425" s="8"/>
      <c r="U1425" s="8"/>
    </row>
    <row r="1426" spans="20:21">
      <c r="T1426" s="8"/>
      <c r="U1426" s="8"/>
    </row>
    <row r="1427" spans="20:21">
      <c r="T1427" s="8"/>
      <c r="U1427" s="8"/>
    </row>
    <row r="1428" spans="20:21">
      <c r="T1428" s="8"/>
      <c r="U1428" s="8"/>
    </row>
    <row r="1429" spans="20:21">
      <c r="T1429" s="8"/>
      <c r="U1429" s="8"/>
    </row>
    <row r="1430" spans="20:21">
      <c r="T1430" s="8"/>
      <c r="U1430" s="8"/>
    </row>
    <row r="1431" spans="20:21">
      <c r="T1431" s="8"/>
      <c r="U1431" s="8"/>
    </row>
    <row r="1432" spans="20:21">
      <c r="T1432" s="8"/>
      <c r="U1432" s="8"/>
    </row>
    <row r="1433" spans="20:21">
      <c r="T1433" s="8"/>
      <c r="U1433" s="8"/>
    </row>
    <row r="1434" spans="20:21">
      <c r="T1434" s="8"/>
      <c r="U1434" s="8"/>
    </row>
    <row r="1435" spans="20:21">
      <c r="T1435" s="8"/>
      <c r="U1435" s="8"/>
    </row>
    <row r="1436" spans="20:21">
      <c r="T1436" s="8"/>
      <c r="U1436" s="8"/>
    </row>
    <row r="1437" spans="20:21">
      <c r="T1437" s="8"/>
      <c r="U1437" s="8"/>
    </row>
    <row r="1438" spans="20:21">
      <c r="T1438" s="8"/>
      <c r="U1438" s="8"/>
    </row>
    <row r="1439" spans="20:21">
      <c r="T1439" s="8"/>
      <c r="U1439" s="8"/>
    </row>
    <row r="1440" spans="20:21">
      <c r="T1440" s="8"/>
      <c r="U1440" s="8"/>
    </row>
    <row r="1441" spans="20:21">
      <c r="T1441" s="8"/>
      <c r="U1441" s="8"/>
    </row>
    <row r="1442" spans="20:21">
      <c r="T1442" s="8"/>
      <c r="U1442" s="8"/>
    </row>
    <row r="1443" spans="20:21">
      <c r="T1443" s="8"/>
      <c r="U1443" s="8"/>
    </row>
    <row r="1444" spans="20:21">
      <c r="T1444" s="8"/>
      <c r="U1444" s="8"/>
    </row>
    <row r="1445" spans="20:21">
      <c r="T1445" s="8"/>
      <c r="U1445" s="8"/>
    </row>
    <row r="1446" spans="20:21">
      <c r="T1446" s="8"/>
      <c r="U1446" s="8"/>
    </row>
    <row r="1447" spans="20:21">
      <c r="T1447" s="8"/>
      <c r="U1447" s="8"/>
    </row>
    <row r="1448" spans="20:21">
      <c r="T1448" s="8"/>
      <c r="U1448" s="8"/>
    </row>
    <row r="1449" spans="20:21">
      <c r="T1449" s="8"/>
      <c r="U1449" s="8"/>
    </row>
    <row r="1450" spans="20:21">
      <c r="T1450" s="8"/>
      <c r="U1450" s="8"/>
    </row>
    <row r="1451" spans="20:21">
      <c r="T1451" s="8"/>
      <c r="U1451" s="8"/>
    </row>
    <row r="1452" spans="20:21">
      <c r="T1452" s="8"/>
      <c r="U1452" s="8"/>
    </row>
    <row r="1453" spans="20:21">
      <c r="T1453" s="8"/>
      <c r="U1453" s="8"/>
    </row>
    <row r="1454" spans="20:21">
      <c r="T1454" s="8"/>
      <c r="U1454" s="8"/>
    </row>
    <row r="1455" spans="20:21">
      <c r="T1455" s="8"/>
      <c r="U1455" s="8"/>
    </row>
    <row r="1456" spans="20:21">
      <c r="T1456" s="8"/>
      <c r="U1456" s="8"/>
    </row>
    <row r="1457" spans="20:21">
      <c r="T1457" s="8"/>
      <c r="U1457" s="8"/>
    </row>
    <row r="1458" spans="20:21">
      <c r="T1458" s="8"/>
      <c r="U1458" s="8"/>
    </row>
    <row r="1459" spans="20:21">
      <c r="T1459" s="8"/>
      <c r="U1459" s="8"/>
    </row>
    <row r="1460" spans="20:21">
      <c r="T1460" s="8"/>
      <c r="U1460" s="8"/>
    </row>
    <row r="1461" spans="20:21">
      <c r="T1461" s="8"/>
      <c r="U1461" s="8"/>
    </row>
    <row r="1462" spans="20:21">
      <c r="T1462" s="8"/>
      <c r="U1462" s="8"/>
    </row>
    <row r="1463" spans="20:21">
      <c r="T1463" s="8"/>
      <c r="U1463" s="8"/>
    </row>
    <row r="1464" spans="20:21">
      <c r="T1464" s="8"/>
      <c r="U1464" s="8"/>
    </row>
    <row r="1465" spans="20:21">
      <c r="T1465" s="8"/>
      <c r="U1465" s="8"/>
    </row>
    <row r="1466" spans="20:21">
      <c r="T1466" s="8"/>
      <c r="U1466" s="8"/>
    </row>
    <row r="1467" spans="20:21">
      <c r="T1467" s="8"/>
      <c r="U1467" s="8"/>
    </row>
    <row r="1468" spans="20:21">
      <c r="T1468" s="8"/>
      <c r="U1468" s="8"/>
    </row>
    <row r="1469" spans="20:21">
      <c r="T1469" s="8"/>
      <c r="U1469" s="8"/>
    </row>
    <row r="1470" spans="20:21">
      <c r="T1470" s="8"/>
      <c r="U1470" s="8"/>
    </row>
    <row r="1471" spans="20:21">
      <c r="T1471" s="8"/>
      <c r="U1471" s="8"/>
    </row>
    <row r="1472" spans="20:21">
      <c r="T1472" s="8"/>
      <c r="U1472" s="8"/>
    </row>
    <row r="1473" spans="20:21">
      <c r="T1473" s="8"/>
      <c r="U1473" s="8"/>
    </row>
    <row r="1474" spans="20:21">
      <c r="T1474" s="8"/>
      <c r="U1474" s="8"/>
    </row>
    <row r="1475" spans="20:21">
      <c r="T1475" s="8"/>
      <c r="U1475" s="8"/>
    </row>
    <row r="1476" spans="20:21">
      <c r="T1476" s="8"/>
      <c r="U1476" s="8"/>
    </row>
    <row r="1477" spans="20:21">
      <c r="T1477" s="8"/>
      <c r="U1477" s="8"/>
    </row>
    <row r="1478" spans="20:21">
      <c r="T1478" s="8"/>
      <c r="U1478" s="8"/>
    </row>
    <row r="1479" spans="20:21">
      <c r="T1479" s="8"/>
      <c r="U1479" s="8"/>
    </row>
    <row r="1480" spans="20:21">
      <c r="T1480" s="8"/>
      <c r="U1480" s="8"/>
    </row>
    <row r="1481" spans="20:21">
      <c r="T1481" s="8"/>
      <c r="U1481" s="8"/>
    </row>
    <row r="1482" spans="20:21">
      <c r="T1482" s="8"/>
      <c r="U1482" s="8"/>
    </row>
    <row r="1483" spans="20:21">
      <c r="T1483" s="8"/>
      <c r="U1483" s="8"/>
    </row>
    <row r="1484" spans="20:21">
      <c r="T1484" s="8"/>
      <c r="U1484" s="8"/>
    </row>
    <row r="1485" spans="20:21">
      <c r="T1485" s="8"/>
      <c r="U1485" s="8"/>
    </row>
    <row r="1486" spans="20:21">
      <c r="T1486" s="8"/>
      <c r="U1486" s="8"/>
    </row>
    <row r="1487" spans="20:21">
      <c r="T1487" s="8"/>
      <c r="U1487" s="8"/>
    </row>
    <row r="1488" spans="20:21">
      <c r="T1488" s="8"/>
      <c r="U1488" s="8"/>
    </row>
    <row r="1489" spans="20:21">
      <c r="T1489" s="8"/>
      <c r="U1489" s="8"/>
    </row>
    <row r="1490" spans="20:21">
      <c r="T1490" s="8"/>
      <c r="U1490" s="8"/>
    </row>
    <row r="1491" spans="20:21">
      <c r="T1491" s="8"/>
      <c r="U1491" s="8"/>
    </row>
    <row r="1492" spans="20:21">
      <c r="T1492" s="8"/>
      <c r="U1492" s="8"/>
    </row>
    <row r="1493" spans="20:21">
      <c r="T1493" s="8"/>
      <c r="U1493" s="8"/>
    </row>
    <row r="1494" spans="20:21">
      <c r="T1494" s="8"/>
      <c r="U1494" s="8"/>
    </row>
    <row r="1495" spans="20:21">
      <c r="T1495" s="8"/>
      <c r="U1495" s="8"/>
    </row>
    <row r="1496" spans="20:21">
      <c r="T1496" s="8"/>
      <c r="U1496" s="8"/>
    </row>
    <row r="1497" spans="20:21">
      <c r="T1497" s="8"/>
      <c r="U1497" s="8"/>
    </row>
    <row r="1498" spans="20:21">
      <c r="T1498" s="8"/>
      <c r="U1498" s="8"/>
    </row>
    <row r="1499" spans="20:21">
      <c r="T1499" s="8"/>
      <c r="U1499" s="8"/>
    </row>
    <row r="1500" spans="20:21">
      <c r="T1500" s="8"/>
      <c r="U1500" s="8"/>
    </row>
    <row r="1501" spans="20:21">
      <c r="T1501" s="8"/>
      <c r="U1501" s="8"/>
    </row>
    <row r="1502" spans="20:21">
      <c r="T1502" s="8"/>
      <c r="U1502" s="8"/>
    </row>
    <row r="1503" spans="20:21">
      <c r="T1503" s="8"/>
      <c r="U1503" s="8"/>
    </row>
    <row r="1504" spans="20:21">
      <c r="T1504" s="8"/>
      <c r="U1504" s="8"/>
    </row>
    <row r="1505" spans="20:21">
      <c r="T1505" s="8"/>
      <c r="U1505" s="8"/>
    </row>
    <row r="1506" spans="20:21">
      <c r="T1506" s="8"/>
      <c r="U1506" s="8"/>
    </row>
    <row r="1507" spans="20:21">
      <c r="T1507" s="8"/>
      <c r="U1507" s="8"/>
    </row>
    <row r="1508" spans="20:21">
      <c r="T1508" s="8"/>
      <c r="U1508" s="8"/>
    </row>
    <row r="1509" spans="20:21">
      <c r="T1509" s="8"/>
      <c r="U1509" s="8"/>
    </row>
    <row r="1510" spans="20:21">
      <c r="T1510" s="8"/>
      <c r="U1510" s="8"/>
    </row>
    <row r="1511" spans="20:21">
      <c r="T1511" s="8"/>
      <c r="U1511" s="8"/>
    </row>
    <row r="1512" spans="20:21">
      <c r="T1512" s="8"/>
      <c r="U1512" s="8"/>
    </row>
    <row r="1513" spans="20:21">
      <c r="T1513" s="8"/>
      <c r="U1513" s="8"/>
    </row>
    <row r="1514" spans="20:21">
      <c r="T1514" s="8"/>
      <c r="U1514" s="8"/>
    </row>
    <row r="1515" spans="20:21">
      <c r="T1515" s="8"/>
      <c r="U1515" s="8"/>
    </row>
    <row r="1516" spans="20:21">
      <c r="T1516" s="8"/>
      <c r="U1516" s="8"/>
    </row>
    <row r="1517" spans="20:21">
      <c r="T1517" s="8"/>
      <c r="U1517" s="8"/>
    </row>
    <row r="1518" spans="20:21">
      <c r="T1518" s="8"/>
      <c r="U1518" s="8"/>
    </row>
    <row r="1519" spans="20:21">
      <c r="T1519" s="8"/>
      <c r="U1519" s="8"/>
    </row>
    <row r="1520" spans="20:21">
      <c r="T1520" s="8"/>
      <c r="U1520" s="8"/>
    </row>
    <row r="1521" spans="20:21">
      <c r="T1521" s="8"/>
      <c r="U1521" s="8"/>
    </row>
    <row r="1522" spans="20:21">
      <c r="T1522" s="8"/>
      <c r="U1522" s="8"/>
    </row>
    <row r="1523" spans="20:21">
      <c r="T1523" s="8"/>
      <c r="U1523" s="8"/>
    </row>
    <row r="1524" spans="20:21">
      <c r="T1524" s="8"/>
      <c r="U1524" s="8"/>
    </row>
    <row r="1525" spans="20:21">
      <c r="T1525" s="8"/>
      <c r="U1525" s="8"/>
    </row>
    <row r="1526" spans="20:21">
      <c r="T1526" s="8"/>
      <c r="U1526" s="8"/>
    </row>
    <row r="1527" spans="20:21">
      <c r="T1527" s="8"/>
      <c r="U1527" s="8"/>
    </row>
    <row r="1528" spans="20:21">
      <c r="T1528" s="8"/>
      <c r="U1528" s="8"/>
    </row>
    <row r="1529" spans="20:21">
      <c r="T1529" s="8"/>
      <c r="U1529" s="8"/>
    </row>
    <row r="1530" spans="20:21">
      <c r="T1530" s="8"/>
      <c r="U1530" s="8"/>
    </row>
    <row r="1531" spans="20:21">
      <c r="T1531" s="8"/>
      <c r="U1531" s="8"/>
    </row>
    <row r="1532" spans="20:21">
      <c r="T1532" s="8"/>
      <c r="U1532" s="8"/>
    </row>
    <row r="1533" spans="20:21">
      <c r="T1533" s="8"/>
      <c r="U1533" s="8"/>
    </row>
    <row r="1534" spans="20:21">
      <c r="T1534" s="8"/>
      <c r="U1534" s="8"/>
    </row>
    <row r="1535" spans="20:21">
      <c r="T1535" s="8"/>
      <c r="U1535" s="8"/>
    </row>
    <row r="1536" spans="20:21">
      <c r="T1536" s="8"/>
      <c r="U1536" s="8"/>
    </row>
    <row r="1537" spans="20:21">
      <c r="T1537" s="8"/>
      <c r="U1537" s="8"/>
    </row>
    <row r="1538" spans="20:21">
      <c r="T1538" s="8"/>
      <c r="U1538" s="8"/>
    </row>
    <row r="1539" spans="20:21">
      <c r="T1539" s="8"/>
      <c r="U1539" s="8"/>
    </row>
    <row r="1540" spans="20:21">
      <c r="T1540" s="8"/>
      <c r="U1540" s="8"/>
    </row>
    <row r="1541" spans="20:21">
      <c r="T1541" s="8"/>
      <c r="U1541" s="8"/>
    </row>
    <row r="1542" spans="20:21">
      <c r="T1542" s="8"/>
      <c r="U1542" s="8"/>
    </row>
    <row r="1543" spans="20:21">
      <c r="T1543" s="8"/>
      <c r="U1543" s="8"/>
    </row>
    <row r="1544" spans="20:21">
      <c r="T1544" s="8"/>
      <c r="U1544" s="8"/>
    </row>
    <row r="1545" spans="20:21">
      <c r="T1545" s="8"/>
      <c r="U1545" s="8"/>
    </row>
    <row r="1546" spans="20:21">
      <c r="T1546" s="8"/>
      <c r="U1546" s="8"/>
    </row>
    <row r="1547" spans="20:21">
      <c r="T1547" s="8"/>
      <c r="U1547" s="8"/>
    </row>
    <row r="1548" spans="20:21">
      <c r="T1548" s="8"/>
      <c r="U1548" s="8"/>
    </row>
    <row r="1549" spans="20:21">
      <c r="T1549" s="8"/>
      <c r="U1549" s="8"/>
    </row>
    <row r="1550" spans="20:21">
      <c r="T1550" s="8"/>
      <c r="U1550" s="8"/>
    </row>
    <row r="1551" spans="20:21">
      <c r="T1551" s="8"/>
      <c r="U1551" s="8"/>
    </row>
    <row r="1552" spans="20:21">
      <c r="T1552" s="8"/>
      <c r="U1552" s="8"/>
    </row>
    <row r="1553" spans="20:21">
      <c r="T1553" s="8"/>
      <c r="U1553" s="8"/>
    </row>
    <row r="1554" spans="20:21">
      <c r="T1554" s="8"/>
      <c r="U1554" s="8"/>
    </row>
    <row r="1555" spans="20:21">
      <c r="T1555" s="8"/>
      <c r="U1555" s="8"/>
    </row>
    <row r="1556" spans="20:21">
      <c r="T1556" s="8"/>
      <c r="U1556" s="8"/>
    </row>
    <row r="1557" spans="20:21">
      <c r="T1557" s="8"/>
      <c r="U1557" s="8"/>
    </row>
    <row r="1558" spans="20:21">
      <c r="T1558" s="8"/>
      <c r="U1558" s="8"/>
    </row>
    <row r="1559" spans="20:21">
      <c r="T1559" s="8"/>
      <c r="U1559" s="8"/>
    </row>
    <row r="1560" spans="20:21">
      <c r="T1560" s="8"/>
      <c r="U1560" s="8"/>
    </row>
    <row r="1561" spans="20:21">
      <c r="T1561" s="8"/>
      <c r="U1561" s="8"/>
    </row>
    <row r="1562" spans="20:21">
      <c r="T1562" s="8"/>
      <c r="U1562" s="8"/>
    </row>
    <row r="1563" spans="20:21">
      <c r="T1563" s="8"/>
      <c r="U1563" s="8"/>
    </row>
    <row r="1564" spans="20:21">
      <c r="T1564" s="8"/>
      <c r="U1564" s="8"/>
    </row>
    <row r="1565" spans="20:21">
      <c r="T1565" s="8"/>
      <c r="U1565" s="8"/>
    </row>
    <row r="1566" spans="20:21">
      <c r="T1566" s="8"/>
      <c r="U1566" s="8"/>
    </row>
    <row r="1567" spans="20:21">
      <c r="T1567" s="8"/>
      <c r="U1567" s="8"/>
    </row>
    <row r="1568" spans="20:21">
      <c r="T1568" s="8"/>
      <c r="U1568" s="8"/>
    </row>
    <row r="1569" spans="20:21">
      <c r="T1569" s="8"/>
      <c r="U1569" s="8"/>
    </row>
    <row r="1570" spans="20:21">
      <c r="T1570" s="8"/>
      <c r="U1570" s="8"/>
    </row>
    <row r="1571" spans="20:21">
      <c r="T1571" s="8"/>
      <c r="U1571" s="8"/>
    </row>
    <row r="1572" spans="20:21">
      <c r="T1572" s="8"/>
      <c r="U1572" s="8"/>
    </row>
    <row r="1573" spans="20:21">
      <c r="T1573" s="8"/>
      <c r="U1573" s="8"/>
    </row>
    <row r="1574" spans="20:21">
      <c r="T1574" s="8"/>
      <c r="U1574" s="8"/>
    </row>
    <row r="1575" spans="20:21">
      <c r="T1575" s="8"/>
      <c r="U1575" s="8"/>
    </row>
    <row r="1576" spans="20:21">
      <c r="T1576" s="8"/>
      <c r="U1576" s="8"/>
    </row>
    <row r="1577" spans="20:21">
      <c r="T1577" s="8"/>
      <c r="U1577" s="8"/>
    </row>
    <row r="1578" spans="20:21">
      <c r="T1578" s="8"/>
      <c r="U1578" s="8"/>
    </row>
    <row r="1579" spans="20:21">
      <c r="T1579" s="8"/>
      <c r="U1579" s="8"/>
    </row>
    <row r="1580" spans="20:21">
      <c r="T1580" s="8"/>
      <c r="U1580" s="8"/>
    </row>
    <row r="1581" spans="20:21">
      <c r="T1581" s="8"/>
      <c r="U1581" s="8"/>
    </row>
    <row r="1582" spans="20:21">
      <c r="T1582" s="8"/>
      <c r="U1582" s="8"/>
    </row>
    <row r="1583" spans="20:21">
      <c r="T1583" s="8"/>
      <c r="U1583" s="8"/>
    </row>
    <row r="1584" spans="20:21">
      <c r="T1584" s="8"/>
      <c r="U1584" s="8"/>
    </row>
    <row r="1585" spans="20:21">
      <c r="T1585" s="8"/>
      <c r="U1585" s="8"/>
    </row>
    <row r="1586" spans="20:21">
      <c r="T1586" s="8"/>
      <c r="U1586" s="8"/>
    </row>
    <row r="1587" spans="20:21">
      <c r="T1587" s="8"/>
      <c r="U1587" s="8"/>
    </row>
    <row r="1588" spans="20:21">
      <c r="T1588" s="8"/>
      <c r="U1588" s="8"/>
    </row>
    <row r="1589" spans="20:21">
      <c r="T1589" s="8"/>
      <c r="U1589" s="8"/>
    </row>
    <row r="1590" spans="20:21">
      <c r="T1590" s="8"/>
      <c r="U1590" s="8"/>
    </row>
    <row r="1591" spans="20:21">
      <c r="T1591" s="8"/>
      <c r="U1591" s="8"/>
    </row>
    <row r="1592" spans="20:21">
      <c r="T1592" s="8"/>
      <c r="U1592" s="8"/>
    </row>
    <row r="1593" spans="20:21">
      <c r="T1593" s="8"/>
      <c r="U1593" s="8"/>
    </row>
    <row r="1594" spans="20:21">
      <c r="T1594" s="8"/>
      <c r="U1594" s="8"/>
    </row>
    <row r="1595" spans="20:21">
      <c r="T1595" s="8"/>
      <c r="U1595" s="8"/>
    </row>
    <row r="1596" spans="20:21">
      <c r="T1596" s="8"/>
      <c r="U1596" s="8"/>
    </row>
    <row r="1597" spans="20:21">
      <c r="T1597" s="8"/>
      <c r="U1597" s="8"/>
    </row>
    <row r="1598" spans="20:21">
      <c r="T1598" s="8"/>
      <c r="U1598" s="8"/>
    </row>
    <row r="1599" spans="20:21">
      <c r="T1599" s="8"/>
      <c r="U1599" s="8"/>
    </row>
    <row r="1600" spans="20:21">
      <c r="T1600" s="8"/>
      <c r="U1600" s="8"/>
    </row>
    <row r="1601" spans="20:21">
      <c r="T1601" s="8"/>
      <c r="U1601" s="8"/>
    </row>
    <row r="1602" spans="20:21">
      <c r="T1602" s="8"/>
      <c r="U1602" s="8"/>
    </row>
    <row r="1603" spans="20:21">
      <c r="T1603" s="8"/>
      <c r="U1603" s="8"/>
    </row>
    <row r="1604" spans="20:21">
      <c r="T1604" s="8"/>
      <c r="U1604" s="8"/>
    </row>
    <row r="1605" spans="20:21">
      <c r="T1605" s="8"/>
      <c r="U1605" s="8"/>
    </row>
    <row r="1606" spans="20:21">
      <c r="T1606" s="8"/>
      <c r="U1606" s="8"/>
    </row>
    <row r="1607" spans="20:21">
      <c r="T1607" s="8"/>
      <c r="U1607" s="8"/>
    </row>
    <row r="1608" spans="20:21">
      <c r="T1608" s="8"/>
      <c r="U1608" s="8"/>
    </row>
    <row r="1609" spans="20:21">
      <c r="T1609" s="8"/>
      <c r="U1609" s="8"/>
    </row>
    <row r="1610" spans="20:21">
      <c r="T1610" s="8"/>
      <c r="U1610" s="8"/>
    </row>
    <row r="1611" spans="20:21">
      <c r="T1611" s="8"/>
      <c r="U1611" s="8"/>
    </row>
    <row r="1612" spans="20:21">
      <c r="T1612" s="8"/>
      <c r="U1612" s="8"/>
    </row>
    <row r="1613" spans="20:21">
      <c r="T1613" s="8"/>
      <c r="U1613" s="8"/>
    </row>
    <row r="1614" spans="20:21">
      <c r="T1614" s="8"/>
      <c r="U1614" s="8"/>
    </row>
    <row r="1615" spans="20:21">
      <c r="T1615" s="8"/>
      <c r="U1615" s="8"/>
    </row>
    <row r="1616" spans="20:21">
      <c r="T1616" s="8"/>
      <c r="U1616" s="8"/>
    </row>
    <row r="1617" spans="20:21">
      <c r="T1617" s="8"/>
      <c r="U1617" s="8"/>
    </row>
    <row r="1618" spans="20:21">
      <c r="T1618" s="8"/>
      <c r="U1618" s="8"/>
    </row>
    <row r="1619" spans="20:21">
      <c r="T1619" s="8"/>
      <c r="U1619" s="8"/>
    </row>
    <row r="1620" spans="20:21">
      <c r="T1620" s="8"/>
      <c r="U1620" s="8"/>
    </row>
    <row r="1621" spans="20:21">
      <c r="T1621" s="8"/>
      <c r="U1621" s="8"/>
    </row>
    <row r="1622" spans="20:21">
      <c r="T1622" s="8"/>
      <c r="U1622" s="8"/>
    </row>
    <row r="1623" spans="20:21">
      <c r="T1623" s="8"/>
      <c r="U1623" s="8"/>
    </row>
    <row r="1624" spans="20:21">
      <c r="T1624" s="8"/>
      <c r="U1624" s="8"/>
    </row>
    <row r="1625" spans="20:21">
      <c r="T1625" s="8"/>
      <c r="U1625" s="8"/>
    </row>
    <row r="1626" spans="20:21">
      <c r="T1626" s="8"/>
      <c r="U1626" s="8"/>
    </row>
    <row r="1627" spans="20:21">
      <c r="T1627" s="8"/>
      <c r="U1627" s="8"/>
    </row>
    <row r="1628" spans="20:21">
      <c r="T1628" s="8"/>
      <c r="U1628" s="8"/>
    </row>
    <row r="1629" spans="20:21">
      <c r="T1629" s="8"/>
      <c r="U1629" s="8"/>
    </row>
    <row r="1630" spans="20:21">
      <c r="T1630" s="8"/>
      <c r="U1630" s="8"/>
    </row>
    <row r="1631" spans="20:21">
      <c r="T1631" s="8"/>
      <c r="U1631" s="8"/>
    </row>
    <row r="1632" spans="20:21">
      <c r="T1632" s="8"/>
      <c r="U1632" s="8"/>
    </row>
    <row r="1633" spans="20:21">
      <c r="T1633" s="8"/>
      <c r="U1633" s="8"/>
    </row>
    <row r="1634" spans="20:21">
      <c r="T1634" s="8"/>
      <c r="U1634" s="8"/>
    </row>
    <row r="1635" spans="20:21">
      <c r="T1635" s="8"/>
      <c r="U1635" s="8"/>
    </row>
    <row r="1636" spans="20:21">
      <c r="T1636" s="8"/>
      <c r="U1636" s="8"/>
    </row>
    <row r="1637" spans="20:21">
      <c r="T1637" s="8"/>
      <c r="U1637" s="8"/>
    </row>
    <row r="1638" spans="20:21">
      <c r="T1638" s="8"/>
      <c r="U1638" s="8"/>
    </row>
    <row r="1639" spans="20:21">
      <c r="T1639" s="8"/>
      <c r="U1639" s="8"/>
    </row>
    <row r="1640" spans="20:21">
      <c r="T1640" s="8"/>
      <c r="U1640" s="8"/>
    </row>
    <row r="1641" spans="20:21">
      <c r="T1641" s="8"/>
      <c r="U1641" s="8"/>
    </row>
    <row r="1642" spans="20:21">
      <c r="T1642" s="8"/>
      <c r="U1642" s="8"/>
    </row>
    <row r="1643" spans="20:21">
      <c r="T1643" s="8"/>
      <c r="U1643" s="8"/>
    </row>
    <row r="1644" spans="20:21">
      <c r="T1644" s="8"/>
      <c r="U1644" s="8"/>
    </row>
    <row r="1645" spans="20:21">
      <c r="T1645" s="8"/>
      <c r="U1645" s="8"/>
    </row>
    <row r="1646" spans="20:21">
      <c r="T1646" s="8"/>
      <c r="U1646" s="8"/>
    </row>
    <row r="1647" spans="20:21">
      <c r="T1647" s="8"/>
      <c r="U1647" s="8"/>
    </row>
    <row r="1648" spans="20:21">
      <c r="T1648" s="8"/>
      <c r="U1648" s="8"/>
    </row>
    <row r="1649" spans="20:21">
      <c r="T1649" s="8"/>
      <c r="U1649" s="8"/>
    </row>
    <row r="1650" spans="20:21">
      <c r="T1650" s="8"/>
      <c r="U1650" s="8"/>
    </row>
    <row r="1651" spans="20:21">
      <c r="T1651" s="8"/>
      <c r="U1651" s="8"/>
    </row>
    <row r="1652" spans="20:21">
      <c r="T1652" s="8"/>
      <c r="U1652" s="8"/>
    </row>
    <row r="1653" spans="20:21">
      <c r="T1653" s="8"/>
      <c r="U1653" s="8"/>
    </row>
    <row r="1654" spans="20:21">
      <c r="T1654" s="8"/>
      <c r="U1654" s="8"/>
    </row>
    <row r="1655" spans="20:21">
      <c r="T1655" s="8"/>
      <c r="U1655" s="8"/>
    </row>
    <row r="1656" spans="20:21">
      <c r="T1656" s="8"/>
      <c r="U1656" s="8"/>
    </row>
    <row r="1657" spans="20:21">
      <c r="T1657" s="8"/>
      <c r="U1657" s="8"/>
    </row>
    <row r="1658" spans="20:21">
      <c r="T1658" s="8"/>
      <c r="U1658" s="8"/>
    </row>
    <row r="1659" spans="20:21">
      <c r="T1659" s="8"/>
      <c r="U1659" s="8"/>
    </row>
    <row r="1660" spans="20:21">
      <c r="T1660" s="8"/>
      <c r="U1660" s="8"/>
    </row>
    <row r="1661" spans="20:21">
      <c r="T1661" s="8"/>
      <c r="U1661" s="8"/>
    </row>
    <row r="1662" spans="20:21">
      <c r="T1662" s="8"/>
      <c r="U1662" s="8"/>
    </row>
    <row r="1663" spans="20:21">
      <c r="T1663" s="8"/>
      <c r="U1663" s="8"/>
    </row>
    <row r="1664" spans="20:21">
      <c r="T1664" s="8"/>
      <c r="U1664" s="8"/>
    </row>
    <row r="1665" spans="20:21">
      <c r="T1665" s="8"/>
      <c r="U1665" s="8"/>
    </row>
    <row r="1666" spans="20:21">
      <c r="T1666" s="8"/>
      <c r="U1666" s="8"/>
    </row>
    <row r="1667" spans="20:21">
      <c r="T1667" s="8"/>
      <c r="U1667" s="8"/>
    </row>
    <row r="1668" spans="20:21">
      <c r="T1668" s="8"/>
      <c r="U1668" s="8"/>
    </row>
    <row r="1669" spans="20:21">
      <c r="T1669" s="8"/>
      <c r="U1669" s="8"/>
    </row>
    <row r="1670" spans="20:21">
      <c r="T1670" s="8"/>
      <c r="U1670" s="8"/>
    </row>
    <row r="1671" spans="20:21">
      <c r="T1671" s="8"/>
      <c r="U1671" s="8"/>
    </row>
    <row r="1672" spans="20:21">
      <c r="T1672" s="8"/>
      <c r="U1672" s="8"/>
    </row>
    <row r="1673" spans="20:21">
      <c r="T1673" s="8"/>
      <c r="U1673" s="8"/>
    </row>
    <row r="1674" spans="20:21">
      <c r="T1674" s="8"/>
      <c r="U1674" s="8"/>
    </row>
    <row r="1675" spans="20:21">
      <c r="T1675" s="8"/>
      <c r="U1675" s="8"/>
    </row>
    <row r="1676" spans="20:21">
      <c r="T1676" s="8"/>
      <c r="U1676" s="8"/>
    </row>
    <row r="1677" spans="20:21">
      <c r="T1677" s="8"/>
      <c r="U1677" s="8"/>
    </row>
    <row r="1678" spans="20:21">
      <c r="T1678" s="8"/>
      <c r="U1678" s="8"/>
    </row>
    <row r="1679" spans="20:21">
      <c r="T1679" s="8"/>
      <c r="U1679" s="8"/>
    </row>
    <row r="1680" spans="20:21">
      <c r="T1680" s="8"/>
      <c r="U1680" s="8"/>
    </row>
    <row r="1681" spans="20:21">
      <c r="T1681" s="8"/>
      <c r="U1681" s="8"/>
    </row>
    <row r="1682" spans="20:21">
      <c r="T1682" s="8"/>
      <c r="U1682" s="8"/>
    </row>
    <row r="1683" spans="20:21">
      <c r="T1683" s="8"/>
      <c r="U1683" s="8"/>
    </row>
    <row r="1684" spans="20:21">
      <c r="T1684" s="8"/>
      <c r="U1684" s="8"/>
    </row>
    <row r="1685" spans="20:21">
      <c r="T1685" s="8"/>
      <c r="U1685" s="8"/>
    </row>
    <row r="1686" spans="20:21">
      <c r="T1686" s="8"/>
      <c r="U1686" s="8"/>
    </row>
    <row r="1687" spans="20:21">
      <c r="T1687" s="8"/>
      <c r="U1687" s="8"/>
    </row>
    <row r="1688" spans="20:21">
      <c r="T1688" s="8"/>
      <c r="U1688" s="8"/>
    </row>
    <row r="1689" spans="20:21">
      <c r="T1689" s="8"/>
      <c r="U1689" s="8"/>
    </row>
    <row r="1690" spans="20:21">
      <c r="T1690" s="8"/>
      <c r="U1690" s="8"/>
    </row>
    <row r="1691" spans="20:21">
      <c r="T1691" s="8"/>
      <c r="U1691" s="8"/>
    </row>
    <row r="1692" spans="20:21">
      <c r="T1692" s="8"/>
      <c r="U1692" s="8"/>
    </row>
    <row r="1693" spans="20:21">
      <c r="T1693" s="8"/>
      <c r="U1693" s="8"/>
    </row>
    <row r="1694" spans="20:21">
      <c r="T1694" s="8"/>
      <c r="U1694" s="8"/>
    </row>
    <row r="1695" spans="20:21">
      <c r="T1695" s="8"/>
      <c r="U1695" s="8"/>
    </row>
    <row r="1696" spans="20:21">
      <c r="T1696" s="8"/>
      <c r="U1696" s="8"/>
    </row>
    <row r="1697" spans="20:21">
      <c r="T1697" s="8"/>
      <c r="U1697" s="8"/>
    </row>
    <row r="1698" spans="20:21">
      <c r="T1698" s="8"/>
      <c r="U1698" s="8"/>
    </row>
    <row r="1699" spans="20:21">
      <c r="T1699" s="8"/>
      <c r="U1699" s="8"/>
    </row>
    <row r="1700" spans="20:21">
      <c r="T1700" s="8"/>
      <c r="U1700" s="8"/>
    </row>
    <row r="1701" spans="20:21">
      <c r="T1701" s="8"/>
      <c r="U1701" s="8"/>
    </row>
    <row r="1702" spans="20:21">
      <c r="T1702" s="8"/>
      <c r="U1702" s="8"/>
    </row>
    <row r="1703" spans="20:21">
      <c r="T1703" s="8"/>
      <c r="U1703" s="8"/>
    </row>
    <row r="1704" spans="20:21">
      <c r="T1704" s="8"/>
      <c r="U1704" s="8"/>
    </row>
    <row r="1705" spans="20:21">
      <c r="T1705" s="8"/>
      <c r="U1705" s="8"/>
    </row>
    <row r="1706" spans="20:21">
      <c r="T1706" s="8"/>
      <c r="U1706" s="8"/>
    </row>
    <row r="1707" spans="20:21">
      <c r="T1707" s="8"/>
      <c r="U1707" s="8"/>
    </row>
    <row r="1708" spans="20:21">
      <c r="T1708" s="8"/>
      <c r="U1708" s="8"/>
    </row>
    <row r="1709" spans="20:21">
      <c r="T1709" s="8"/>
      <c r="U1709" s="8"/>
    </row>
    <row r="1710" spans="20:21">
      <c r="T1710" s="8"/>
      <c r="U1710" s="8"/>
    </row>
    <row r="1711" spans="20:21">
      <c r="T1711" s="8"/>
      <c r="U1711" s="8"/>
    </row>
    <row r="1712" spans="20:21">
      <c r="T1712" s="8"/>
      <c r="U1712" s="8"/>
    </row>
    <row r="1713" spans="20:21">
      <c r="T1713" s="8"/>
      <c r="U1713" s="8"/>
    </row>
    <row r="1714" spans="20:21">
      <c r="T1714" s="8"/>
      <c r="U1714" s="8"/>
    </row>
    <row r="1715" spans="20:21">
      <c r="T1715" s="8"/>
      <c r="U1715" s="8"/>
    </row>
    <row r="1716" spans="20:21">
      <c r="T1716" s="8"/>
      <c r="U1716" s="8"/>
    </row>
    <row r="1717" spans="20:21">
      <c r="T1717" s="8"/>
      <c r="U1717" s="8"/>
    </row>
    <row r="1718" spans="20:21">
      <c r="T1718" s="8"/>
      <c r="U1718" s="8"/>
    </row>
    <row r="1719" spans="20:21">
      <c r="T1719" s="8"/>
      <c r="U1719" s="8"/>
    </row>
    <row r="1720" spans="20:21">
      <c r="T1720" s="8"/>
      <c r="U1720" s="8"/>
    </row>
    <row r="1721" spans="20:21">
      <c r="T1721" s="8"/>
      <c r="U1721" s="8"/>
    </row>
    <row r="1722" spans="20:21">
      <c r="T1722" s="8"/>
      <c r="U1722" s="8"/>
    </row>
    <row r="1723" spans="20:21">
      <c r="T1723" s="8"/>
      <c r="U1723" s="8"/>
    </row>
    <row r="1724" spans="20:21">
      <c r="T1724" s="8"/>
      <c r="U1724" s="8"/>
    </row>
    <row r="1725" spans="20:21">
      <c r="T1725" s="8"/>
      <c r="U1725" s="8"/>
    </row>
    <row r="1726" spans="20:21">
      <c r="T1726" s="8"/>
      <c r="U1726" s="8"/>
    </row>
    <row r="1727" spans="20:21">
      <c r="T1727" s="8"/>
      <c r="U1727" s="8"/>
    </row>
    <row r="1728" spans="20:21">
      <c r="T1728" s="8"/>
      <c r="U1728" s="8"/>
    </row>
    <row r="1729" spans="20:21">
      <c r="T1729" s="8"/>
      <c r="U1729" s="8"/>
    </row>
    <row r="1730" spans="20:21">
      <c r="T1730" s="8"/>
      <c r="U1730" s="8"/>
    </row>
    <row r="1731" spans="20:21">
      <c r="T1731" s="8"/>
      <c r="U1731" s="8"/>
    </row>
    <row r="1732" spans="20:21">
      <c r="T1732" s="8"/>
      <c r="U1732" s="8"/>
    </row>
    <row r="1733" spans="20:21">
      <c r="T1733" s="8"/>
      <c r="U1733" s="8"/>
    </row>
    <row r="1734" spans="20:21">
      <c r="T1734" s="8"/>
      <c r="U1734" s="8"/>
    </row>
    <row r="1735" spans="20:21">
      <c r="T1735" s="8"/>
      <c r="U1735" s="8"/>
    </row>
    <row r="1736" spans="20:21">
      <c r="T1736" s="8"/>
      <c r="U1736" s="8"/>
    </row>
    <row r="1737" spans="20:21">
      <c r="T1737" s="8"/>
      <c r="U1737" s="8"/>
    </row>
    <row r="1738" spans="20:21">
      <c r="T1738" s="8"/>
      <c r="U1738" s="8"/>
    </row>
    <row r="1739" spans="20:21">
      <c r="T1739" s="8"/>
      <c r="U1739" s="8"/>
    </row>
    <row r="1740" spans="20:21">
      <c r="T1740" s="8"/>
      <c r="U1740" s="8"/>
    </row>
    <row r="1741" spans="20:21">
      <c r="T1741" s="8"/>
      <c r="U1741" s="8"/>
    </row>
    <row r="1742" spans="20:21">
      <c r="T1742" s="8"/>
      <c r="U1742" s="8"/>
    </row>
    <row r="1743" spans="20:21">
      <c r="T1743" s="8"/>
      <c r="U1743" s="8"/>
    </row>
    <row r="1744" spans="20:21">
      <c r="T1744" s="8"/>
      <c r="U1744" s="8"/>
    </row>
    <row r="1745" spans="20:21">
      <c r="T1745" s="8"/>
      <c r="U1745" s="8"/>
    </row>
    <row r="1746" spans="20:21">
      <c r="T1746" s="8"/>
      <c r="U1746" s="8"/>
    </row>
    <row r="1747" spans="20:21">
      <c r="T1747" s="8"/>
      <c r="U1747" s="8"/>
    </row>
    <row r="1748" spans="20:21">
      <c r="T1748" s="8"/>
      <c r="U1748" s="8"/>
    </row>
    <row r="1749" spans="20:21">
      <c r="T1749" s="8"/>
      <c r="U1749" s="8"/>
    </row>
    <row r="1750" spans="20:21">
      <c r="T1750" s="8"/>
      <c r="U1750" s="8"/>
    </row>
    <row r="1751" spans="20:21">
      <c r="T1751" s="8"/>
      <c r="U1751" s="8"/>
    </row>
    <row r="1752" spans="20:21">
      <c r="T1752" s="8"/>
      <c r="U1752" s="8"/>
    </row>
    <row r="1753" spans="20:21">
      <c r="T1753" s="8"/>
      <c r="U1753" s="8"/>
    </row>
    <row r="1754" spans="20:21">
      <c r="T1754" s="8"/>
      <c r="U1754" s="8"/>
    </row>
    <row r="1755" spans="20:21">
      <c r="T1755" s="8"/>
      <c r="U1755" s="8"/>
    </row>
    <row r="1756" spans="20:21">
      <c r="T1756" s="8"/>
      <c r="U1756" s="8"/>
    </row>
    <row r="1757" spans="20:21">
      <c r="T1757" s="8"/>
      <c r="U1757" s="8"/>
    </row>
    <row r="1758" spans="20:21">
      <c r="T1758" s="8"/>
      <c r="U1758" s="8"/>
    </row>
    <row r="1759" spans="20:21">
      <c r="T1759" s="8"/>
      <c r="U1759" s="8"/>
    </row>
    <row r="1760" spans="20:21">
      <c r="T1760" s="8"/>
      <c r="U1760" s="8"/>
    </row>
    <row r="1761" spans="20:21">
      <c r="T1761" s="8"/>
      <c r="U1761" s="8"/>
    </row>
    <row r="1762" spans="20:21">
      <c r="T1762" s="8"/>
      <c r="U1762" s="8"/>
    </row>
    <row r="1763" spans="20:21">
      <c r="T1763" s="8"/>
      <c r="U1763" s="8"/>
    </row>
    <row r="1764" spans="20:21">
      <c r="T1764" s="8"/>
      <c r="U1764" s="8"/>
    </row>
    <row r="1765" spans="20:21">
      <c r="T1765" s="8"/>
      <c r="U1765" s="8"/>
    </row>
    <row r="1766" spans="20:21">
      <c r="T1766" s="8"/>
      <c r="U1766" s="8"/>
    </row>
    <row r="1767" spans="20:21">
      <c r="T1767" s="8"/>
      <c r="U1767" s="8"/>
    </row>
    <row r="1768" spans="20:21">
      <c r="T1768" s="8"/>
      <c r="U1768" s="8"/>
    </row>
    <row r="1769" spans="20:21">
      <c r="T1769" s="8"/>
      <c r="U1769" s="8"/>
    </row>
    <row r="1770" spans="20:21">
      <c r="T1770" s="8"/>
      <c r="U1770" s="8"/>
    </row>
    <row r="1771" spans="20:21">
      <c r="T1771" s="8"/>
      <c r="U1771" s="8"/>
    </row>
    <row r="1772" spans="20:21">
      <c r="T1772" s="8"/>
      <c r="U1772" s="8"/>
    </row>
    <row r="1773" spans="20:21">
      <c r="T1773" s="8"/>
      <c r="U1773" s="8"/>
    </row>
    <row r="1774" spans="20:21">
      <c r="T1774" s="8"/>
      <c r="U1774" s="8"/>
    </row>
    <row r="1775" spans="20:21">
      <c r="T1775" s="8"/>
      <c r="U1775" s="8"/>
    </row>
    <row r="1776" spans="20:21">
      <c r="T1776" s="8"/>
      <c r="U1776" s="8"/>
    </row>
    <row r="1777" spans="20:21">
      <c r="T1777" s="8"/>
      <c r="U1777" s="8"/>
    </row>
    <row r="1778" spans="20:21">
      <c r="T1778" s="8"/>
      <c r="U1778" s="8"/>
    </row>
    <row r="1779" spans="20:21">
      <c r="T1779" s="8"/>
      <c r="U1779" s="8"/>
    </row>
    <row r="1780" spans="20:21">
      <c r="T1780" s="8"/>
      <c r="U1780" s="8"/>
    </row>
    <row r="1781" spans="20:21">
      <c r="T1781" s="8"/>
      <c r="U1781" s="8"/>
    </row>
    <row r="1782" spans="20:21">
      <c r="T1782" s="8"/>
      <c r="U1782" s="8"/>
    </row>
    <row r="1783" spans="20:21">
      <c r="T1783" s="8"/>
      <c r="U1783" s="8"/>
    </row>
    <row r="1784" spans="20:21">
      <c r="T1784" s="8"/>
      <c r="U1784" s="8"/>
    </row>
    <row r="1785" spans="20:21">
      <c r="T1785" s="8"/>
      <c r="U1785" s="8"/>
    </row>
    <row r="1786" spans="20:21">
      <c r="T1786" s="8"/>
      <c r="U1786" s="8"/>
    </row>
    <row r="1787" spans="20:21">
      <c r="T1787" s="8"/>
      <c r="U1787" s="8"/>
    </row>
    <row r="1788" spans="20:21">
      <c r="T1788" s="8"/>
      <c r="U1788" s="8"/>
    </row>
    <row r="1789" spans="20:21">
      <c r="T1789" s="8"/>
      <c r="U1789" s="8"/>
    </row>
    <row r="1790" spans="20:21">
      <c r="T1790" s="8"/>
      <c r="U1790" s="8"/>
    </row>
    <row r="1791" spans="20:21">
      <c r="T1791" s="8"/>
      <c r="U1791" s="8"/>
    </row>
    <row r="1792" spans="20:21">
      <c r="T1792" s="8"/>
      <c r="U1792" s="8"/>
    </row>
    <row r="1793" spans="20:21">
      <c r="T1793" s="8"/>
      <c r="U1793" s="8"/>
    </row>
    <row r="1794" spans="20:21">
      <c r="T1794" s="8"/>
      <c r="U1794" s="8"/>
    </row>
    <row r="1795" spans="20:21">
      <c r="T1795" s="8"/>
      <c r="U1795" s="8"/>
    </row>
    <row r="1796" spans="20:21">
      <c r="T1796" s="8"/>
      <c r="U1796" s="8"/>
    </row>
    <row r="1797" spans="20:21">
      <c r="T1797" s="8"/>
      <c r="U1797" s="8"/>
    </row>
    <row r="1798" spans="20:21">
      <c r="T1798" s="8"/>
      <c r="U1798" s="8"/>
    </row>
    <row r="1799" spans="20:21">
      <c r="T1799" s="8"/>
      <c r="U1799" s="8"/>
    </row>
    <row r="1800" spans="20:21">
      <c r="T1800" s="8"/>
      <c r="U1800" s="8"/>
    </row>
    <row r="1801" spans="20:21">
      <c r="T1801" s="8"/>
      <c r="U1801" s="8"/>
    </row>
    <row r="1802" spans="20:21">
      <c r="T1802" s="8"/>
      <c r="U1802" s="8"/>
    </row>
    <row r="1803" spans="20:21">
      <c r="T1803" s="8"/>
      <c r="U1803" s="8"/>
    </row>
    <row r="1804" spans="20:21">
      <c r="T1804" s="8"/>
      <c r="U1804" s="8"/>
    </row>
    <row r="1805" spans="20:21">
      <c r="T1805" s="8"/>
      <c r="U1805" s="8"/>
    </row>
    <row r="1806" spans="20:21">
      <c r="T1806" s="8"/>
      <c r="U1806" s="8"/>
    </row>
    <row r="1807" spans="20:21">
      <c r="T1807" s="8"/>
      <c r="U1807" s="8"/>
    </row>
    <row r="1808" spans="20:21">
      <c r="T1808" s="8"/>
      <c r="U1808" s="8"/>
    </row>
    <row r="1809" spans="20:21">
      <c r="T1809" s="8"/>
      <c r="U1809" s="8"/>
    </row>
    <row r="1810" spans="20:21">
      <c r="T1810" s="8"/>
      <c r="U1810" s="8"/>
    </row>
    <row r="1811" spans="20:21">
      <c r="T1811" s="8"/>
      <c r="U1811" s="8"/>
    </row>
    <row r="1812" spans="20:21">
      <c r="T1812" s="8"/>
      <c r="U1812" s="8"/>
    </row>
    <row r="1813" spans="20:21">
      <c r="T1813" s="8"/>
      <c r="U1813" s="8"/>
    </row>
    <row r="1814" spans="20:21">
      <c r="T1814" s="8"/>
      <c r="U1814" s="8"/>
    </row>
    <row r="1815" spans="20:21">
      <c r="T1815" s="8"/>
      <c r="U1815" s="8"/>
    </row>
    <row r="1816" spans="20:21">
      <c r="T1816" s="8"/>
      <c r="U1816" s="8"/>
    </row>
    <row r="1817" spans="20:21">
      <c r="T1817" s="8"/>
      <c r="U1817" s="8"/>
    </row>
    <row r="1818" spans="20:21">
      <c r="T1818" s="8"/>
      <c r="U1818" s="8"/>
    </row>
    <row r="1819" spans="20:21">
      <c r="T1819" s="8"/>
      <c r="U1819" s="8"/>
    </row>
    <row r="1820" spans="20:21">
      <c r="T1820" s="8"/>
      <c r="U1820" s="8"/>
    </row>
    <row r="1821" spans="20:21">
      <c r="T1821" s="8"/>
      <c r="U1821" s="8"/>
    </row>
    <row r="1822" spans="20:21">
      <c r="T1822" s="8"/>
      <c r="U1822" s="8"/>
    </row>
    <row r="1823" spans="20:21">
      <c r="T1823" s="8"/>
      <c r="U1823" s="8"/>
    </row>
    <row r="1824" spans="20:21">
      <c r="T1824" s="8"/>
      <c r="U1824" s="8"/>
    </row>
    <row r="1825" spans="20:21">
      <c r="T1825" s="8"/>
      <c r="U1825" s="8"/>
    </row>
    <row r="1826" spans="20:21">
      <c r="T1826" s="8"/>
      <c r="U1826" s="8"/>
    </row>
    <row r="1827" spans="20:21">
      <c r="T1827" s="8"/>
      <c r="U1827" s="8"/>
    </row>
    <row r="1828" spans="20:21">
      <c r="T1828" s="8"/>
      <c r="U1828" s="8"/>
    </row>
    <row r="1829" spans="20:21">
      <c r="T1829" s="8"/>
      <c r="U1829" s="8"/>
    </row>
    <row r="1830" spans="20:21">
      <c r="T1830" s="8"/>
      <c r="U1830" s="8"/>
    </row>
    <row r="1831" spans="20:21">
      <c r="T1831" s="8"/>
      <c r="U1831" s="8"/>
    </row>
    <row r="1832" spans="20:21">
      <c r="T1832" s="8"/>
      <c r="U1832" s="8"/>
    </row>
    <row r="1833" spans="20:21">
      <c r="T1833" s="8"/>
      <c r="U1833" s="8"/>
    </row>
    <row r="1834" spans="20:21">
      <c r="T1834" s="8"/>
      <c r="U1834" s="8"/>
    </row>
    <row r="1835" spans="20:21">
      <c r="T1835" s="8"/>
      <c r="U1835" s="8"/>
    </row>
    <row r="1836" spans="20:21">
      <c r="T1836" s="8"/>
      <c r="U1836" s="8"/>
    </row>
    <row r="1837" spans="20:21">
      <c r="T1837" s="8"/>
      <c r="U1837" s="8"/>
    </row>
    <row r="1838" spans="20:21">
      <c r="T1838" s="8"/>
      <c r="U1838" s="8"/>
    </row>
    <row r="1839" spans="20:21">
      <c r="T1839" s="8"/>
      <c r="U1839" s="8"/>
    </row>
    <row r="1840" spans="20:21">
      <c r="T1840" s="8"/>
      <c r="U1840" s="8"/>
    </row>
    <row r="1841" spans="20:21">
      <c r="T1841" s="8"/>
      <c r="U1841" s="8"/>
    </row>
    <row r="1842" spans="20:21">
      <c r="T1842" s="8"/>
      <c r="U1842" s="8"/>
    </row>
    <row r="1843" spans="20:21">
      <c r="T1843" s="8"/>
      <c r="U1843" s="8"/>
    </row>
    <row r="1844" spans="20:21">
      <c r="T1844" s="8"/>
      <c r="U1844" s="8"/>
    </row>
    <row r="1845" spans="20:21">
      <c r="T1845" s="8"/>
      <c r="U1845" s="8"/>
    </row>
    <row r="1846" spans="20:21">
      <c r="T1846" s="8"/>
      <c r="U1846" s="8"/>
    </row>
    <row r="1847" spans="20:21">
      <c r="T1847" s="8"/>
      <c r="U1847" s="8"/>
    </row>
    <row r="1848" spans="20:21">
      <c r="T1848" s="8"/>
      <c r="U1848" s="8"/>
    </row>
    <row r="1849" spans="20:21">
      <c r="T1849" s="8"/>
      <c r="U1849" s="8"/>
    </row>
    <row r="1850" spans="20:21">
      <c r="T1850" s="8"/>
      <c r="U1850" s="8"/>
    </row>
    <row r="1851" spans="20:21">
      <c r="T1851" s="8"/>
      <c r="U1851" s="8"/>
    </row>
    <row r="1852" spans="20:21">
      <c r="T1852" s="8"/>
      <c r="U1852" s="8"/>
    </row>
    <row r="1853" spans="20:21">
      <c r="T1853" s="8"/>
      <c r="U1853" s="8"/>
    </row>
    <row r="1854" spans="20:21">
      <c r="T1854" s="8"/>
      <c r="U1854" s="8"/>
    </row>
    <row r="1855" spans="20:21">
      <c r="T1855" s="8"/>
      <c r="U1855" s="8"/>
    </row>
    <row r="1856" spans="20:21">
      <c r="T1856" s="8"/>
      <c r="U1856" s="8"/>
    </row>
    <row r="1857" spans="20:21">
      <c r="T1857" s="8"/>
      <c r="U1857" s="8"/>
    </row>
    <row r="1858" spans="20:21">
      <c r="T1858" s="8"/>
      <c r="U1858" s="8"/>
    </row>
    <row r="1859" spans="20:21">
      <c r="T1859" s="8"/>
      <c r="U1859" s="8"/>
    </row>
    <row r="1860" spans="20:21">
      <c r="T1860" s="8"/>
      <c r="U1860" s="8"/>
    </row>
    <row r="1861" spans="20:21">
      <c r="T1861" s="8"/>
      <c r="U1861" s="8"/>
    </row>
    <row r="1862" spans="20:21">
      <c r="T1862" s="8"/>
      <c r="U1862" s="8"/>
    </row>
    <row r="1863" spans="20:21">
      <c r="T1863" s="8"/>
      <c r="U1863" s="8"/>
    </row>
    <row r="1864" spans="20:21">
      <c r="T1864" s="8"/>
      <c r="U1864" s="8"/>
    </row>
    <row r="1865" spans="20:21">
      <c r="T1865" s="8"/>
      <c r="U1865" s="8"/>
    </row>
    <row r="1866" spans="20:21">
      <c r="T1866" s="8"/>
      <c r="U1866" s="8"/>
    </row>
    <row r="1867" spans="20:21">
      <c r="T1867" s="8"/>
      <c r="U1867" s="8"/>
    </row>
    <row r="1868" spans="20:21">
      <c r="T1868" s="8"/>
      <c r="U1868" s="8"/>
    </row>
    <row r="1869" spans="20:21">
      <c r="T1869" s="8"/>
      <c r="U1869" s="8"/>
    </row>
    <row r="1870" spans="20:21">
      <c r="T1870" s="8"/>
      <c r="U1870" s="8"/>
    </row>
    <row r="1871" spans="20:21">
      <c r="T1871" s="8"/>
      <c r="U1871" s="8"/>
    </row>
    <row r="1872" spans="20:21">
      <c r="T1872" s="8"/>
      <c r="U1872" s="8"/>
    </row>
    <row r="1873" spans="20:21">
      <c r="T1873" s="8"/>
      <c r="U1873" s="8"/>
    </row>
    <row r="1874" spans="20:21">
      <c r="T1874" s="8"/>
      <c r="U1874" s="8"/>
    </row>
    <row r="1875" spans="20:21">
      <c r="T1875" s="8"/>
      <c r="U1875" s="8"/>
    </row>
    <row r="1876" spans="20:21">
      <c r="T1876" s="8"/>
      <c r="U1876" s="8"/>
    </row>
    <row r="1877" spans="20:21">
      <c r="T1877" s="8"/>
      <c r="U1877" s="8"/>
    </row>
    <row r="1878" spans="20:21">
      <c r="T1878" s="8"/>
      <c r="U1878" s="8"/>
    </row>
    <row r="1879" spans="20:21">
      <c r="T1879" s="8"/>
      <c r="U1879" s="8"/>
    </row>
    <row r="1880" spans="20:21">
      <c r="T1880" s="8"/>
      <c r="U1880" s="8"/>
    </row>
    <row r="1881" spans="20:21">
      <c r="T1881" s="8"/>
      <c r="U1881" s="8"/>
    </row>
    <row r="1882" spans="20:21">
      <c r="T1882" s="8"/>
      <c r="U1882" s="8"/>
    </row>
    <row r="1883" spans="20:21">
      <c r="T1883" s="8"/>
      <c r="U1883" s="8"/>
    </row>
    <row r="1884" spans="20:21">
      <c r="T1884" s="8"/>
      <c r="U1884" s="8"/>
    </row>
    <row r="1885" spans="20:21">
      <c r="T1885" s="8"/>
      <c r="U1885" s="8"/>
    </row>
    <row r="1886" spans="20:21">
      <c r="T1886" s="8"/>
      <c r="U1886" s="8"/>
    </row>
    <row r="1887" spans="20:21">
      <c r="T1887" s="8"/>
      <c r="U1887" s="8"/>
    </row>
    <row r="1888" spans="20:21">
      <c r="T1888" s="8"/>
      <c r="U1888" s="8"/>
    </row>
    <row r="1889" spans="20:21">
      <c r="T1889" s="8"/>
      <c r="U1889" s="8"/>
    </row>
    <row r="1890" spans="20:21">
      <c r="T1890" s="8"/>
      <c r="U1890" s="8"/>
    </row>
    <row r="1891" spans="20:21">
      <c r="T1891" s="8"/>
      <c r="U1891" s="8"/>
    </row>
    <row r="1892" spans="20:21">
      <c r="T1892" s="8"/>
      <c r="U1892" s="8"/>
    </row>
    <row r="1893" spans="20:21">
      <c r="T1893" s="8"/>
      <c r="U1893" s="8"/>
    </row>
    <row r="1894" spans="20:21">
      <c r="T1894" s="8"/>
      <c r="U1894" s="8"/>
    </row>
    <row r="1895" spans="20:21">
      <c r="T1895" s="8"/>
      <c r="U1895" s="8"/>
    </row>
    <row r="1896" spans="20:21">
      <c r="T1896" s="8"/>
      <c r="U1896" s="8"/>
    </row>
    <row r="1897" spans="20:21">
      <c r="T1897" s="8"/>
      <c r="U1897" s="8"/>
    </row>
    <row r="1898" spans="20:21">
      <c r="T1898" s="8"/>
      <c r="U1898" s="8"/>
    </row>
    <row r="1899" spans="20:21">
      <c r="T1899" s="8"/>
      <c r="U1899" s="8"/>
    </row>
    <row r="1900" spans="20:21">
      <c r="T1900" s="8"/>
      <c r="U1900" s="8"/>
    </row>
    <row r="1901" spans="20:21">
      <c r="T1901" s="8"/>
      <c r="U1901" s="8"/>
    </row>
    <row r="1902" spans="20:21">
      <c r="T1902" s="8"/>
      <c r="U1902" s="8"/>
    </row>
    <row r="1903" spans="20:21">
      <c r="T1903" s="8"/>
      <c r="U1903" s="8"/>
    </row>
    <row r="1904" spans="20:21">
      <c r="T1904" s="8"/>
      <c r="U1904" s="8"/>
    </row>
    <row r="1905" spans="20:21">
      <c r="T1905" s="8"/>
      <c r="U1905" s="8"/>
    </row>
    <row r="1906" spans="20:21">
      <c r="T1906" s="8"/>
      <c r="U1906" s="8"/>
    </row>
    <row r="1907" spans="20:21">
      <c r="T1907" s="8"/>
      <c r="U1907" s="8"/>
    </row>
    <row r="1908" spans="20:21">
      <c r="T1908" s="8"/>
      <c r="U1908" s="8"/>
    </row>
    <row r="1909" spans="20:21">
      <c r="T1909" s="8"/>
      <c r="U1909" s="8"/>
    </row>
    <row r="1910" spans="20:21">
      <c r="T1910" s="8"/>
      <c r="U1910" s="8"/>
    </row>
    <row r="1911" spans="20:21">
      <c r="T1911" s="8"/>
      <c r="U1911" s="8"/>
    </row>
    <row r="1912" spans="20:21">
      <c r="T1912" s="8"/>
      <c r="U1912" s="8"/>
    </row>
    <row r="1913" spans="20:21">
      <c r="T1913" s="8"/>
      <c r="U1913" s="8"/>
    </row>
    <row r="1914" spans="20:21">
      <c r="T1914" s="8"/>
      <c r="U1914" s="8"/>
    </row>
    <row r="1915" spans="20:21">
      <c r="T1915" s="8"/>
      <c r="U1915" s="8"/>
    </row>
    <row r="1916" spans="20:21">
      <c r="T1916" s="8"/>
      <c r="U1916" s="8"/>
    </row>
    <row r="1917" spans="20:21">
      <c r="T1917" s="8"/>
      <c r="U1917" s="8"/>
    </row>
    <row r="1918" spans="20:21">
      <c r="T1918" s="8"/>
      <c r="U1918" s="8"/>
    </row>
    <row r="1919" spans="20:21">
      <c r="T1919" s="8"/>
      <c r="U1919" s="8"/>
    </row>
    <row r="1920" spans="20:21">
      <c r="T1920" s="8"/>
      <c r="U1920" s="8"/>
    </row>
    <row r="1921" spans="20:21">
      <c r="T1921" s="8"/>
      <c r="U1921" s="8"/>
    </row>
    <row r="1922" spans="20:21">
      <c r="T1922" s="8"/>
      <c r="U1922" s="8"/>
    </row>
    <row r="1923" spans="20:21">
      <c r="T1923" s="8"/>
      <c r="U1923" s="8"/>
    </row>
    <row r="1924" spans="20:21">
      <c r="T1924" s="8"/>
      <c r="U1924" s="8"/>
    </row>
    <row r="1925" spans="20:21">
      <c r="T1925" s="8"/>
      <c r="U1925" s="8"/>
    </row>
    <row r="1926" spans="20:21">
      <c r="T1926" s="8"/>
      <c r="U1926" s="8"/>
    </row>
    <row r="1927" spans="20:21">
      <c r="T1927" s="8"/>
      <c r="U1927" s="8"/>
    </row>
    <row r="1928" spans="20:21">
      <c r="T1928" s="8"/>
      <c r="U1928" s="8"/>
    </row>
    <row r="1929" spans="20:21">
      <c r="T1929" s="8"/>
      <c r="U1929" s="8"/>
    </row>
    <row r="1930" spans="20:21">
      <c r="T1930" s="8"/>
      <c r="U1930" s="8"/>
    </row>
    <row r="1931" spans="20:21">
      <c r="T1931" s="8"/>
      <c r="U1931" s="8"/>
    </row>
    <row r="1932" spans="20:21">
      <c r="T1932" s="8"/>
      <c r="U1932" s="8"/>
    </row>
    <row r="1933" spans="20:21">
      <c r="T1933" s="8"/>
      <c r="U1933" s="8"/>
    </row>
    <row r="1934" spans="20:21">
      <c r="T1934" s="8"/>
      <c r="U1934" s="8"/>
    </row>
    <row r="1935" spans="20:21">
      <c r="T1935" s="8"/>
      <c r="U1935" s="8"/>
    </row>
    <row r="1936" spans="20:21">
      <c r="T1936" s="8"/>
      <c r="U1936" s="8"/>
    </row>
    <row r="1937" spans="20:21">
      <c r="T1937" s="8"/>
      <c r="U1937" s="8"/>
    </row>
    <row r="1938" spans="20:21">
      <c r="T1938" s="8"/>
      <c r="U1938" s="8"/>
    </row>
    <row r="1939" spans="20:21">
      <c r="T1939" s="8"/>
      <c r="U1939" s="8"/>
    </row>
    <row r="1940" spans="20:21">
      <c r="T1940" s="8"/>
      <c r="U1940" s="8"/>
    </row>
    <row r="1941" spans="20:21">
      <c r="T1941" s="8"/>
      <c r="U1941" s="8"/>
    </row>
    <row r="1942" spans="20:21">
      <c r="T1942" s="8"/>
      <c r="U1942" s="8"/>
    </row>
    <row r="1943" spans="20:21">
      <c r="T1943" s="8"/>
      <c r="U1943" s="8"/>
    </row>
    <row r="1944" spans="20:21">
      <c r="T1944" s="8"/>
      <c r="U1944" s="8"/>
    </row>
    <row r="1945" spans="20:21">
      <c r="T1945" s="8"/>
      <c r="U1945" s="8"/>
    </row>
    <row r="1946" spans="20:21">
      <c r="T1946" s="8"/>
      <c r="U1946" s="8"/>
    </row>
    <row r="1947" spans="20:21">
      <c r="T1947" s="8"/>
      <c r="U1947" s="8"/>
    </row>
    <row r="1948" spans="20:21">
      <c r="T1948" s="8"/>
      <c r="U1948" s="8"/>
    </row>
    <row r="1949" spans="20:21">
      <c r="T1949" s="8"/>
      <c r="U1949" s="8"/>
    </row>
    <row r="1950" spans="20:21">
      <c r="T1950" s="8"/>
      <c r="U1950" s="8"/>
    </row>
    <row r="1951" spans="20:21">
      <c r="T1951" s="8"/>
      <c r="U1951" s="8"/>
    </row>
    <row r="1952" spans="20:21">
      <c r="T1952" s="8"/>
      <c r="U1952" s="8"/>
    </row>
    <row r="1953" spans="20:21">
      <c r="T1953" s="8"/>
      <c r="U1953" s="8"/>
    </row>
    <row r="1954" spans="20:21">
      <c r="T1954" s="8"/>
      <c r="U1954" s="8"/>
    </row>
    <row r="1955" spans="20:21">
      <c r="T1955" s="8"/>
      <c r="U1955" s="8"/>
    </row>
    <row r="1956" spans="20:21">
      <c r="T1956" s="8"/>
      <c r="U1956" s="8"/>
    </row>
    <row r="1957" spans="20:21">
      <c r="T1957" s="8"/>
      <c r="U1957" s="8"/>
    </row>
    <row r="1958" spans="20:21">
      <c r="T1958" s="8"/>
      <c r="U1958" s="8"/>
    </row>
    <row r="1959" spans="20:21">
      <c r="T1959" s="8"/>
      <c r="U1959" s="8"/>
    </row>
    <row r="1960" spans="20:21">
      <c r="T1960" s="8"/>
      <c r="U1960" s="8"/>
    </row>
    <row r="1961" spans="20:21">
      <c r="T1961" s="8"/>
      <c r="U1961" s="8"/>
    </row>
    <row r="1962" spans="20:21">
      <c r="T1962" s="8"/>
      <c r="U1962" s="8"/>
    </row>
    <row r="1963" spans="20:21">
      <c r="T1963" s="8"/>
      <c r="U1963" s="8"/>
    </row>
    <row r="1964" spans="20:21">
      <c r="T1964" s="8"/>
      <c r="U1964" s="8"/>
    </row>
    <row r="1965" spans="20:21">
      <c r="T1965" s="8"/>
      <c r="U1965" s="8"/>
    </row>
    <row r="1966" spans="20:21">
      <c r="T1966" s="8"/>
      <c r="U1966" s="8"/>
    </row>
    <row r="1967" spans="20:21">
      <c r="T1967" s="8"/>
      <c r="U1967" s="8"/>
    </row>
    <row r="1968" spans="20:21">
      <c r="T1968" s="8"/>
      <c r="U1968" s="8"/>
    </row>
    <row r="1969" spans="20:21">
      <c r="T1969" s="8"/>
      <c r="U1969" s="8"/>
    </row>
    <row r="1970" spans="20:21">
      <c r="T1970" s="8"/>
      <c r="U1970" s="8"/>
    </row>
    <row r="1971" spans="20:21">
      <c r="T1971" s="8"/>
      <c r="U1971" s="8"/>
    </row>
    <row r="1972" spans="20:21">
      <c r="T1972" s="8"/>
      <c r="U1972" s="8"/>
    </row>
    <row r="1973" spans="20:21">
      <c r="T1973" s="8"/>
      <c r="U1973" s="8"/>
    </row>
    <row r="1974" spans="20:21">
      <c r="T1974" s="8"/>
      <c r="U1974" s="8"/>
    </row>
    <row r="1975" spans="20:21">
      <c r="T1975" s="8"/>
      <c r="U1975" s="8"/>
    </row>
    <row r="1976" spans="20:21">
      <c r="T1976" s="8"/>
      <c r="U1976" s="8"/>
    </row>
    <row r="1977" spans="20:21">
      <c r="T1977" s="8"/>
      <c r="U1977" s="8"/>
    </row>
    <row r="1978" spans="20:21">
      <c r="T1978" s="8"/>
      <c r="U1978" s="8"/>
    </row>
    <row r="1979" spans="20:21">
      <c r="T1979" s="8"/>
      <c r="U1979" s="8"/>
    </row>
    <row r="1980" spans="20:21">
      <c r="T1980" s="8"/>
      <c r="U1980" s="8"/>
    </row>
    <row r="1981" spans="20:21">
      <c r="T1981" s="8"/>
      <c r="U1981" s="8"/>
    </row>
    <row r="1982" spans="20:21">
      <c r="T1982" s="8"/>
      <c r="U1982" s="8"/>
    </row>
    <row r="1983" spans="20:21">
      <c r="T1983" s="8"/>
      <c r="U1983" s="8"/>
    </row>
    <row r="1984" spans="20:21">
      <c r="T1984" s="8"/>
      <c r="U1984" s="8"/>
    </row>
    <row r="1985" spans="20:21">
      <c r="T1985" s="8"/>
      <c r="U1985" s="8"/>
    </row>
    <row r="1986" spans="20:21">
      <c r="T1986" s="8"/>
      <c r="U1986" s="8"/>
    </row>
    <row r="1987" spans="20:21">
      <c r="T1987" s="8"/>
      <c r="U1987" s="8"/>
    </row>
    <row r="1988" spans="20:21">
      <c r="T1988" s="8"/>
      <c r="U1988" s="8"/>
    </row>
    <row r="1989" spans="20:21">
      <c r="T1989" s="8"/>
      <c r="U1989" s="8"/>
    </row>
    <row r="1990" spans="20:21">
      <c r="T1990" s="8"/>
      <c r="U1990" s="8"/>
    </row>
    <row r="1991" spans="20:21">
      <c r="T1991" s="8"/>
      <c r="U1991" s="8"/>
    </row>
    <row r="1992" spans="20:21">
      <c r="T1992" s="8"/>
      <c r="U1992" s="8"/>
    </row>
    <row r="1993" spans="20:21">
      <c r="T1993" s="8"/>
      <c r="U1993" s="8"/>
    </row>
    <row r="1994" spans="20:21">
      <c r="T1994" s="8"/>
      <c r="U1994" s="8"/>
    </row>
    <row r="1995" spans="20:21">
      <c r="T1995" s="8"/>
      <c r="U1995" s="8"/>
    </row>
    <row r="1996" spans="20:21">
      <c r="T1996" s="8"/>
      <c r="U1996" s="8"/>
    </row>
    <row r="1997" spans="20:21">
      <c r="T1997" s="8"/>
      <c r="U1997" s="8"/>
    </row>
    <row r="1998" spans="20:21">
      <c r="T1998" s="8"/>
      <c r="U1998" s="8"/>
    </row>
    <row r="1999" spans="20:21">
      <c r="T1999" s="8"/>
      <c r="U1999" s="8"/>
    </row>
    <row r="2000" spans="20:21">
      <c r="T2000" s="8"/>
      <c r="U2000" s="8"/>
    </row>
    <row r="2001" spans="20:21">
      <c r="T2001" s="8"/>
      <c r="U2001" s="8"/>
    </row>
    <row r="2002" spans="20:21">
      <c r="T2002" s="8"/>
      <c r="U2002" s="8"/>
    </row>
    <row r="2003" spans="20:21">
      <c r="T2003" s="8"/>
      <c r="U2003" s="8"/>
    </row>
    <row r="2004" spans="20:21">
      <c r="T2004" s="8"/>
      <c r="U2004" s="8"/>
    </row>
    <row r="2005" spans="20:21">
      <c r="T2005" s="8"/>
      <c r="U2005" s="8"/>
    </row>
    <row r="2006" spans="20:21">
      <c r="T2006" s="8"/>
      <c r="U2006" s="8"/>
    </row>
    <row r="2007" spans="20:21">
      <c r="T2007" s="8"/>
      <c r="U2007" s="8"/>
    </row>
    <row r="2008" spans="20:21">
      <c r="T2008" s="8"/>
      <c r="U2008" s="8"/>
    </row>
    <row r="2009" spans="20:21">
      <c r="T2009" s="8"/>
      <c r="U2009" s="8"/>
    </row>
    <row r="2010" spans="20:21">
      <c r="T2010" s="8"/>
      <c r="U2010" s="8"/>
    </row>
    <row r="2011" spans="20:21">
      <c r="T2011" s="8"/>
      <c r="U2011" s="8"/>
    </row>
    <row r="2012" spans="20:21">
      <c r="T2012" s="8"/>
      <c r="U2012" s="8"/>
    </row>
    <row r="2013" spans="20:21">
      <c r="T2013" s="8"/>
      <c r="U2013" s="8"/>
    </row>
    <row r="2014" spans="20:21">
      <c r="T2014" s="8"/>
      <c r="U2014" s="8"/>
    </row>
    <row r="2015" spans="20:21">
      <c r="T2015" s="8"/>
      <c r="U2015" s="8"/>
    </row>
    <row r="2016" spans="20:21">
      <c r="T2016" s="8"/>
      <c r="U2016" s="8"/>
    </row>
    <row r="2017" spans="20:21">
      <c r="T2017" s="8"/>
      <c r="U2017" s="8"/>
    </row>
    <row r="2018" spans="20:21">
      <c r="T2018" s="8"/>
      <c r="U2018" s="8"/>
    </row>
    <row r="2019" spans="20:21">
      <c r="T2019" s="8"/>
      <c r="U2019" s="8"/>
    </row>
    <row r="2020" spans="20:21">
      <c r="T2020" s="8"/>
      <c r="U2020" s="8"/>
    </row>
    <row r="2021" spans="20:21">
      <c r="T2021" s="8"/>
      <c r="U2021" s="8"/>
    </row>
    <row r="2022" spans="20:21">
      <c r="T2022" s="8"/>
      <c r="U2022" s="8"/>
    </row>
    <row r="2023" spans="20:21">
      <c r="T2023" s="8"/>
      <c r="U2023" s="8"/>
    </row>
    <row r="2024" spans="20:21">
      <c r="T2024" s="8"/>
      <c r="U2024" s="8"/>
    </row>
    <row r="2025" spans="20:21">
      <c r="T2025" s="8"/>
      <c r="U2025" s="8"/>
    </row>
    <row r="2026" spans="20:21">
      <c r="T2026" s="8"/>
      <c r="U2026" s="8"/>
    </row>
    <row r="2027" spans="20:21">
      <c r="T2027" s="8"/>
      <c r="U2027" s="8"/>
    </row>
    <row r="2028" spans="20:21">
      <c r="T2028" s="8"/>
      <c r="U2028" s="8"/>
    </row>
    <row r="2029" spans="20:21">
      <c r="T2029" s="8"/>
      <c r="U2029" s="8"/>
    </row>
    <row r="2030" spans="20:21">
      <c r="T2030" s="8"/>
      <c r="U2030" s="8"/>
    </row>
    <row r="2031" spans="20:21">
      <c r="T2031" s="8"/>
      <c r="U2031" s="8"/>
    </row>
    <row r="2032" spans="20:21">
      <c r="T2032" s="8"/>
      <c r="U2032" s="8"/>
    </row>
    <row r="2033" spans="20:21">
      <c r="T2033" s="8"/>
      <c r="U2033" s="8"/>
    </row>
    <row r="2034" spans="20:21">
      <c r="T2034" s="8"/>
      <c r="U2034" s="8"/>
    </row>
    <row r="2035" spans="20:21">
      <c r="T2035" s="8"/>
      <c r="U2035" s="8"/>
    </row>
    <row r="2036" spans="20:21">
      <c r="T2036" s="8"/>
      <c r="U2036" s="8"/>
    </row>
    <row r="2037" spans="20:21">
      <c r="T2037" s="8"/>
      <c r="U2037" s="8"/>
    </row>
    <row r="2038" spans="20:21">
      <c r="T2038" s="8"/>
      <c r="U2038" s="8"/>
    </row>
    <row r="2039" spans="20:21">
      <c r="T2039" s="8"/>
      <c r="U2039" s="8"/>
    </row>
    <row r="2040" spans="20:21">
      <c r="T2040" s="8"/>
      <c r="U2040" s="8"/>
    </row>
    <row r="2041" spans="20:21">
      <c r="T2041" s="8"/>
      <c r="U2041" s="8"/>
    </row>
    <row r="2042" spans="20:21">
      <c r="T2042" s="8"/>
      <c r="U2042" s="8"/>
    </row>
    <row r="2043" spans="20:21">
      <c r="T2043" s="8"/>
      <c r="U2043" s="8"/>
    </row>
    <row r="2044" spans="20:21">
      <c r="T2044" s="8"/>
      <c r="U2044" s="8"/>
    </row>
    <row r="2045" spans="20:21">
      <c r="T2045" s="8"/>
      <c r="U2045" s="8"/>
    </row>
    <row r="2046" spans="20:21">
      <c r="T2046" s="8"/>
      <c r="U2046" s="8"/>
    </row>
    <row r="2047" spans="20:21">
      <c r="T2047" s="8"/>
      <c r="U2047" s="8"/>
    </row>
    <row r="2048" spans="20:21">
      <c r="T2048" s="8"/>
      <c r="U2048" s="8"/>
    </row>
    <row r="2049" spans="20:21">
      <c r="T2049" s="8"/>
      <c r="U2049" s="8"/>
    </row>
    <row r="2050" spans="20:21">
      <c r="T2050" s="8"/>
      <c r="U2050" s="8"/>
    </row>
    <row r="2051" spans="20:21">
      <c r="T2051" s="8"/>
      <c r="U2051" s="8"/>
    </row>
    <row r="2052" spans="20:21">
      <c r="T2052" s="8"/>
      <c r="U2052" s="8"/>
    </row>
    <row r="2053" spans="20:21">
      <c r="T2053" s="8"/>
      <c r="U2053" s="8"/>
    </row>
    <row r="2054" spans="20:21">
      <c r="T2054" s="8"/>
      <c r="U2054" s="8"/>
    </row>
    <row r="2055" spans="20:21">
      <c r="T2055" s="8"/>
      <c r="U2055" s="8"/>
    </row>
    <row r="2056" spans="20:21">
      <c r="T2056" s="8"/>
      <c r="U2056" s="8"/>
    </row>
    <row r="2057" spans="20:21">
      <c r="T2057" s="8"/>
      <c r="U2057" s="8"/>
    </row>
    <row r="2058" spans="20:21">
      <c r="T2058" s="8"/>
      <c r="U2058" s="8"/>
    </row>
    <row r="2059" spans="20:21">
      <c r="T2059" s="8"/>
      <c r="U2059" s="8"/>
    </row>
    <row r="2060" spans="20:21">
      <c r="T2060" s="8"/>
      <c r="U2060" s="8"/>
    </row>
    <row r="2061" spans="20:21">
      <c r="T2061" s="8"/>
      <c r="U2061" s="8"/>
    </row>
    <row r="2062" spans="20:21">
      <c r="T2062" s="8"/>
      <c r="U2062" s="8"/>
    </row>
    <row r="2063" spans="20:21">
      <c r="T2063" s="8"/>
      <c r="U2063" s="8"/>
    </row>
    <row r="2064" spans="20:21">
      <c r="T2064" s="8"/>
      <c r="U2064" s="8"/>
    </row>
    <row r="2065" spans="20:21">
      <c r="T2065" s="8"/>
      <c r="U2065" s="8"/>
    </row>
    <row r="2066" spans="20:21">
      <c r="T2066" s="8"/>
      <c r="U2066" s="8"/>
    </row>
    <row r="2067" spans="20:21">
      <c r="T2067" s="8"/>
      <c r="U2067" s="8"/>
    </row>
    <row r="2068" spans="20:21">
      <c r="T2068" s="8"/>
      <c r="U2068" s="8"/>
    </row>
    <row r="2069" spans="20:21">
      <c r="T2069" s="8"/>
      <c r="U2069" s="8"/>
    </row>
    <row r="2070" spans="20:21">
      <c r="T2070" s="8"/>
      <c r="U2070" s="8"/>
    </row>
    <row r="2071" spans="20:21">
      <c r="T2071" s="8"/>
      <c r="U2071" s="8"/>
    </row>
    <row r="2072" spans="20:21">
      <c r="T2072" s="8"/>
      <c r="U2072" s="8"/>
    </row>
    <row r="2073" spans="20:21">
      <c r="T2073" s="8"/>
      <c r="U2073" s="8"/>
    </row>
    <row r="2074" spans="20:21">
      <c r="T2074" s="8"/>
      <c r="U2074" s="8"/>
    </row>
    <row r="2075" spans="20:21">
      <c r="T2075" s="8"/>
      <c r="U2075" s="8"/>
    </row>
    <row r="2076" spans="20:21">
      <c r="T2076" s="8"/>
      <c r="U2076" s="8"/>
    </row>
    <row r="2077" spans="20:21">
      <c r="T2077" s="8"/>
      <c r="U2077" s="8"/>
    </row>
    <row r="2078" spans="20:21">
      <c r="T2078" s="8"/>
      <c r="U2078" s="8"/>
    </row>
    <row r="2079" spans="20:21">
      <c r="T2079" s="8"/>
      <c r="U2079" s="8"/>
    </row>
    <row r="2080" spans="20:21">
      <c r="T2080" s="8"/>
      <c r="U2080" s="8"/>
    </row>
    <row r="2081" spans="20:21">
      <c r="T2081" s="8"/>
      <c r="U2081" s="8"/>
    </row>
    <row r="2082" spans="20:21">
      <c r="T2082" s="8"/>
      <c r="U2082" s="8"/>
    </row>
    <row r="2083" spans="20:21">
      <c r="T2083" s="8"/>
      <c r="U2083" s="8"/>
    </row>
    <row r="2084" spans="20:21">
      <c r="T2084" s="8"/>
      <c r="U2084" s="8"/>
    </row>
    <row r="2085" spans="20:21">
      <c r="T2085" s="8"/>
      <c r="U2085" s="8"/>
    </row>
    <row r="2086" spans="20:21">
      <c r="T2086" s="8"/>
      <c r="U2086" s="8"/>
    </row>
    <row r="2087" spans="20:21">
      <c r="T2087" s="8"/>
      <c r="U2087" s="8"/>
    </row>
    <row r="2088" spans="20:21">
      <c r="T2088" s="8"/>
      <c r="U2088" s="8"/>
    </row>
    <row r="2089" spans="20:21">
      <c r="T2089" s="8"/>
      <c r="U2089" s="8"/>
    </row>
    <row r="2090" spans="20:21">
      <c r="T2090" s="8"/>
      <c r="U2090" s="8"/>
    </row>
    <row r="2091" spans="20:21">
      <c r="T2091" s="8"/>
      <c r="U2091" s="8"/>
    </row>
    <row r="2092" spans="20:21">
      <c r="T2092" s="8"/>
      <c r="U2092" s="8"/>
    </row>
    <row r="2093" spans="20:21">
      <c r="T2093" s="8"/>
      <c r="U2093" s="8"/>
    </row>
    <row r="2094" spans="20:21">
      <c r="T2094" s="8"/>
      <c r="U2094" s="8"/>
    </row>
    <row r="2095" spans="20:21">
      <c r="T2095" s="8"/>
      <c r="U2095" s="8"/>
    </row>
    <row r="2096" spans="20:21">
      <c r="T2096" s="8"/>
      <c r="U2096" s="8"/>
    </row>
    <row r="2097" spans="20:21">
      <c r="T2097" s="8"/>
      <c r="U2097" s="8"/>
    </row>
    <row r="2098" spans="20:21">
      <c r="T2098" s="8"/>
      <c r="U2098" s="8"/>
    </row>
    <row r="2099" spans="20:21">
      <c r="T2099" s="8"/>
      <c r="U2099" s="8"/>
    </row>
    <row r="2100" spans="20:21">
      <c r="T2100" s="8"/>
      <c r="U2100" s="8"/>
    </row>
    <row r="2101" spans="20:21">
      <c r="T2101" s="8"/>
      <c r="U2101" s="8"/>
    </row>
    <row r="2102" spans="20:21">
      <c r="T2102" s="8"/>
      <c r="U2102" s="8"/>
    </row>
    <row r="2103" spans="20:21">
      <c r="T2103" s="8"/>
      <c r="U2103" s="8"/>
    </row>
    <row r="2104" spans="20:21">
      <c r="T2104" s="8"/>
      <c r="U2104" s="8"/>
    </row>
    <row r="2105" spans="20:21">
      <c r="T2105" s="8"/>
      <c r="U2105" s="8"/>
    </row>
    <row r="2106" spans="20:21">
      <c r="T2106" s="8"/>
      <c r="U2106" s="8"/>
    </row>
    <row r="2107" spans="20:21">
      <c r="T2107" s="8"/>
      <c r="U2107" s="8"/>
    </row>
    <row r="2108" spans="20:21">
      <c r="T2108" s="8"/>
      <c r="U2108" s="8"/>
    </row>
    <row r="2109" spans="20:21">
      <c r="T2109" s="8"/>
      <c r="U2109" s="8"/>
    </row>
    <row r="2110" spans="20:21">
      <c r="T2110" s="8"/>
      <c r="U2110" s="8"/>
    </row>
    <row r="2111" spans="20:21">
      <c r="T2111" s="8"/>
      <c r="U2111" s="8"/>
    </row>
    <row r="2112" spans="20:21">
      <c r="T2112" s="8"/>
      <c r="U2112" s="8"/>
    </row>
    <row r="2113" spans="20:21">
      <c r="T2113" s="8"/>
      <c r="U2113" s="8"/>
    </row>
    <row r="2114" spans="20:21">
      <c r="T2114" s="8"/>
      <c r="U2114" s="8"/>
    </row>
    <row r="2115" spans="20:21">
      <c r="T2115" s="8"/>
      <c r="U2115" s="8"/>
    </row>
    <row r="2116" spans="20:21">
      <c r="T2116" s="8"/>
      <c r="U2116" s="8"/>
    </row>
    <row r="2117" spans="20:21">
      <c r="T2117" s="8"/>
      <c r="U2117" s="8"/>
    </row>
    <row r="2118" spans="20:21">
      <c r="T2118" s="8"/>
      <c r="U2118" s="8"/>
    </row>
    <row r="2119" spans="20:21">
      <c r="T2119" s="8"/>
      <c r="U2119" s="8"/>
    </row>
    <row r="2120" spans="20:21">
      <c r="T2120" s="8"/>
      <c r="U2120" s="8"/>
    </row>
    <row r="2121" spans="20:21">
      <c r="T2121" s="8"/>
      <c r="U2121" s="8"/>
    </row>
    <row r="2122" spans="20:21">
      <c r="T2122" s="8"/>
      <c r="U2122" s="8"/>
    </row>
    <row r="2123" spans="20:21">
      <c r="T2123" s="8"/>
      <c r="U2123" s="8"/>
    </row>
    <row r="2124" spans="20:21">
      <c r="T2124" s="8"/>
      <c r="U2124" s="8"/>
    </row>
    <row r="2125" spans="20:21">
      <c r="T2125" s="8"/>
      <c r="U2125" s="8"/>
    </row>
    <row r="2126" spans="20:21">
      <c r="T2126" s="8"/>
      <c r="U2126" s="8"/>
    </row>
    <row r="2127" spans="20:21">
      <c r="T2127" s="8"/>
      <c r="U2127" s="8"/>
    </row>
    <row r="2128" spans="20:21">
      <c r="T2128" s="8"/>
      <c r="U2128" s="8"/>
    </row>
    <row r="2129" spans="20:21">
      <c r="T2129" s="8"/>
      <c r="U2129" s="8"/>
    </row>
    <row r="2130" spans="20:21">
      <c r="T2130" s="8"/>
      <c r="U2130" s="8"/>
    </row>
    <row r="2131" spans="20:21">
      <c r="T2131" s="8"/>
      <c r="U2131" s="8"/>
    </row>
    <row r="2132" spans="20:21">
      <c r="T2132" s="8"/>
      <c r="U2132" s="8"/>
    </row>
    <row r="2133" spans="20:21">
      <c r="T2133" s="8"/>
      <c r="U2133" s="8"/>
    </row>
    <row r="2134" spans="20:21">
      <c r="T2134" s="8"/>
      <c r="U2134" s="8"/>
    </row>
    <row r="2135" spans="20:21">
      <c r="T2135" s="8"/>
      <c r="U2135" s="8"/>
    </row>
    <row r="2136" spans="20:21">
      <c r="T2136" s="8"/>
      <c r="U2136" s="8"/>
    </row>
    <row r="2137" spans="20:21">
      <c r="T2137" s="8"/>
      <c r="U2137" s="8"/>
    </row>
    <row r="2138" spans="20:21">
      <c r="T2138" s="8"/>
      <c r="U2138" s="8"/>
    </row>
    <row r="2139" spans="20:21">
      <c r="T2139" s="8"/>
      <c r="U2139" s="8"/>
    </row>
    <row r="2140" spans="20:21">
      <c r="T2140" s="8"/>
      <c r="U2140" s="8"/>
    </row>
    <row r="2141" spans="20:21">
      <c r="T2141" s="8"/>
      <c r="U2141" s="8"/>
    </row>
    <row r="2142" spans="20:21">
      <c r="T2142" s="8"/>
      <c r="U2142" s="8"/>
    </row>
    <row r="2143" spans="20:21">
      <c r="T2143" s="8"/>
      <c r="U2143" s="8"/>
    </row>
    <row r="2144" spans="20:21">
      <c r="T2144" s="8"/>
      <c r="U2144" s="8"/>
    </row>
    <row r="2145" spans="20:21">
      <c r="T2145" s="8"/>
      <c r="U2145" s="8"/>
    </row>
    <row r="2146" spans="20:21">
      <c r="T2146" s="8"/>
      <c r="U2146" s="8"/>
    </row>
    <row r="2147" spans="20:21">
      <c r="T2147" s="8"/>
      <c r="U2147" s="8"/>
    </row>
    <row r="2148" spans="20:21">
      <c r="T2148" s="8"/>
      <c r="U2148" s="8"/>
    </row>
    <row r="2149" spans="20:21">
      <c r="T2149" s="8"/>
      <c r="U2149" s="8"/>
    </row>
    <row r="2150" spans="20:21">
      <c r="T2150" s="8"/>
      <c r="U2150" s="8"/>
    </row>
    <row r="2151" spans="20:21">
      <c r="T2151" s="8"/>
      <c r="U2151" s="8"/>
    </row>
    <row r="2152" spans="20:21">
      <c r="T2152" s="8"/>
      <c r="U2152" s="8"/>
    </row>
    <row r="2153" spans="20:21">
      <c r="T2153" s="8"/>
      <c r="U2153" s="8"/>
    </row>
    <row r="2154" spans="20:21">
      <c r="T2154" s="8"/>
      <c r="U2154" s="8"/>
    </row>
    <row r="2155" spans="20:21">
      <c r="T2155" s="8"/>
      <c r="U2155" s="8"/>
    </row>
    <row r="2156" spans="20:21">
      <c r="T2156" s="8"/>
      <c r="U2156" s="8"/>
    </row>
    <row r="2157" spans="20:21">
      <c r="T2157" s="8"/>
      <c r="U2157" s="8"/>
    </row>
    <row r="2158" spans="20:21">
      <c r="T2158" s="8"/>
      <c r="U2158" s="8"/>
    </row>
    <row r="2159" spans="20:21">
      <c r="T2159" s="8"/>
      <c r="U2159" s="8"/>
    </row>
    <row r="2160" spans="20:21">
      <c r="T2160" s="8"/>
      <c r="U2160" s="8"/>
    </row>
    <row r="2161" spans="20:21">
      <c r="T2161" s="8"/>
      <c r="U2161" s="8"/>
    </row>
    <row r="2162" spans="20:21">
      <c r="T2162" s="8"/>
      <c r="U2162" s="8"/>
    </row>
    <row r="2163" spans="20:21">
      <c r="T2163" s="8"/>
      <c r="U2163" s="8"/>
    </row>
    <row r="2164" spans="20:21">
      <c r="T2164" s="8"/>
      <c r="U2164" s="8"/>
    </row>
    <row r="2165" spans="20:21">
      <c r="T2165" s="8"/>
      <c r="U2165" s="8"/>
    </row>
    <row r="2166" spans="20:21">
      <c r="T2166" s="8"/>
      <c r="U2166" s="8"/>
    </row>
    <row r="2167" spans="20:21">
      <c r="T2167" s="8"/>
      <c r="U2167" s="8"/>
    </row>
    <row r="2168" spans="20:21">
      <c r="T2168" s="8"/>
      <c r="U2168" s="8"/>
    </row>
    <row r="2169" spans="20:21">
      <c r="T2169" s="8"/>
      <c r="U2169" s="8"/>
    </row>
    <row r="2170" spans="20:21">
      <c r="T2170" s="8"/>
      <c r="U2170" s="8"/>
    </row>
    <row r="2171" spans="20:21">
      <c r="T2171" s="8"/>
      <c r="U2171" s="8"/>
    </row>
    <row r="2172" spans="20:21">
      <c r="T2172" s="8"/>
      <c r="U2172" s="8"/>
    </row>
    <row r="2173" spans="20:21">
      <c r="T2173" s="8"/>
      <c r="U2173" s="8"/>
    </row>
    <row r="2174" spans="20:21">
      <c r="T2174" s="8"/>
      <c r="U2174" s="8"/>
    </row>
    <row r="2175" spans="20:21">
      <c r="T2175" s="8"/>
      <c r="U2175" s="8"/>
    </row>
    <row r="2176" spans="20:21">
      <c r="T2176" s="8"/>
      <c r="U2176" s="8"/>
    </row>
    <row r="2177" spans="20:21">
      <c r="T2177" s="8"/>
      <c r="U2177" s="8"/>
    </row>
    <row r="2178" spans="20:21">
      <c r="T2178" s="8"/>
      <c r="U2178" s="8"/>
    </row>
    <row r="2179" spans="20:21">
      <c r="T2179" s="8"/>
      <c r="U2179" s="8"/>
    </row>
    <row r="2180" spans="20:21">
      <c r="T2180" s="8"/>
      <c r="U2180" s="8"/>
    </row>
    <row r="2181" spans="20:21">
      <c r="T2181" s="8"/>
      <c r="U2181" s="8"/>
    </row>
    <row r="2182" spans="20:21">
      <c r="T2182" s="8"/>
      <c r="U2182" s="8"/>
    </row>
    <row r="2183" spans="20:21">
      <c r="T2183" s="8"/>
      <c r="U2183" s="8"/>
    </row>
    <row r="2184" spans="20:21">
      <c r="T2184" s="8"/>
      <c r="U2184" s="8"/>
    </row>
    <row r="2185" spans="20:21">
      <c r="T2185" s="8"/>
      <c r="U2185" s="8"/>
    </row>
    <row r="2186" spans="20:21">
      <c r="T2186" s="8"/>
      <c r="U2186" s="8"/>
    </row>
    <row r="2187" spans="20:21">
      <c r="T2187" s="8"/>
      <c r="U2187" s="8"/>
    </row>
    <row r="2188" spans="20:21">
      <c r="T2188" s="8"/>
      <c r="U2188" s="8"/>
    </row>
    <row r="2189" spans="20:21">
      <c r="T2189" s="8"/>
      <c r="U2189" s="8"/>
    </row>
    <row r="2190" spans="20:21">
      <c r="T2190" s="8"/>
      <c r="U2190" s="8"/>
    </row>
    <row r="2191" spans="20:21">
      <c r="T2191" s="8"/>
      <c r="U2191" s="8"/>
    </row>
    <row r="2192" spans="20:21">
      <c r="T2192" s="8"/>
      <c r="U2192" s="8"/>
    </row>
    <row r="2193" spans="20:21">
      <c r="T2193" s="8"/>
      <c r="U2193" s="8"/>
    </row>
    <row r="2194" spans="20:21">
      <c r="T2194" s="8"/>
      <c r="U2194" s="8"/>
    </row>
    <row r="2195" spans="20:21">
      <c r="T2195" s="8"/>
      <c r="U2195" s="8"/>
    </row>
    <row r="2196" spans="20:21">
      <c r="T2196" s="8"/>
      <c r="U2196" s="8"/>
    </row>
    <row r="2197" spans="20:21">
      <c r="T2197" s="8"/>
      <c r="U2197" s="8"/>
    </row>
    <row r="2198" spans="20:21">
      <c r="T2198" s="8"/>
      <c r="U2198" s="8"/>
    </row>
    <row r="2199" spans="20:21">
      <c r="T2199" s="8"/>
      <c r="U2199" s="8"/>
    </row>
    <row r="2200" spans="20:21">
      <c r="T2200" s="8"/>
      <c r="U2200" s="8"/>
    </row>
    <row r="2201" spans="20:21">
      <c r="T2201" s="8"/>
      <c r="U2201" s="8"/>
    </row>
    <row r="2202" spans="20:21">
      <c r="T2202" s="8"/>
      <c r="U2202" s="8"/>
    </row>
    <row r="2203" spans="20:21">
      <c r="T2203" s="8"/>
      <c r="U2203" s="8"/>
    </row>
    <row r="2204" spans="20:21">
      <c r="T2204" s="8"/>
      <c r="U2204" s="8"/>
    </row>
    <row r="2205" spans="20:21">
      <c r="T2205" s="8"/>
      <c r="U2205" s="8"/>
    </row>
    <row r="2206" spans="20:21">
      <c r="T2206" s="8"/>
      <c r="U2206" s="8"/>
    </row>
    <row r="2207" spans="20:21">
      <c r="T2207" s="8"/>
      <c r="U2207" s="8"/>
    </row>
    <row r="2208" spans="20:21">
      <c r="T2208" s="8"/>
      <c r="U2208" s="8"/>
    </row>
    <row r="2209" spans="20:21">
      <c r="T2209" s="8"/>
      <c r="U2209" s="8"/>
    </row>
    <row r="2210" spans="20:21">
      <c r="T2210" s="8"/>
      <c r="U2210" s="8"/>
    </row>
    <row r="2211" spans="20:21">
      <c r="T2211" s="8"/>
      <c r="U2211" s="8"/>
    </row>
    <row r="2212" spans="20:21">
      <c r="T2212" s="8"/>
      <c r="U2212" s="8"/>
    </row>
    <row r="2213" spans="20:21">
      <c r="T2213" s="8"/>
      <c r="U2213" s="8"/>
    </row>
    <row r="2214" spans="20:21">
      <c r="T2214" s="8"/>
      <c r="U2214" s="8"/>
    </row>
    <row r="2215" spans="20:21">
      <c r="T2215" s="8"/>
      <c r="U2215" s="8"/>
    </row>
    <row r="2216" spans="20:21">
      <c r="T2216" s="8"/>
      <c r="U2216" s="8"/>
    </row>
    <row r="2217" spans="20:21">
      <c r="T2217" s="8"/>
      <c r="U2217" s="8"/>
    </row>
    <row r="2218" spans="20:21">
      <c r="T2218" s="8"/>
      <c r="U2218" s="8"/>
    </row>
    <row r="2219" spans="20:21">
      <c r="T2219" s="8"/>
      <c r="U2219" s="8"/>
    </row>
    <row r="2220" spans="20:21">
      <c r="T2220" s="8"/>
      <c r="U2220" s="8"/>
    </row>
    <row r="2221" spans="20:21">
      <c r="T2221" s="8"/>
      <c r="U2221" s="8"/>
    </row>
    <row r="2222" spans="20:21">
      <c r="T2222" s="8"/>
      <c r="U2222" s="8"/>
    </row>
    <row r="2223" spans="20:21">
      <c r="T2223" s="8"/>
      <c r="U2223" s="8"/>
    </row>
    <row r="2224" spans="20:21">
      <c r="T2224" s="8"/>
      <c r="U2224" s="8"/>
    </row>
    <row r="2225" spans="20:21">
      <c r="T2225" s="8"/>
      <c r="U2225" s="8"/>
    </row>
    <row r="2226" spans="20:21">
      <c r="T2226" s="8"/>
      <c r="U2226" s="8"/>
    </row>
    <row r="2227" spans="20:21">
      <c r="T2227" s="8"/>
      <c r="U2227" s="8"/>
    </row>
    <row r="2228" spans="20:21">
      <c r="T2228" s="8"/>
      <c r="U2228" s="8"/>
    </row>
    <row r="2229" spans="20:21">
      <c r="T2229" s="8"/>
      <c r="U2229" s="8"/>
    </row>
    <row r="2230" spans="20:21">
      <c r="T2230" s="8"/>
      <c r="U2230" s="8"/>
    </row>
    <row r="2231" spans="20:21">
      <c r="T2231" s="8"/>
      <c r="U2231" s="8"/>
    </row>
    <row r="2232" spans="20:21">
      <c r="T2232" s="8"/>
      <c r="U2232" s="8"/>
    </row>
    <row r="2233" spans="20:21">
      <c r="T2233" s="8"/>
      <c r="U2233" s="8"/>
    </row>
    <row r="2234" spans="20:21">
      <c r="T2234" s="8"/>
      <c r="U2234" s="8"/>
    </row>
    <row r="2235" spans="20:21">
      <c r="T2235" s="8"/>
      <c r="U2235" s="8"/>
    </row>
    <row r="2236" spans="20:21">
      <c r="T2236" s="8"/>
      <c r="U2236" s="8"/>
    </row>
    <row r="2237" spans="20:21">
      <c r="T2237" s="8"/>
      <c r="U2237" s="8"/>
    </row>
    <row r="2238" spans="20:21">
      <c r="T2238" s="8"/>
      <c r="U2238" s="8"/>
    </row>
    <row r="2239" spans="20:21">
      <c r="T2239" s="8"/>
      <c r="U2239" s="8"/>
    </row>
    <row r="2240" spans="20:21">
      <c r="T2240" s="8"/>
      <c r="U2240" s="8"/>
    </row>
    <row r="2241" spans="20:21">
      <c r="T2241" s="8"/>
      <c r="U2241" s="8"/>
    </row>
    <row r="2242" spans="20:21">
      <c r="T2242" s="8"/>
      <c r="U2242" s="8"/>
    </row>
    <row r="2243" spans="20:21">
      <c r="T2243" s="8"/>
      <c r="U2243" s="8"/>
    </row>
    <row r="2244" spans="20:21">
      <c r="T2244" s="8"/>
      <c r="U2244" s="8"/>
    </row>
    <row r="2245" spans="20:21">
      <c r="T2245" s="8"/>
      <c r="U2245" s="8"/>
    </row>
    <row r="2246" spans="20:21">
      <c r="T2246" s="8"/>
      <c r="U2246" s="8"/>
    </row>
    <row r="2247" spans="20:21">
      <c r="T2247" s="8"/>
      <c r="U2247" s="8"/>
    </row>
    <row r="2248" spans="20:21">
      <c r="T2248" s="8"/>
      <c r="U2248" s="8"/>
    </row>
    <row r="2249" spans="20:21">
      <c r="T2249" s="8"/>
      <c r="U2249" s="8"/>
    </row>
    <row r="2250" spans="20:21">
      <c r="T2250" s="8"/>
      <c r="U2250" s="8"/>
    </row>
    <row r="2251" spans="20:21">
      <c r="T2251" s="8"/>
      <c r="U2251" s="8"/>
    </row>
    <row r="2252" spans="20:21">
      <c r="T2252" s="8"/>
      <c r="U2252" s="8"/>
    </row>
    <row r="2253" spans="20:21">
      <c r="T2253" s="8"/>
      <c r="U2253" s="8"/>
    </row>
    <row r="2254" spans="20:21">
      <c r="T2254" s="8"/>
      <c r="U2254" s="8"/>
    </row>
    <row r="2255" spans="20:21">
      <c r="T2255" s="8"/>
      <c r="U2255" s="8"/>
    </row>
    <row r="2256" spans="20:21">
      <c r="T2256" s="8"/>
      <c r="U2256" s="8"/>
    </row>
    <row r="2257" spans="20:21">
      <c r="T2257" s="8"/>
      <c r="U2257" s="8"/>
    </row>
    <row r="2258" spans="20:21">
      <c r="T2258" s="8"/>
      <c r="U2258" s="8"/>
    </row>
    <row r="2259" spans="20:21">
      <c r="T2259" s="8"/>
      <c r="U2259" s="8"/>
    </row>
    <row r="2260" spans="20:21">
      <c r="T2260" s="8"/>
      <c r="U2260" s="8"/>
    </row>
    <row r="2261" spans="20:21">
      <c r="T2261" s="8"/>
      <c r="U2261" s="8"/>
    </row>
    <row r="2262" spans="20:21">
      <c r="T2262" s="8"/>
      <c r="U2262" s="8"/>
    </row>
    <row r="2263" spans="20:21">
      <c r="T2263" s="8"/>
      <c r="U2263" s="8"/>
    </row>
    <row r="2264" spans="20:21">
      <c r="T2264" s="8"/>
      <c r="U2264" s="8"/>
    </row>
    <row r="2265" spans="20:21">
      <c r="T2265" s="8"/>
      <c r="U2265" s="8"/>
    </row>
    <row r="2266" spans="20:21">
      <c r="T2266" s="8"/>
      <c r="U2266" s="8"/>
    </row>
    <row r="2267" spans="20:21">
      <c r="T2267" s="8"/>
      <c r="U2267" s="8"/>
    </row>
    <row r="2268" spans="20:21">
      <c r="T2268" s="8"/>
      <c r="U2268" s="8"/>
    </row>
    <row r="2269" spans="20:21">
      <c r="T2269" s="8"/>
      <c r="U2269" s="8"/>
    </row>
    <row r="2270" spans="20:21">
      <c r="T2270" s="8"/>
      <c r="U2270" s="8"/>
    </row>
    <row r="2271" spans="20:21">
      <c r="T2271" s="8"/>
      <c r="U2271" s="8"/>
    </row>
    <row r="2272" spans="20:21">
      <c r="T2272" s="8"/>
      <c r="U2272" s="8"/>
    </row>
    <row r="2273" spans="20:21">
      <c r="T2273" s="8"/>
      <c r="U2273" s="8"/>
    </row>
    <row r="2274" spans="20:21">
      <c r="T2274" s="8"/>
      <c r="U2274" s="8"/>
    </row>
    <row r="2275" spans="20:21">
      <c r="T2275" s="8"/>
      <c r="U2275" s="8"/>
    </row>
    <row r="2276" spans="20:21">
      <c r="T2276" s="8"/>
      <c r="U2276" s="8"/>
    </row>
    <row r="2277" spans="20:21">
      <c r="T2277" s="8"/>
      <c r="U2277" s="8"/>
    </row>
    <row r="2278" spans="20:21">
      <c r="T2278" s="8"/>
      <c r="U2278" s="8"/>
    </row>
    <row r="2279" spans="20:21">
      <c r="T2279" s="8"/>
      <c r="U2279" s="8"/>
    </row>
    <row r="2280" spans="20:21">
      <c r="T2280" s="8"/>
      <c r="U2280" s="8"/>
    </row>
    <row r="2281" spans="20:21">
      <c r="T2281" s="8"/>
      <c r="U2281" s="8"/>
    </row>
    <row r="2282" spans="20:21">
      <c r="T2282" s="8"/>
      <c r="U2282" s="8"/>
    </row>
    <row r="2283" spans="20:21">
      <c r="T2283" s="8"/>
      <c r="U2283" s="8"/>
    </row>
    <row r="2284" spans="20:21">
      <c r="T2284" s="8"/>
      <c r="U2284" s="8"/>
    </row>
    <row r="2285" spans="20:21">
      <c r="T2285" s="8"/>
      <c r="U2285" s="8"/>
    </row>
    <row r="2286" spans="20:21">
      <c r="T2286" s="8"/>
      <c r="U2286" s="8"/>
    </row>
    <row r="2287" spans="20:21">
      <c r="T2287" s="8"/>
      <c r="U2287" s="8"/>
    </row>
    <row r="2288" spans="20:21">
      <c r="T2288" s="8"/>
      <c r="U2288" s="8"/>
    </row>
    <row r="2289" spans="20:21">
      <c r="T2289" s="8"/>
      <c r="U2289" s="8"/>
    </row>
    <row r="2290" spans="20:21">
      <c r="T2290" s="8"/>
      <c r="U2290" s="8"/>
    </row>
    <row r="2291" spans="20:21">
      <c r="T2291" s="8"/>
      <c r="U2291" s="8"/>
    </row>
    <row r="2292" spans="20:21">
      <c r="T2292" s="8"/>
      <c r="U2292" s="8"/>
    </row>
    <row r="2293" spans="20:21">
      <c r="T2293" s="8"/>
      <c r="U2293" s="8"/>
    </row>
    <row r="2294" spans="20:21">
      <c r="T2294" s="8"/>
      <c r="U2294" s="8"/>
    </row>
    <row r="2295" spans="20:21">
      <c r="T2295" s="8"/>
      <c r="U2295" s="8"/>
    </row>
    <row r="2296" spans="20:21">
      <c r="T2296" s="8"/>
      <c r="U2296" s="8"/>
    </row>
    <row r="2297" spans="20:21">
      <c r="T2297" s="8"/>
      <c r="U2297" s="8"/>
    </row>
    <row r="2298" spans="20:21">
      <c r="T2298" s="8"/>
      <c r="U2298" s="8"/>
    </row>
    <row r="2299" spans="20:21">
      <c r="T2299" s="8"/>
      <c r="U2299" s="8"/>
    </row>
    <row r="2300" spans="20:21">
      <c r="T2300" s="8"/>
      <c r="U2300" s="8"/>
    </row>
    <row r="2301" spans="20:21">
      <c r="T2301" s="8"/>
      <c r="U2301" s="8"/>
    </row>
    <row r="2302" spans="20:21">
      <c r="T2302" s="8"/>
      <c r="U2302" s="8"/>
    </row>
    <row r="2303" spans="20:21">
      <c r="T2303" s="8"/>
      <c r="U2303" s="8"/>
    </row>
    <row r="2304" spans="20:21">
      <c r="T2304" s="8"/>
      <c r="U2304" s="8"/>
    </row>
    <row r="2305" spans="20:21">
      <c r="T2305" s="8"/>
      <c r="U2305" s="8"/>
    </row>
    <row r="2306" spans="20:21">
      <c r="T2306" s="8"/>
      <c r="U2306" s="8"/>
    </row>
  </sheetData>
  <sheetProtection sheet="1" selectLockedCells="1"/>
  <mergeCells count="1">
    <mergeCell ref="B15:B16"/>
  </mergeCells>
  <pageMargins left="0.78740157499999996" right="0.78740157499999996" top="1.24" bottom="0.984251969" header="0.74" footer="0.4921259845"/>
  <pageSetup paperSize="9" scale="44" orientation="landscape" horizontalDpi="300" verticalDpi="300" r:id="rId1"/>
  <headerFooter alignWithMargins="0">
    <oddHeader>&amp;F</oddHeader>
    <oddFooter>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9"/>
    <pageSetUpPr fitToPage="1"/>
  </sheetPr>
  <dimension ref="B1:U2306"/>
  <sheetViews>
    <sheetView zoomScale="85" zoomScaleNormal="85" workbookViewId="0">
      <selection activeCell="G8" sqref="G8"/>
    </sheetView>
  </sheetViews>
  <sheetFormatPr baseColWidth="10" defaultRowHeight="12.75"/>
  <cols>
    <col min="1" max="1" width="10.28515625" style="8" customWidth="1"/>
    <col min="2" max="2" width="13.28515625" style="8" customWidth="1"/>
    <col min="3" max="3" width="2.7109375" style="8" customWidth="1"/>
    <col min="4" max="4" width="11.85546875" style="8" customWidth="1"/>
    <col min="5" max="5" width="4" style="8" customWidth="1"/>
    <col min="6" max="6" width="45.28515625" style="8" customWidth="1"/>
    <col min="7" max="18" width="18.140625" style="8" customWidth="1"/>
    <col min="19" max="19" width="0" hidden="1" customWidth="1"/>
    <col min="20" max="20" width="15.42578125" style="22" customWidth="1"/>
    <col min="21" max="21" width="17.42578125" style="23" hidden="1" customWidth="1"/>
    <col min="22" max="16384" width="11.42578125" style="8"/>
  </cols>
  <sheetData>
    <row r="1" spans="2:21">
      <c r="T1" s="8"/>
      <c r="U1" s="8"/>
    </row>
    <row r="2" spans="2:21">
      <c r="T2" s="8"/>
      <c r="U2" s="8"/>
    </row>
    <row r="3" spans="2:21">
      <c r="B3" s="173" t="s">
        <v>231</v>
      </c>
      <c r="T3" s="8"/>
      <c r="U3" s="8"/>
    </row>
    <row r="4" spans="2:21" ht="13.5" thickBot="1">
      <c r="F4" s="9"/>
      <c r="G4" s="117" t="s">
        <v>49</v>
      </c>
      <c r="H4" s="117" t="s">
        <v>50</v>
      </c>
      <c r="I4" s="117" t="s">
        <v>51</v>
      </c>
      <c r="J4" s="117" t="s">
        <v>52</v>
      </c>
      <c r="K4" s="117" t="s">
        <v>53</v>
      </c>
      <c r="L4" s="117" t="s">
        <v>54</v>
      </c>
      <c r="M4" s="117" t="s">
        <v>55</v>
      </c>
      <c r="N4" s="117" t="s">
        <v>56</v>
      </c>
      <c r="O4" s="117" t="s">
        <v>57</v>
      </c>
      <c r="P4" s="117" t="s">
        <v>58</v>
      </c>
      <c r="Q4" s="117" t="s">
        <v>59</v>
      </c>
      <c r="R4" s="117" t="s">
        <v>60</v>
      </c>
      <c r="U4" s="8"/>
    </row>
    <row r="5" spans="2:21" ht="12" customHeight="1" thickBot="1">
      <c r="B5" s="12"/>
      <c r="C5" s="12"/>
      <c r="D5" s="217" t="s">
        <v>191</v>
      </c>
      <c r="E5" s="31"/>
      <c r="F5" s="14" t="s">
        <v>112</v>
      </c>
      <c r="G5" s="15">
        <f>'Trésorerie AN 2'!R44</f>
        <v>0</v>
      </c>
      <c r="H5" s="15">
        <f t="shared" ref="H5:R5" si="0">G44</f>
        <v>0</v>
      </c>
      <c r="I5" s="15">
        <f t="shared" si="0"/>
        <v>0</v>
      </c>
      <c r="J5" s="15">
        <f t="shared" si="0"/>
        <v>0</v>
      </c>
      <c r="K5" s="15">
        <f t="shared" si="0"/>
        <v>0</v>
      </c>
      <c r="L5" s="15">
        <f t="shared" si="0"/>
        <v>0</v>
      </c>
      <c r="M5" s="15">
        <f t="shared" si="0"/>
        <v>0</v>
      </c>
      <c r="N5" s="15">
        <f t="shared" si="0"/>
        <v>0</v>
      </c>
      <c r="O5" s="15">
        <f t="shared" si="0"/>
        <v>0</v>
      </c>
      <c r="P5" s="15">
        <f t="shared" si="0"/>
        <v>0</v>
      </c>
      <c r="Q5" s="15">
        <f t="shared" si="0"/>
        <v>0</v>
      </c>
      <c r="R5" s="15">
        <f t="shared" si="0"/>
        <v>0</v>
      </c>
      <c r="T5" s="117" t="s">
        <v>190</v>
      </c>
      <c r="U5" s="6" t="s">
        <v>192</v>
      </c>
    </row>
    <row r="6" spans="2:21" ht="12" customHeight="1" thickBot="1">
      <c r="B6" s="12"/>
      <c r="C6" s="12"/>
      <c r="D6" s="1"/>
      <c r="E6" s="12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T6" s="138"/>
      <c r="U6" s="117"/>
    </row>
    <row r="7" spans="2:21" ht="12" customHeight="1" thickBot="1">
      <c r="B7" s="31"/>
      <c r="C7" s="31"/>
      <c r="D7" s="309"/>
      <c r="F7" s="214" t="s">
        <v>2</v>
      </c>
      <c r="G7" s="135">
        <f t="shared" ref="G7:R7" si="1">SUM(G8:G14)</f>
        <v>0</v>
      </c>
      <c r="H7" s="135">
        <f t="shared" si="1"/>
        <v>0</v>
      </c>
      <c r="I7" s="135">
        <f t="shared" si="1"/>
        <v>0</v>
      </c>
      <c r="J7" s="135">
        <f t="shared" si="1"/>
        <v>0</v>
      </c>
      <c r="K7" s="135">
        <f t="shared" si="1"/>
        <v>0</v>
      </c>
      <c r="L7" s="135">
        <f t="shared" si="1"/>
        <v>0</v>
      </c>
      <c r="M7" s="135">
        <f t="shared" si="1"/>
        <v>0</v>
      </c>
      <c r="N7" s="135">
        <f t="shared" si="1"/>
        <v>0</v>
      </c>
      <c r="O7" s="135">
        <f t="shared" si="1"/>
        <v>0</v>
      </c>
      <c r="P7" s="135">
        <f t="shared" si="1"/>
        <v>0</v>
      </c>
      <c r="Q7" s="135">
        <f t="shared" si="1"/>
        <v>0</v>
      </c>
      <c r="R7" s="139">
        <f t="shared" si="1"/>
        <v>0</v>
      </c>
      <c r="T7" s="49">
        <f>SUM(T8:T14)</f>
        <v>0</v>
      </c>
      <c r="U7" s="6">
        <f>SUM(U8:U15)</f>
        <v>0</v>
      </c>
    </row>
    <row r="8" spans="2:21" ht="12" customHeight="1">
      <c r="B8" s="140"/>
      <c r="C8" s="140"/>
      <c r="D8" s="169">
        <f>'Trésorerie AN 2'!D8</f>
        <v>0</v>
      </c>
      <c r="E8" s="140"/>
      <c r="F8" s="130" t="s">
        <v>156</v>
      </c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T8" s="1">
        <f t="shared" ref="T8:T14" si="2">SUM(G8:R8)</f>
        <v>0</v>
      </c>
      <c r="U8" s="14">
        <f t="shared" ref="U8:U15" si="3">T8/(1+D8)</f>
        <v>0</v>
      </c>
    </row>
    <row r="9" spans="2:21" ht="12" customHeight="1">
      <c r="B9" s="140"/>
      <c r="C9" s="140"/>
      <c r="D9" s="169">
        <f>'Trésorerie AN 2'!D9</f>
        <v>0</v>
      </c>
      <c r="E9" s="140"/>
      <c r="F9" s="130" t="s">
        <v>135</v>
      </c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1"/>
      <c r="T9" s="1">
        <f t="shared" si="2"/>
        <v>0</v>
      </c>
      <c r="U9" s="14">
        <f t="shared" si="3"/>
        <v>0</v>
      </c>
    </row>
    <row r="10" spans="2:21" ht="12" customHeight="1">
      <c r="B10" s="140"/>
      <c r="C10" s="140"/>
      <c r="D10" s="169">
        <f>'Trésorerie AN 2'!D10</f>
        <v>0</v>
      </c>
      <c r="E10" s="140"/>
      <c r="F10" s="130" t="s">
        <v>106</v>
      </c>
      <c r="G10" s="261"/>
      <c r="H10" s="261"/>
      <c r="I10" s="261"/>
      <c r="J10" s="261"/>
      <c r="K10" s="261"/>
      <c r="L10" s="261"/>
      <c r="M10" s="261"/>
      <c r="N10" s="261"/>
      <c r="O10" s="261"/>
      <c r="P10" s="261"/>
      <c r="Q10" s="261"/>
      <c r="R10" s="261"/>
      <c r="T10" s="1">
        <f t="shared" si="2"/>
        <v>0</v>
      </c>
      <c r="U10" s="14">
        <f t="shared" si="3"/>
        <v>0</v>
      </c>
    </row>
    <row r="11" spans="2:21" ht="12" customHeight="1">
      <c r="B11" s="140"/>
      <c r="C11" s="140"/>
      <c r="D11" s="169">
        <f>'Trésorerie AN 2'!D11</f>
        <v>0</v>
      </c>
      <c r="E11" s="140"/>
      <c r="F11" s="336" t="s">
        <v>104</v>
      </c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T11" s="1">
        <f t="shared" si="2"/>
        <v>0</v>
      </c>
      <c r="U11" s="14">
        <f t="shared" si="3"/>
        <v>0</v>
      </c>
    </row>
    <row r="12" spans="2:21" ht="12" customHeight="1">
      <c r="B12" s="140"/>
      <c r="C12" s="140"/>
      <c r="D12" s="169"/>
      <c r="E12" s="140"/>
      <c r="F12" s="130" t="s">
        <v>44</v>
      </c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T12" s="1">
        <f t="shared" si="2"/>
        <v>0</v>
      </c>
      <c r="U12" s="14">
        <f t="shared" si="3"/>
        <v>0</v>
      </c>
    </row>
    <row r="13" spans="2:21" ht="12" customHeight="1">
      <c r="B13" s="140"/>
      <c r="C13" s="140"/>
      <c r="D13" s="169"/>
      <c r="E13" s="140"/>
      <c r="F13" s="130" t="s">
        <v>1</v>
      </c>
      <c r="G13" s="1">
        <f>+'Ventes '!K60</f>
        <v>0</v>
      </c>
      <c r="H13" s="1">
        <f>+'Ventes '!L60</f>
        <v>0</v>
      </c>
      <c r="I13" s="1">
        <f>+'Ventes '!M60</f>
        <v>0</v>
      </c>
      <c r="J13" s="1">
        <f>+'Ventes '!N60</f>
        <v>0</v>
      </c>
      <c r="K13" s="1">
        <f>+'Ventes '!O60</f>
        <v>0</v>
      </c>
      <c r="L13" s="1">
        <f>+'Ventes '!P60</f>
        <v>0</v>
      </c>
      <c r="M13" s="1">
        <f>+'Ventes '!Q60</f>
        <v>0</v>
      </c>
      <c r="N13" s="1">
        <f>+'Ventes '!R60</f>
        <v>0</v>
      </c>
      <c r="O13" s="1">
        <f>+'Ventes '!S60</f>
        <v>0</v>
      </c>
      <c r="P13" s="1">
        <f>+'Ventes '!T60</f>
        <v>0</v>
      </c>
      <c r="Q13" s="1">
        <f>+'Ventes '!U60</f>
        <v>0</v>
      </c>
      <c r="R13" s="1">
        <f>+'Ventes '!V60</f>
        <v>0</v>
      </c>
      <c r="T13" s="1">
        <f t="shared" si="2"/>
        <v>0</v>
      </c>
      <c r="U13" s="14">
        <f t="shared" si="3"/>
        <v>0</v>
      </c>
    </row>
    <row r="14" spans="2:21" ht="12" customHeight="1">
      <c r="B14" s="140"/>
      <c r="C14" s="140"/>
      <c r="D14" s="169"/>
      <c r="E14" s="140"/>
      <c r="F14" s="130" t="s">
        <v>23</v>
      </c>
      <c r="G14" s="1">
        <f>IF('Trésorerie AN 2'!R52&lt;0,-'Trésorerie AN 2'!R52,0)</f>
        <v>0</v>
      </c>
      <c r="H14" s="1"/>
      <c r="I14" s="1"/>
      <c r="J14" s="1">
        <f>IF(I52&lt;0,-I52,0)</f>
        <v>0</v>
      </c>
      <c r="K14" s="1"/>
      <c r="L14" s="1"/>
      <c r="M14" s="1">
        <f>IF(L52&lt;0,-L52,0)</f>
        <v>0</v>
      </c>
      <c r="N14" s="1"/>
      <c r="O14" s="1"/>
      <c r="P14" s="1">
        <f>IF(O52&lt;0,-O52,0)</f>
        <v>0</v>
      </c>
      <c r="Q14" s="1"/>
      <c r="R14" s="1"/>
      <c r="T14" s="1">
        <f t="shared" si="2"/>
        <v>0</v>
      </c>
      <c r="U14" s="14">
        <f t="shared" si="3"/>
        <v>0</v>
      </c>
    </row>
    <row r="15" spans="2:21" ht="12" customHeight="1" thickBot="1">
      <c r="B15" s="140"/>
      <c r="C15" s="140"/>
      <c r="D15" s="169"/>
      <c r="E15" s="140"/>
      <c r="F15" s="13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T15" s="1"/>
      <c r="U15" s="14">
        <f t="shared" si="3"/>
        <v>0</v>
      </c>
    </row>
    <row r="16" spans="2:21" ht="12" customHeight="1" thickBot="1">
      <c r="B16" s="411" t="s">
        <v>215</v>
      </c>
      <c r="C16" s="218"/>
      <c r="D16" s="16"/>
      <c r="F16" s="139" t="s">
        <v>3</v>
      </c>
      <c r="G16" s="136">
        <f t="shared" ref="G16:R16" si="4">SUM(G17:G43)</f>
        <v>0</v>
      </c>
      <c r="H16" s="136">
        <f t="shared" si="4"/>
        <v>0</v>
      </c>
      <c r="I16" s="136">
        <f>SUM(I17:I43)</f>
        <v>0</v>
      </c>
      <c r="J16" s="136">
        <f t="shared" si="4"/>
        <v>0</v>
      </c>
      <c r="K16" s="136">
        <f t="shared" si="4"/>
        <v>0</v>
      </c>
      <c r="L16" s="136">
        <f t="shared" si="4"/>
        <v>0</v>
      </c>
      <c r="M16" s="136">
        <f t="shared" si="4"/>
        <v>0</v>
      </c>
      <c r="N16" s="136">
        <f t="shared" si="4"/>
        <v>0</v>
      </c>
      <c r="O16" s="136">
        <f t="shared" si="4"/>
        <v>0</v>
      </c>
      <c r="P16" s="136">
        <f t="shared" si="4"/>
        <v>0</v>
      </c>
      <c r="Q16" s="136">
        <f t="shared" si="4"/>
        <v>0</v>
      </c>
      <c r="R16" s="136">
        <f t="shared" si="4"/>
        <v>0</v>
      </c>
      <c r="T16" s="137">
        <f t="shared" ref="T16:T43" si="5">SUM(G16:R16)</f>
        <v>0</v>
      </c>
      <c r="U16" s="6">
        <f>SUM(U17:U43)</f>
        <v>0</v>
      </c>
    </row>
    <row r="17" spans="2:21" ht="12" customHeight="1">
      <c r="B17" s="412"/>
      <c r="C17" s="218"/>
      <c r="D17" s="169"/>
      <c r="E17" s="140"/>
      <c r="F17" s="142" t="s">
        <v>21</v>
      </c>
      <c r="G17" s="359">
        <f>+'Ventes '!K61</f>
        <v>0</v>
      </c>
      <c r="H17" s="359">
        <f>+'Ventes '!L61</f>
        <v>0</v>
      </c>
      <c r="I17" s="359">
        <f>+'Ventes '!M61</f>
        <v>0</v>
      </c>
      <c r="J17" s="359">
        <f>+'Ventes '!N61</f>
        <v>0</v>
      </c>
      <c r="K17" s="359">
        <f>+'Ventes '!O61</f>
        <v>0</v>
      </c>
      <c r="L17" s="359">
        <f>+'Ventes '!P61</f>
        <v>0</v>
      </c>
      <c r="M17" s="359">
        <f>+'Ventes '!Q61</f>
        <v>0</v>
      </c>
      <c r="N17" s="359">
        <f>+'Ventes '!R61</f>
        <v>0</v>
      </c>
      <c r="O17" s="359">
        <f>+'Ventes '!S61</f>
        <v>0</v>
      </c>
      <c r="P17" s="359">
        <f>+'Ventes '!T61</f>
        <v>0</v>
      </c>
      <c r="Q17" s="359">
        <f>+'Ventes '!U61</f>
        <v>0</v>
      </c>
      <c r="R17" s="359">
        <f>+'Ventes '!V61</f>
        <v>0</v>
      </c>
      <c r="T17" s="1">
        <f t="shared" si="5"/>
        <v>0</v>
      </c>
      <c r="U17" s="14">
        <f t="shared" ref="U17:U37" si="6">T17/(1+D17)</f>
        <v>0</v>
      </c>
    </row>
    <row r="18" spans="2:21">
      <c r="B18" s="259">
        <v>0</v>
      </c>
      <c r="C18" s="219"/>
      <c r="D18" s="169">
        <f>'Trésorerie AN 2'!D18</f>
        <v>0</v>
      </c>
      <c r="E18" s="222"/>
      <c r="F18" s="142" t="s">
        <v>170</v>
      </c>
      <c r="G18" s="360">
        <f>(1+$B18)*'Trésorerie AN 2'!G18</f>
        <v>0</v>
      </c>
      <c r="H18" s="360">
        <f>(1+$B18)*'Trésorerie AN 2'!H18</f>
        <v>0</v>
      </c>
      <c r="I18" s="360">
        <f>(1+$B18)*'Trésorerie AN 2'!I18</f>
        <v>0</v>
      </c>
      <c r="J18" s="360">
        <f>(1+$B18)*'Trésorerie AN 2'!J18</f>
        <v>0</v>
      </c>
      <c r="K18" s="360">
        <f>(1+$B18)*'Trésorerie AN 2'!K18</f>
        <v>0</v>
      </c>
      <c r="L18" s="360">
        <f>(1+$B18)*'Trésorerie AN 2'!L18</f>
        <v>0</v>
      </c>
      <c r="M18" s="360">
        <f>(1+$B18)*'Trésorerie AN 2'!M18</f>
        <v>0</v>
      </c>
      <c r="N18" s="360">
        <f>(1+$B18)*'Trésorerie AN 2'!N18</f>
        <v>0</v>
      </c>
      <c r="O18" s="360">
        <f>(1+$B18)*'Trésorerie AN 2'!O18</f>
        <v>0</v>
      </c>
      <c r="P18" s="360">
        <f>(1+$B18)*'Trésorerie AN 2'!P18</f>
        <v>0</v>
      </c>
      <c r="Q18" s="360">
        <f>(1+$B18)*'Trésorerie AN 2'!Q18</f>
        <v>0</v>
      </c>
      <c r="R18" s="360">
        <f>(1+$B18)*'Trésorerie AN 2'!R18</f>
        <v>0</v>
      </c>
      <c r="T18" s="1">
        <f t="shared" si="5"/>
        <v>0</v>
      </c>
      <c r="U18" s="14">
        <f t="shared" si="6"/>
        <v>0</v>
      </c>
    </row>
    <row r="19" spans="2:21">
      <c r="B19" s="259">
        <v>0</v>
      </c>
      <c r="C19" s="171"/>
      <c r="D19" s="169">
        <f>'Trésorerie AN 2'!D19</f>
        <v>0.21</v>
      </c>
      <c r="E19" s="222"/>
      <c r="F19" s="142" t="s">
        <v>171</v>
      </c>
      <c r="G19" s="360">
        <f>(1+$B19)*'Trésorerie AN 2'!G19</f>
        <v>0</v>
      </c>
      <c r="H19" s="360">
        <f>(1+$B19)*'Trésorerie AN 2'!H19</f>
        <v>0</v>
      </c>
      <c r="I19" s="360">
        <f>(1+$B19)*'Trésorerie AN 2'!I19</f>
        <v>0</v>
      </c>
      <c r="J19" s="360">
        <f>(1+$B19)*'Trésorerie AN 2'!J19</f>
        <v>0</v>
      </c>
      <c r="K19" s="360">
        <f>(1+$B19)*'Trésorerie AN 2'!K19</f>
        <v>0</v>
      </c>
      <c r="L19" s="360">
        <f>(1+$B19)*'Trésorerie AN 2'!L19</f>
        <v>0</v>
      </c>
      <c r="M19" s="360">
        <f>(1+$B19)*'Trésorerie AN 2'!M19</f>
        <v>0</v>
      </c>
      <c r="N19" s="360">
        <f>(1+$B19)*'Trésorerie AN 2'!N19</f>
        <v>0</v>
      </c>
      <c r="O19" s="360">
        <f>(1+$B19)*'Trésorerie AN 2'!O19</f>
        <v>0</v>
      </c>
      <c r="P19" s="360">
        <f>(1+$B19)*'Trésorerie AN 2'!P19</f>
        <v>0</v>
      </c>
      <c r="Q19" s="360">
        <f>(1+$B19)*'Trésorerie AN 2'!Q19</f>
        <v>0</v>
      </c>
      <c r="R19" s="360">
        <f>(1+$B19)*'Trésorerie AN 2'!R19</f>
        <v>0</v>
      </c>
      <c r="T19" s="1">
        <f t="shared" si="5"/>
        <v>0</v>
      </c>
      <c r="U19" s="14">
        <f>T19/(1+D19)</f>
        <v>0</v>
      </c>
    </row>
    <row r="20" spans="2:21">
      <c r="B20" s="259">
        <v>0</v>
      </c>
      <c r="C20" s="171"/>
      <c r="D20" s="169">
        <f>'Trésorerie AN 2'!D20</f>
        <v>0</v>
      </c>
      <c r="E20" s="222"/>
      <c r="F20" s="142" t="s">
        <v>9</v>
      </c>
      <c r="G20" s="360">
        <f>(1+$B20)*'Trésorerie AN 2'!G20</f>
        <v>0</v>
      </c>
      <c r="H20" s="360">
        <f>(1+$B20)*'Trésorerie AN 2'!H20</f>
        <v>0</v>
      </c>
      <c r="I20" s="360">
        <f>(1+$B20)*'Trésorerie AN 2'!I20</f>
        <v>0</v>
      </c>
      <c r="J20" s="360">
        <f>(1+$B20)*'Trésorerie AN 2'!J20</f>
        <v>0</v>
      </c>
      <c r="K20" s="360">
        <f>(1+$B20)*'Trésorerie AN 2'!K20</f>
        <v>0</v>
      </c>
      <c r="L20" s="360">
        <f>(1+$B20)*'Trésorerie AN 2'!L20</f>
        <v>0</v>
      </c>
      <c r="M20" s="360">
        <f>(1+$B20)*'Trésorerie AN 2'!M20</f>
        <v>0</v>
      </c>
      <c r="N20" s="360">
        <f>(1+$B20)*'Trésorerie AN 2'!N20</f>
        <v>0</v>
      </c>
      <c r="O20" s="360">
        <f>(1+$B20)*'Trésorerie AN 2'!O20</f>
        <v>0</v>
      </c>
      <c r="P20" s="360">
        <f>(1+$B20)*'Trésorerie AN 2'!P20</f>
        <v>0</v>
      </c>
      <c r="Q20" s="360">
        <f>(1+$B20)*'Trésorerie AN 2'!Q20</f>
        <v>0</v>
      </c>
      <c r="R20" s="360">
        <f>(1+$B20)*'Trésorerie AN 2'!R20</f>
        <v>0</v>
      </c>
      <c r="T20" s="1">
        <f t="shared" si="5"/>
        <v>0</v>
      </c>
      <c r="U20" s="14">
        <f t="shared" si="6"/>
        <v>0</v>
      </c>
    </row>
    <row r="21" spans="2:21">
      <c r="B21" s="259">
        <v>0</v>
      </c>
      <c r="C21" s="171"/>
      <c r="D21" s="169">
        <f>'Trésorerie AN 2'!D21</f>
        <v>0.21</v>
      </c>
      <c r="E21" s="222"/>
      <c r="F21" s="142" t="s">
        <v>172</v>
      </c>
      <c r="G21" s="360">
        <f>(1+$B21)*'Trésorerie AN 2'!G21</f>
        <v>0</v>
      </c>
      <c r="H21" s="360">
        <f>(1+$B21)*'Trésorerie AN 2'!H21</f>
        <v>0</v>
      </c>
      <c r="I21" s="360">
        <f>(1+$B21)*'Trésorerie AN 2'!I21</f>
        <v>0</v>
      </c>
      <c r="J21" s="360">
        <f>(1+$B21)*'Trésorerie AN 2'!J21</f>
        <v>0</v>
      </c>
      <c r="K21" s="360">
        <f>(1+$B21)*'Trésorerie AN 2'!K21</f>
        <v>0</v>
      </c>
      <c r="L21" s="360">
        <f>(1+$B21)*'Trésorerie AN 2'!L21</f>
        <v>0</v>
      </c>
      <c r="M21" s="360">
        <f>(1+$B21)*'Trésorerie AN 2'!M21</f>
        <v>0</v>
      </c>
      <c r="N21" s="360">
        <f>(1+$B21)*'Trésorerie AN 2'!N21</f>
        <v>0</v>
      </c>
      <c r="O21" s="360">
        <f>(1+$B21)*'Trésorerie AN 2'!O21</f>
        <v>0</v>
      </c>
      <c r="P21" s="360">
        <f>(1+$B21)*'Trésorerie AN 2'!P21</f>
        <v>0</v>
      </c>
      <c r="Q21" s="360">
        <f>(1+$B21)*'Trésorerie AN 2'!Q21</f>
        <v>0</v>
      </c>
      <c r="R21" s="360">
        <f>(1+$B21)*'Trésorerie AN 2'!R21</f>
        <v>0</v>
      </c>
      <c r="T21" s="1">
        <f t="shared" si="5"/>
        <v>0</v>
      </c>
      <c r="U21" s="14">
        <f t="shared" si="6"/>
        <v>0</v>
      </c>
    </row>
    <row r="22" spans="2:21">
      <c r="B22" s="259">
        <v>0</v>
      </c>
      <c r="C22" s="171"/>
      <c r="D22" s="169">
        <f>'Trésorerie AN 2'!D22</f>
        <v>0.21</v>
      </c>
      <c r="E22" s="222"/>
      <c r="F22" s="142" t="s">
        <v>176</v>
      </c>
      <c r="G22" s="360">
        <f>(1+$B22)*'Trésorerie AN 2'!G22</f>
        <v>0</v>
      </c>
      <c r="H22" s="360">
        <f>(1+$B22)*'Trésorerie AN 2'!H22</f>
        <v>0</v>
      </c>
      <c r="I22" s="360">
        <f>(1+$B22)*'Trésorerie AN 2'!I22</f>
        <v>0</v>
      </c>
      <c r="J22" s="360">
        <f>(1+$B22)*'Trésorerie AN 2'!J22</f>
        <v>0</v>
      </c>
      <c r="K22" s="360">
        <f>(1+$B22)*'Trésorerie AN 2'!K22</f>
        <v>0</v>
      </c>
      <c r="L22" s="360">
        <f>(1+$B22)*'Trésorerie AN 2'!L22</f>
        <v>0</v>
      </c>
      <c r="M22" s="360">
        <f>(1+$B22)*'Trésorerie AN 2'!M22</f>
        <v>0</v>
      </c>
      <c r="N22" s="360">
        <f>(1+$B22)*'Trésorerie AN 2'!N22</f>
        <v>0</v>
      </c>
      <c r="O22" s="360">
        <f>(1+$B22)*'Trésorerie AN 2'!O22</f>
        <v>0</v>
      </c>
      <c r="P22" s="360">
        <f>(1+$B22)*'Trésorerie AN 2'!P22</f>
        <v>0</v>
      </c>
      <c r="Q22" s="360">
        <f>(1+$B22)*'Trésorerie AN 2'!Q22</f>
        <v>0</v>
      </c>
      <c r="R22" s="360">
        <f>(1+$B22)*'Trésorerie AN 2'!R22</f>
        <v>0</v>
      </c>
      <c r="T22" s="1">
        <f t="shared" si="5"/>
        <v>0</v>
      </c>
      <c r="U22" s="14">
        <f t="shared" si="6"/>
        <v>0</v>
      </c>
    </row>
    <row r="23" spans="2:21">
      <c r="B23" s="259">
        <v>0</v>
      </c>
      <c r="C23" s="171"/>
      <c r="D23" s="169">
        <f>'Trésorerie AN 2'!D23</f>
        <v>0.21</v>
      </c>
      <c r="E23" s="222"/>
      <c r="F23" s="142" t="s">
        <v>173</v>
      </c>
      <c r="G23" s="360">
        <f>(1+$B23)*'Trésorerie AN 2'!G23</f>
        <v>0</v>
      </c>
      <c r="H23" s="360">
        <f>(1+$B23)*'Trésorerie AN 2'!H23</f>
        <v>0</v>
      </c>
      <c r="I23" s="360">
        <f>(1+$B23)*'Trésorerie AN 2'!I23</f>
        <v>0</v>
      </c>
      <c r="J23" s="360">
        <f>(1+$B23)*'Trésorerie AN 2'!J23</f>
        <v>0</v>
      </c>
      <c r="K23" s="360">
        <f>(1+$B23)*'Trésorerie AN 2'!K23</f>
        <v>0</v>
      </c>
      <c r="L23" s="360">
        <f>(1+$B23)*'Trésorerie AN 2'!L23</f>
        <v>0</v>
      </c>
      <c r="M23" s="360">
        <f>(1+$B23)*'Trésorerie AN 2'!M23</f>
        <v>0</v>
      </c>
      <c r="N23" s="360">
        <f>(1+$B23)*'Trésorerie AN 2'!N23</f>
        <v>0</v>
      </c>
      <c r="O23" s="360">
        <f>(1+$B23)*'Trésorerie AN 2'!O23</f>
        <v>0</v>
      </c>
      <c r="P23" s="360">
        <f>(1+$B23)*'Trésorerie AN 2'!P23</f>
        <v>0</v>
      </c>
      <c r="Q23" s="360">
        <f>(1+$B23)*'Trésorerie AN 2'!Q23</f>
        <v>0</v>
      </c>
      <c r="R23" s="360">
        <f>(1+$B23)*'Trésorerie AN 2'!R23</f>
        <v>0</v>
      </c>
      <c r="T23" s="1">
        <f t="shared" si="5"/>
        <v>0</v>
      </c>
      <c r="U23" s="14">
        <f t="shared" si="6"/>
        <v>0</v>
      </c>
    </row>
    <row r="24" spans="2:21">
      <c r="B24" s="259">
        <v>0</v>
      </c>
      <c r="C24" s="171"/>
      <c r="D24" s="169">
        <f>'Trésorerie AN 2'!D24</f>
        <v>0.21</v>
      </c>
      <c r="E24" s="222"/>
      <c r="F24" s="142" t="s">
        <v>174</v>
      </c>
      <c r="G24" s="360">
        <f>(1+$B24)*'Trésorerie AN 2'!G24</f>
        <v>0</v>
      </c>
      <c r="H24" s="360">
        <f>(1+$B24)*'Trésorerie AN 2'!H24</f>
        <v>0</v>
      </c>
      <c r="I24" s="360">
        <f>(1+$B24)*'Trésorerie AN 2'!I24</f>
        <v>0</v>
      </c>
      <c r="J24" s="360">
        <f>(1+$B24)*'Trésorerie AN 2'!J24</f>
        <v>0</v>
      </c>
      <c r="K24" s="360">
        <f>(1+$B24)*'Trésorerie AN 2'!K24</f>
        <v>0</v>
      </c>
      <c r="L24" s="360">
        <f>(1+$B24)*'Trésorerie AN 2'!L24</f>
        <v>0</v>
      </c>
      <c r="M24" s="360">
        <f>(1+$B24)*'Trésorerie AN 2'!M24</f>
        <v>0</v>
      </c>
      <c r="N24" s="360">
        <f>(1+$B24)*'Trésorerie AN 2'!N24</f>
        <v>0</v>
      </c>
      <c r="O24" s="360">
        <f>(1+$B24)*'Trésorerie AN 2'!O24</f>
        <v>0</v>
      </c>
      <c r="P24" s="360">
        <f>(1+$B24)*'Trésorerie AN 2'!P24</f>
        <v>0</v>
      </c>
      <c r="Q24" s="360">
        <f>(1+$B24)*'Trésorerie AN 2'!Q24</f>
        <v>0</v>
      </c>
      <c r="R24" s="360">
        <f>(1+$B24)*'Trésorerie AN 2'!R24</f>
        <v>0</v>
      </c>
      <c r="T24" s="1">
        <f t="shared" si="5"/>
        <v>0</v>
      </c>
      <c r="U24" s="14">
        <f t="shared" si="6"/>
        <v>0</v>
      </c>
    </row>
    <row r="25" spans="2:21">
      <c r="B25" s="259">
        <v>0</v>
      </c>
      <c r="C25" s="171"/>
      <c r="D25" s="169">
        <f>'Trésorerie AN 2'!D25</f>
        <v>0</v>
      </c>
      <c r="E25" s="222"/>
      <c r="F25" s="142" t="s">
        <v>175</v>
      </c>
      <c r="G25" s="360">
        <f>(1+$B25)*'Trésorerie AN 2'!G25</f>
        <v>0</v>
      </c>
      <c r="H25" s="360">
        <f>(1+$B25)*'Trésorerie AN 2'!H25</f>
        <v>0</v>
      </c>
      <c r="I25" s="360">
        <f>(1+$B25)*'Trésorerie AN 2'!I25</f>
        <v>0</v>
      </c>
      <c r="J25" s="360">
        <f>(1+$B25)*'Trésorerie AN 2'!J25</f>
        <v>0</v>
      </c>
      <c r="K25" s="360">
        <f>(1+$B25)*'Trésorerie AN 2'!K25</f>
        <v>0</v>
      </c>
      <c r="L25" s="360">
        <f>(1+$B25)*'Trésorerie AN 2'!L25</f>
        <v>0</v>
      </c>
      <c r="M25" s="360">
        <f>(1+$B25)*'Trésorerie AN 2'!M25</f>
        <v>0</v>
      </c>
      <c r="N25" s="360">
        <f>(1+$B25)*'Trésorerie AN 2'!N25</f>
        <v>0</v>
      </c>
      <c r="O25" s="360">
        <f>(1+$B25)*'Trésorerie AN 2'!O25</f>
        <v>0</v>
      </c>
      <c r="P25" s="360">
        <f>(1+$B25)*'Trésorerie AN 2'!P25</f>
        <v>0</v>
      </c>
      <c r="Q25" s="360">
        <f>(1+$B25)*'Trésorerie AN 2'!Q25</f>
        <v>0</v>
      </c>
      <c r="R25" s="360">
        <f>(1+$B25)*'Trésorerie AN 2'!R25</f>
        <v>0</v>
      </c>
      <c r="T25" s="1">
        <f t="shared" si="5"/>
        <v>0</v>
      </c>
      <c r="U25" s="14">
        <f t="shared" si="6"/>
        <v>0</v>
      </c>
    </row>
    <row r="26" spans="2:21">
      <c r="B26" s="169"/>
      <c r="C26" s="171"/>
      <c r="D26" s="169"/>
      <c r="E26" s="222"/>
      <c r="F26" s="142" t="s">
        <v>177</v>
      </c>
      <c r="G26" s="360">
        <f>(1+$B26)*'Trésorerie AN 2'!G26</f>
        <v>0</v>
      </c>
      <c r="H26" s="360">
        <f>(1+$B26)*'Trésorerie AN 2'!H26</f>
        <v>0</v>
      </c>
      <c r="I26" s="360">
        <f>(1+$B26)*'Trésorerie AN 2'!I26</f>
        <v>0</v>
      </c>
      <c r="J26" s="360">
        <f>(1+$B26)*'Trésorerie AN 2'!J26</f>
        <v>0</v>
      </c>
      <c r="K26" s="360">
        <f>(1+$B26)*'Trésorerie AN 2'!K26</f>
        <v>0</v>
      </c>
      <c r="L26" s="360">
        <f>(1+$B26)*'Trésorerie AN 2'!L26</f>
        <v>0</v>
      </c>
      <c r="M26" s="360">
        <f>(1+$B26)*'Trésorerie AN 2'!M26</f>
        <v>0</v>
      </c>
      <c r="N26" s="360">
        <f>(1+$B26)*'Trésorerie AN 2'!N26</f>
        <v>0</v>
      </c>
      <c r="O26" s="360">
        <f>(1+$B26)*'Trésorerie AN 2'!O26</f>
        <v>0</v>
      </c>
      <c r="P26" s="360">
        <f>(1+$B26)*'Trésorerie AN 2'!P26</f>
        <v>0</v>
      </c>
      <c r="Q26" s="360">
        <f>(1+$B26)*'Trésorerie AN 2'!Q26</f>
        <v>0</v>
      </c>
      <c r="R26" s="360">
        <f>(1+$B26)*'Trésorerie AN 2'!R26</f>
        <v>0</v>
      </c>
      <c r="T26" s="1">
        <f t="shared" si="5"/>
        <v>0</v>
      </c>
      <c r="U26" s="14">
        <f t="shared" si="6"/>
        <v>0</v>
      </c>
    </row>
    <row r="27" spans="2:21">
      <c r="B27" s="169"/>
      <c r="C27" s="171"/>
      <c r="D27" s="169"/>
      <c r="E27" s="222"/>
      <c r="F27" s="142" t="s">
        <v>182</v>
      </c>
      <c r="G27" s="141"/>
      <c r="H27" s="141"/>
      <c r="I27" s="141">
        <f>0.055*T29</f>
        <v>0</v>
      </c>
      <c r="J27" s="141"/>
      <c r="K27" s="141"/>
      <c r="L27" s="141">
        <f>0.055*T29</f>
        <v>0</v>
      </c>
      <c r="M27" s="141"/>
      <c r="N27" s="141"/>
      <c r="O27" s="141">
        <f>0.055*T29</f>
        <v>0</v>
      </c>
      <c r="P27" s="141"/>
      <c r="Q27" s="141"/>
      <c r="R27" s="141">
        <f>0.055*T29</f>
        <v>0</v>
      </c>
      <c r="T27" s="1">
        <f t="shared" si="5"/>
        <v>0</v>
      </c>
      <c r="U27" s="14">
        <f t="shared" si="6"/>
        <v>0</v>
      </c>
    </row>
    <row r="28" spans="2:21">
      <c r="B28" s="169"/>
      <c r="C28" s="171"/>
      <c r="D28" s="169"/>
      <c r="E28" s="222"/>
      <c r="F28" s="142" t="s">
        <v>185</v>
      </c>
      <c r="G28" s="360">
        <f>(1+$B28)*'Trésorerie AN 2'!G28</f>
        <v>0</v>
      </c>
      <c r="H28" s="360">
        <f>(1+$B28)*'Trésorerie AN 2'!H28</f>
        <v>0</v>
      </c>
      <c r="I28" s="360">
        <f>(1+$B28)*'Trésorerie AN 2'!I28</f>
        <v>0</v>
      </c>
      <c r="J28" s="360">
        <f>(1+$B28)*'Trésorerie AN 2'!J28</f>
        <v>0</v>
      </c>
      <c r="K28" s="360">
        <f>(1+$B28)*'Trésorerie AN 2'!K28</f>
        <v>0</v>
      </c>
      <c r="L28" s="360">
        <f>(1+$B28)*'Trésorerie AN 2'!L28</f>
        <v>0</v>
      </c>
      <c r="M28" s="360">
        <f>(1+$B28)*'Trésorerie AN 2'!M28</f>
        <v>0</v>
      </c>
      <c r="N28" s="360">
        <f>(1+$B28)*'Trésorerie AN 2'!N28</f>
        <v>0</v>
      </c>
      <c r="O28" s="360">
        <f>(1+$B28)*'Trésorerie AN 2'!O28</f>
        <v>0</v>
      </c>
      <c r="P28" s="360">
        <f>(1+$B28)*'Trésorerie AN 2'!P28</f>
        <v>0</v>
      </c>
      <c r="Q28" s="360">
        <f>(1+$B28)*'Trésorerie AN 2'!Q28</f>
        <v>0</v>
      </c>
      <c r="R28" s="360">
        <f>(1+$B28)*'Trésorerie AN 2'!R28</f>
        <v>0</v>
      </c>
      <c r="T28" s="1">
        <f t="shared" si="5"/>
        <v>0</v>
      </c>
      <c r="U28" s="14">
        <f t="shared" si="6"/>
        <v>0</v>
      </c>
    </row>
    <row r="29" spans="2:21">
      <c r="B29" s="169"/>
      <c r="C29" s="171"/>
      <c r="D29" s="169"/>
      <c r="E29" s="222"/>
      <c r="F29" s="142" t="s">
        <v>187</v>
      </c>
      <c r="G29" s="360">
        <f>(1+$B29)*'Trésorerie AN 2'!G29</f>
        <v>0</v>
      </c>
      <c r="H29" s="360">
        <f>(1+$B29)*'Trésorerie AN 2'!H29</f>
        <v>0</v>
      </c>
      <c r="I29" s="360">
        <f>(1+$B29)*'Trésorerie AN 2'!I29</f>
        <v>0</v>
      </c>
      <c r="J29" s="360">
        <f>(1+$B29)*'Trésorerie AN 2'!J29</f>
        <v>0</v>
      </c>
      <c r="K29" s="360">
        <f>(1+$B29)*'Trésorerie AN 2'!K29</f>
        <v>0</v>
      </c>
      <c r="L29" s="360">
        <f>(1+$B29)*'Trésorerie AN 2'!L29</f>
        <v>0</v>
      </c>
      <c r="M29" s="360">
        <f>(1+$B29)*'Trésorerie AN 2'!M29</f>
        <v>0</v>
      </c>
      <c r="N29" s="360">
        <f>(1+$B29)*'Trésorerie AN 2'!N29</f>
        <v>0</v>
      </c>
      <c r="O29" s="360">
        <f>(1+$B29)*'Trésorerie AN 2'!O29</f>
        <v>0</v>
      </c>
      <c r="P29" s="360">
        <f>(1+$B29)*'Trésorerie AN 2'!P29</f>
        <v>0</v>
      </c>
      <c r="Q29" s="360">
        <f>(1+$B29)*'Trésorerie AN 2'!Q29</f>
        <v>0</v>
      </c>
      <c r="R29" s="360">
        <f>(1+$B29)*'Trésorerie AN 2'!R29</f>
        <v>0</v>
      </c>
      <c r="T29" s="1">
        <f t="shared" si="5"/>
        <v>0</v>
      </c>
      <c r="U29" s="14">
        <f t="shared" si="6"/>
        <v>0</v>
      </c>
    </row>
    <row r="30" spans="2:21">
      <c r="B30" s="354">
        <v>0</v>
      </c>
      <c r="C30" s="171"/>
      <c r="D30" s="169">
        <f>'Trésorerie AN 2'!D30</f>
        <v>0.21</v>
      </c>
      <c r="E30" s="222"/>
      <c r="F30" s="142" t="s">
        <v>178</v>
      </c>
      <c r="G30" s="360">
        <f>(1+$B30)*'Trésorerie AN 2'!G30</f>
        <v>0</v>
      </c>
      <c r="H30" s="360">
        <f>(1+$B30)*'Trésorerie AN 2'!H30</f>
        <v>0</v>
      </c>
      <c r="I30" s="360">
        <f>(1+$B30)*'Trésorerie AN 2'!I30</f>
        <v>0</v>
      </c>
      <c r="J30" s="360">
        <f>(1+$B30)*'Trésorerie AN 2'!J30</f>
        <v>0</v>
      </c>
      <c r="K30" s="360">
        <f>(1+$B30)*'Trésorerie AN 2'!K30</f>
        <v>0</v>
      </c>
      <c r="L30" s="360">
        <f>(1+$B30)*'Trésorerie AN 2'!L30</f>
        <v>0</v>
      </c>
      <c r="M30" s="360">
        <f>(1+$B30)*'Trésorerie AN 2'!M30</f>
        <v>0</v>
      </c>
      <c r="N30" s="360">
        <f>(1+$B30)*'Trésorerie AN 2'!N30</f>
        <v>0</v>
      </c>
      <c r="O30" s="360">
        <f>(1+$B30)*'Trésorerie AN 2'!O30</f>
        <v>0</v>
      </c>
      <c r="P30" s="360">
        <f>(1+$B30)*'Trésorerie AN 2'!P30</f>
        <v>0</v>
      </c>
      <c r="Q30" s="360">
        <f>(1+$B30)*'Trésorerie AN 2'!Q30</f>
        <v>0</v>
      </c>
      <c r="R30" s="360">
        <f>(1+$B30)*'Trésorerie AN 2'!R30</f>
        <v>0</v>
      </c>
      <c r="T30" s="1">
        <f t="shared" si="5"/>
        <v>0</v>
      </c>
      <c r="U30" s="14">
        <f t="shared" si="6"/>
        <v>0</v>
      </c>
    </row>
    <row r="31" spans="2:21">
      <c r="B31" s="259">
        <v>0</v>
      </c>
      <c r="C31" s="171"/>
      <c r="D31" s="169">
        <f>'Trésorerie AN 2'!D31</f>
        <v>0</v>
      </c>
      <c r="E31" s="222"/>
      <c r="F31" s="142" t="s">
        <v>179</v>
      </c>
      <c r="G31" s="360">
        <f>(1+$B31)*'Trésorerie AN 2'!G31</f>
        <v>0</v>
      </c>
      <c r="H31" s="360">
        <f>(1+$B31)*'Trésorerie AN 2'!H31</f>
        <v>0</v>
      </c>
      <c r="I31" s="360">
        <f>(1+$B31)*'Trésorerie AN 2'!I31</f>
        <v>0</v>
      </c>
      <c r="J31" s="360">
        <f>(1+$B31)*'Trésorerie AN 2'!J31</f>
        <v>0</v>
      </c>
      <c r="K31" s="360">
        <f>(1+$B31)*'Trésorerie AN 2'!K31</f>
        <v>0</v>
      </c>
      <c r="L31" s="360">
        <f>(1+$B31)*'Trésorerie AN 2'!L31</f>
        <v>0</v>
      </c>
      <c r="M31" s="360">
        <f>(1+$B31)*'Trésorerie AN 2'!M31</f>
        <v>0</v>
      </c>
      <c r="N31" s="360">
        <f>(1+$B31)*'Trésorerie AN 2'!N31</f>
        <v>0</v>
      </c>
      <c r="O31" s="360">
        <f>(1+$B31)*'Trésorerie AN 2'!O31</f>
        <v>0</v>
      </c>
      <c r="P31" s="360">
        <f>(1+$B31)*'Trésorerie AN 2'!P31</f>
        <v>0</v>
      </c>
      <c r="Q31" s="360">
        <f>(1+$B31)*'Trésorerie AN 2'!Q31</f>
        <v>0</v>
      </c>
      <c r="R31" s="360">
        <f>(1+$B31)*'Trésorerie AN 2'!R31</f>
        <v>0</v>
      </c>
      <c r="T31" s="1">
        <f t="shared" si="5"/>
        <v>0</v>
      </c>
      <c r="U31" s="14">
        <f t="shared" si="6"/>
        <v>0</v>
      </c>
    </row>
    <row r="32" spans="2:21">
      <c r="B32" s="259">
        <v>0</v>
      </c>
      <c r="C32" s="171"/>
      <c r="D32" s="169">
        <f>'Trésorerie AN 2'!D32</f>
        <v>0</v>
      </c>
      <c r="E32" s="222"/>
      <c r="F32" s="142" t="s">
        <v>180</v>
      </c>
      <c r="G32" s="360">
        <f>(1+$B32)*'Trésorerie AN 2'!G32</f>
        <v>0</v>
      </c>
      <c r="H32" s="360">
        <f>(1+$B32)*'Trésorerie AN 2'!H32</f>
        <v>0</v>
      </c>
      <c r="I32" s="360">
        <f>(1+$B32)*'Trésorerie AN 2'!I32</f>
        <v>0</v>
      </c>
      <c r="J32" s="360">
        <f>(1+$B32)*'Trésorerie AN 2'!J32</f>
        <v>0</v>
      </c>
      <c r="K32" s="360">
        <f>(1+$B32)*'Trésorerie AN 2'!K32</f>
        <v>0</v>
      </c>
      <c r="L32" s="360">
        <f>(1+$B32)*'Trésorerie AN 2'!L32</f>
        <v>0</v>
      </c>
      <c r="M32" s="360">
        <f>(1+$B32)*'Trésorerie AN 2'!M32</f>
        <v>0</v>
      </c>
      <c r="N32" s="360">
        <f>(1+$B32)*'Trésorerie AN 2'!N32</f>
        <v>0</v>
      </c>
      <c r="O32" s="360">
        <f>(1+$B32)*'Trésorerie AN 2'!O32</f>
        <v>0</v>
      </c>
      <c r="P32" s="360">
        <f>(1+$B32)*'Trésorerie AN 2'!P32</f>
        <v>0</v>
      </c>
      <c r="Q32" s="360">
        <f>(1+$B32)*'Trésorerie AN 2'!Q32</f>
        <v>0</v>
      </c>
      <c r="R32" s="360">
        <f>(1+$B32)*'Trésorerie AN 2'!R32</f>
        <v>0</v>
      </c>
      <c r="T32" s="1">
        <f t="shared" si="5"/>
        <v>0</v>
      </c>
      <c r="U32" s="14">
        <f t="shared" si="6"/>
        <v>0</v>
      </c>
    </row>
    <row r="33" spans="2:21">
      <c r="B33" s="259">
        <v>0</v>
      </c>
      <c r="C33" s="171"/>
      <c r="D33" s="169">
        <f>'Trésorerie AN 2'!D33</f>
        <v>0</v>
      </c>
      <c r="E33" s="222"/>
      <c r="F33" s="390" t="s">
        <v>186</v>
      </c>
      <c r="G33" s="360">
        <f>(1+$B33)*'Trésorerie AN 2'!G33</f>
        <v>0</v>
      </c>
      <c r="H33" s="360">
        <f>(1+$B33)*'Trésorerie AN 2'!H33</f>
        <v>0</v>
      </c>
      <c r="I33" s="360">
        <f>(1+$B33)*'Trésorerie AN 2'!I33</f>
        <v>0</v>
      </c>
      <c r="J33" s="360">
        <f>(1+$B33)*'Trésorerie AN 2'!J33</f>
        <v>0</v>
      </c>
      <c r="K33" s="360">
        <f>(1+$B33)*'Trésorerie AN 2'!K33</f>
        <v>0</v>
      </c>
      <c r="L33" s="360">
        <f>(1+$B33)*'Trésorerie AN 2'!L33</f>
        <v>0</v>
      </c>
      <c r="M33" s="360">
        <f>(1+$B33)*'Trésorerie AN 2'!M33</f>
        <v>0</v>
      </c>
      <c r="N33" s="360">
        <f>(1+$B33)*'Trésorerie AN 2'!N33</f>
        <v>0</v>
      </c>
      <c r="O33" s="360">
        <f>(1+$B33)*'Trésorerie AN 2'!O33</f>
        <v>0</v>
      </c>
      <c r="P33" s="360">
        <f>(1+$B33)*'Trésorerie AN 2'!P33</f>
        <v>0</v>
      </c>
      <c r="Q33" s="360">
        <f>(1+$B33)*'Trésorerie AN 2'!Q33</f>
        <v>0</v>
      </c>
      <c r="R33" s="360">
        <f>(1+$B33)*'Trésorerie AN 2'!R33</f>
        <v>0</v>
      </c>
      <c r="T33" s="1">
        <f t="shared" si="5"/>
        <v>0</v>
      </c>
      <c r="U33" s="14">
        <f t="shared" si="6"/>
        <v>0</v>
      </c>
    </row>
    <row r="34" spans="2:21">
      <c r="B34" s="259">
        <v>0</v>
      </c>
      <c r="C34" s="171"/>
      <c r="D34" s="169">
        <f>'Trésorerie AN 2'!D34</f>
        <v>0</v>
      </c>
      <c r="E34" s="222"/>
      <c r="F34" s="390" t="s">
        <v>181</v>
      </c>
      <c r="G34" s="360">
        <f>(1+$B34)*'Trésorerie AN 2'!G34</f>
        <v>0</v>
      </c>
      <c r="H34" s="360">
        <f>(1+$B34)*'Trésorerie AN 2'!H34</f>
        <v>0</v>
      </c>
      <c r="I34" s="360">
        <f>(1+$B34)*'Trésorerie AN 2'!I34</f>
        <v>0</v>
      </c>
      <c r="J34" s="360">
        <f>(1+$B34)*'Trésorerie AN 2'!J34</f>
        <v>0</v>
      </c>
      <c r="K34" s="360">
        <f>(1+$B34)*'Trésorerie AN 2'!K34</f>
        <v>0</v>
      </c>
      <c r="L34" s="360">
        <f>(1+$B34)*'Trésorerie AN 2'!L34</f>
        <v>0</v>
      </c>
      <c r="M34" s="360">
        <f>(1+$B34)*'Trésorerie AN 2'!M34</f>
        <v>0</v>
      </c>
      <c r="N34" s="360">
        <f>(1+$B34)*'Trésorerie AN 2'!N34</f>
        <v>0</v>
      </c>
      <c r="O34" s="360">
        <f>(1+$B34)*'Trésorerie AN 2'!O34</f>
        <v>0</v>
      </c>
      <c r="P34" s="360">
        <f>(1+$B34)*'Trésorerie AN 2'!P34</f>
        <v>0</v>
      </c>
      <c r="Q34" s="360">
        <f>(1+$B34)*'Trésorerie AN 2'!Q34</f>
        <v>0</v>
      </c>
      <c r="R34" s="360">
        <f>(1+$B34)*'Trésorerie AN 2'!R34</f>
        <v>0</v>
      </c>
      <c r="T34" s="1">
        <f t="shared" si="5"/>
        <v>0</v>
      </c>
      <c r="U34" s="14">
        <f t="shared" si="6"/>
        <v>0</v>
      </c>
    </row>
    <row r="35" spans="2:21">
      <c r="B35" s="259">
        <v>0</v>
      </c>
      <c r="C35" s="171"/>
      <c r="D35" s="169">
        <f>'Trésorerie AN 2'!D35</f>
        <v>0</v>
      </c>
      <c r="E35" s="222"/>
      <c r="F35" s="390" t="s">
        <v>188</v>
      </c>
      <c r="G35" s="360">
        <f>(1+$B35)*'Trésorerie AN 2'!G35</f>
        <v>0</v>
      </c>
      <c r="H35" s="360">
        <f>(1+$B35)*'Trésorerie AN 2'!H35</f>
        <v>0</v>
      </c>
      <c r="I35" s="360">
        <f>(1+$B35)*'Trésorerie AN 2'!I35</f>
        <v>0</v>
      </c>
      <c r="J35" s="360">
        <f>(1+$B35)*'Trésorerie AN 2'!J35</f>
        <v>0</v>
      </c>
      <c r="K35" s="360">
        <f>(1+$B35)*'Trésorerie AN 2'!K35</f>
        <v>0</v>
      </c>
      <c r="L35" s="360">
        <f>(1+$B35)*'Trésorerie AN 2'!L35</f>
        <v>0</v>
      </c>
      <c r="M35" s="360">
        <f>(1+$B35)*'Trésorerie AN 2'!M35</f>
        <v>0</v>
      </c>
      <c r="N35" s="360">
        <f>(1+$B35)*'Trésorerie AN 2'!N35</f>
        <v>0</v>
      </c>
      <c r="O35" s="360">
        <f>(1+$B35)*'Trésorerie AN 2'!O35</f>
        <v>0</v>
      </c>
      <c r="P35" s="360">
        <f>(1+$B35)*'Trésorerie AN 2'!P35</f>
        <v>0</v>
      </c>
      <c r="Q35" s="360">
        <f>(1+$B35)*'Trésorerie AN 2'!Q35</f>
        <v>0</v>
      </c>
      <c r="R35" s="360">
        <f>(1+$B35)*'Trésorerie AN 2'!R35</f>
        <v>0</v>
      </c>
      <c r="T35" s="1">
        <f t="shared" si="5"/>
        <v>0</v>
      </c>
      <c r="U35" s="14">
        <f t="shared" si="6"/>
        <v>0</v>
      </c>
    </row>
    <row r="36" spans="2:21">
      <c r="B36" s="169"/>
      <c r="C36" s="171"/>
      <c r="D36" s="169"/>
      <c r="E36" s="222"/>
      <c r="F36" s="142" t="s">
        <v>169</v>
      </c>
      <c r="G36" s="376">
        <f>Personnel!D41</f>
        <v>0</v>
      </c>
      <c r="H36" s="376">
        <f>Personnel!E41</f>
        <v>0</v>
      </c>
      <c r="I36" s="376">
        <f>Personnel!F41</f>
        <v>0</v>
      </c>
      <c r="J36" s="376">
        <f>Personnel!G41</f>
        <v>0</v>
      </c>
      <c r="K36" s="376">
        <f>Personnel!H41</f>
        <v>0</v>
      </c>
      <c r="L36" s="376">
        <f>Personnel!I41</f>
        <v>0</v>
      </c>
      <c r="M36" s="376">
        <f>Personnel!J41</f>
        <v>0</v>
      </c>
      <c r="N36" s="376">
        <f>Personnel!K41</f>
        <v>0</v>
      </c>
      <c r="O36" s="376">
        <f>Personnel!L41</f>
        <v>0</v>
      </c>
      <c r="P36" s="376">
        <f>Personnel!M41</f>
        <v>0</v>
      </c>
      <c r="Q36" s="376">
        <f>Personnel!N41</f>
        <v>0</v>
      </c>
      <c r="R36" s="376">
        <f>Personnel!O41</f>
        <v>0</v>
      </c>
      <c r="T36" s="1">
        <f t="shared" si="5"/>
        <v>0</v>
      </c>
      <c r="U36" s="14">
        <f t="shared" si="6"/>
        <v>0</v>
      </c>
    </row>
    <row r="37" spans="2:21">
      <c r="B37" s="169"/>
      <c r="C37" s="171"/>
      <c r="D37" s="169"/>
      <c r="E37" s="222"/>
      <c r="F37" s="142" t="s">
        <v>47</v>
      </c>
      <c r="G37" s="57">
        <f>'Données emprunt'!$F$29</f>
        <v>0</v>
      </c>
      <c r="H37" s="57">
        <f>'Données emprunt'!$F$29</f>
        <v>0</v>
      </c>
      <c r="I37" s="57">
        <f>'Données emprunt'!$F$29</f>
        <v>0</v>
      </c>
      <c r="J37" s="57">
        <f>'Données emprunt'!$F$29</f>
        <v>0</v>
      </c>
      <c r="K37" s="57">
        <f>'Données emprunt'!$F$29</f>
        <v>0</v>
      </c>
      <c r="L37" s="57">
        <f>'Données emprunt'!$F$29</f>
        <v>0</v>
      </c>
      <c r="M37" s="57">
        <f>'Données emprunt'!$F$29</f>
        <v>0</v>
      </c>
      <c r="N37" s="57">
        <f>'Données emprunt'!$F$29</f>
        <v>0</v>
      </c>
      <c r="O37" s="57">
        <f>'Données emprunt'!$F$29</f>
        <v>0</v>
      </c>
      <c r="P37" s="57">
        <f>'Données emprunt'!$F$29</f>
        <v>0</v>
      </c>
      <c r="Q37" s="57">
        <f>'Données emprunt'!$F$29</f>
        <v>0</v>
      </c>
      <c r="R37" s="57">
        <f>'Données emprunt'!$F$29</f>
        <v>0</v>
      </c>
      <c r="T37" s="1">
        <f t="shared" si="5"/>
        <v>0</v>
      </c>
      <c r="U37" s="14">
        <f t="shared" si="6"/>
        <v>0</v>
      </c>
    </row>
    <row r="38" spans="2:21">
      <c r="B38" s="169"/>
      <c r="C38" s="171"/>
      <c r="D38" s="169"/>
      <c r="E38" s="222"/>
      <c r="F38" s="142" t="s">
        <v>4</v>
      </c>
      <c r="G38" s="5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T38" s="1">
        <f t="shared" si="5"/>
        <v>0</v>
      </c>
      <c r="U38" s="14">
        <f>Investissements!C30</f>
        <v>0</v>
      </c>
    </row>
    <row r="39" spans="2:21">
      <c r="B39" s="259">
        <v>0</v>
      </c>
      <c r="C39" s="171"/>
      <c r="D39" s="169"/>
      <c r="E39" s="222"/>
      <c r="F39" s="142" t="s">
        <v>99</v>
      </c>
      <c r="G39" s="2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T39" s="1">
        <f t="shared" si="5"/>
        <v>0</v>
      </c>
      <c r="U39" s="14">
        <f>T39/(1+D39)</f>
        <v>0</v>
      </c>
    </row>
    <row r="40" spans="2:21">
      <c r="B40" s="259">
        <v>0</v>
      </c>
      <c r="C40" s="171"/>
      <c r="D40" s="169"/>
      <c r="E40" s="222"/>
      <c r="F40" s="142" t="s">
        <v>100</v>
      </c>
      <c r="G40" s="5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T40" s="1">
        <f t="shared" si="5"/>
        <v>0</v>
      </c>
      <c r="U40" s="14">
        <f>T40/(1+D40)</f>
        <v>0</v>
      </c>
    </row>
    <row r="41" spans="2:21">
      <c r="B41" s="259">
        <v>0</v>
      </c>
      <c r="C41" s="171"/>
      <c r="D41" s="169"/>
      <c r="E41" s="222"/>
      <c r="F41" s="142" t="s">
        <v>101</v>
      </c>
      <c r="G41" s="5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T41" s="1">
        <f t="shared" si="5"/>
        <v>0</v>
      </c>
      <c r="U41" s="14">
        <f>T41/(1+D41)</f>
        <v>0</v>
      </c>
    </row>
    <row r="42" spans="2:21">
      <c r="B42" s="169"/>
      <c r="C42" s="223"/>
      <c r="D42" s="169"/>
      <c r="E42" s="222"/>
      <c r="F42" s="142" t="s">
        <v>22</v>
      </c>
      <c r="G42" s="57">
        <f>IF('Trésorerie AN 2'!R52&gt;0,'Trésorerie AN 2'!R52,0)</f>
        <v>0</v>
      </c>
      <c r="H42" s="1"/>
      <c r="I42" s="1"/>
      <c r="J42" s="1">
        <f>IF(I52&gt;0,I52,0)</f>
        <v>0</v>
      </c>
      <c r="K42" s="1"/>
      <c r="L42" s="1"/>
      <c r="M42" s="1">
        <f>IF(L52&gt;0,L52,0)</f>
        <v>0</v>
      </c>
      <c r="N42" s="1"/>
      <c r="O42" s="1"/>
      <c r="P42" s="1">
        <f>IF(O52&gt;0,O52,0)</f>
        <v>0</v>
      </c>
      <c r="Q42" s="1"/>
      <c r="R42" s="1"/>
      <c r="T42" s="1">
        <f t="shared" si="5"/>
        <v>0</v>
      </c>
      <c r="U42" s="14">
        <f>T42/(1+D42)</f>
        <v>0</v>
      </c>
    </row>
    <row r="43" spans="2:21" ht="13.5" thickBot="1">
      <c r="B43" s="170"/>
      <c r="C43" s="216"/>
      <c r="D43" s="310"/>
      <c r="E43" s="222"/>
      <c r="F43" s="142" t="s">
        <v>61</v>
      </c>
      <c r="G43" s="57"/>
      <c r="H43" s="1"/>
      <c r="I43" s="1">
        <f>Résultat!F40/4</f>
        <v>0</v>
      </c>
      <c r="J43" s="1"/>
      <c r="K43" s="1"/>
      <c r="L43" s="1">
        <f>Résultat!F40/4</f>
        <v>0</v>
      </c>
      <c r="M43" s="1"/>
      <c r="N43" s="1"/>
      <c r="O43" s="1">
        <f>Résultat!F40/4</f>
        <v>0</v>
      </c>
      <c r="P43" s="1"/>
      <c r="Q43" s="1"/>
      <c r="R43" s="1">
        <f>Résultat!F40/4</f>
        <v>0</v>
      </c>
      <c r="T43" s="1">
        <f t="shared" si="5"/>
        <v>0</v>
      </c>
      <c r="U43" s="14">
        <f>T43/(1+D43)</f>
        <v>0</v>
      </c>
    </row>
    <row r="44" spans="2:21" ht="13.5" thickBot="1">
      <c r="B44" s="9"/>
      <c r="C44" s="9"/>
      <c r="D44" s="9"/>
      <c r="E44" s="9"/>
      <c r="F44" s="217" t="s">
        <v>189</v>
      </c>
      <c r="G44" s="48">
        <f>G5+G7-G16</f>
        <v>0</v>
      </c>
      <c r="H44" s="135">
        <f t="shared" ref="H44:R44" si="7">H5+H7-H16</f>
        <v>0</v>
      </c>
      <c r="I44" s="135">
        <f t="shared" si="7"/>
        <v>0</v>
      </c>
      <c r="J44" s="135">
        <f t="shared" si="7"/>
        <v>0</v>
      </c>
      <c r="K44" s="135">
        <f t="shared" si="7"/>
        <v>0</v>
      </c>
      <c r="L44" s="135">
        <f t="shared" si="7"/>
        <v>0</v>
      </c>
      <c r="M44" s="135">
        <f t="shared" si="7"/>
        <v>0</v>
      </c>
      <c r="N44" s="135">
        <f t="shared" si="7"/>
        <v>0</v>
      </c>
      <c r="O44" s="135">
        <f t="shared" si="7"/>
        <v>0</v>
      </c>
      <c r="P44" s="135">
        <f t="shared" si="7"/>
        <v>0</v>
      </c>
      <c r="Q44" s="135">
        <f t="shared" si="7"/>
        <v>0</v>
      </c>
      <c r="R44" s="135">
        <f t="shared" si="7"/>
        <v>0</v>
      </c>
      <c r="T44" s="120">
        <f>T7-T16</f>
        <v>0</v>
      </c>
      <c r="U44" s="14"/>
    </row>
    <row r="45" spans="2:21">
      <c r="T45" s="8"/>
      <c r="U45" s="8"/>
    </row>
    <row r="46" spans="2:21" ht="19.5" hidden="1" customHeight="1">
      <c r="T46" s="8"/>
      <c r="U46" s="8"/>
    </row>
    <row r="47" spans="2:21" ht="19.5" hidden="1" customHeight="1">
      <c r="T47" s="8"/>
      <c r="U47" s="8"/>
    </row>
    <row r="48" spans="2:21" ht="19.5" hidden="1" customHeight="1">
      <c r="T48" s="8"/>
      <c r="U48" s="8"/>
    </row>
    <row r="49" spans="2:21" ht="19.5" hidden="1" customHeight="1">
      <c r="T49" s="8"/>
      <c r="U49" s="8"/>
    </row>
    <row r="50" spans="2:21" ht="19.5" hidden="1" customHeight="1">
      <c r="F50" s="133" t="s">
        <v>212</v>
      </c>
      <c r="T50" s="8"/>
      <c r="U50" s="8"/>
    </row>
    <row r="51" spans="2:21" ht="19.5" hidden="1" customHeight="1">
      <c r="T51" s="31" t="s">
        <v>33</v>
      </c>
      <c r="U51" s="8"/>
    </row>
    <row r="52" spans="2:21" ht="19.5" hidden="1" customHeight="1">
      <c r="F52" s="19" t="s">
        <v>195</v>
      </c>
      <c r="G52" s="20"/>
      <c r="H52" s="20"/>
      <c r="I52" s="19">
        <f>G53+H53+I53</f>
        <v>0</v>
      </c>
      <c r="J52" s="15"/>
      <c r="K52" s="20"/>
      <c r="L52" s="20">
        <f>J53+K53+L53</f>
        <v>0</v>
      </c>
      <c r="M52" s="15"/>
      <c r="N52" s="20"/>
      <c r="O52" s="20">
        <f>M53+N53+O53</f>
        <v>0</v>
      </c>
      <c r="P52" s="15"/>
      <c r="Q52" s="24"/>
      <c r="R52" s="24">
        <f>P53+Q53+R53</f>
        <v>0</v>
      </c>
    </row>
    <row r="53" spans="2:21" ht="19.5" hidden="1" customHeight="1">
      <c r="F53" s="14" t="s">
        <v>196</v>
      </c>
      <c r="G53" s="14">
        <f t="shared" ref="G53:R53" si="8">G54-G55</f>
        <v>0</v>
      </c>
      <c r="H53" s="14">
        <f t="shared" si="8"/>
        <v>0</v>
      </c>
      <c r="I53" s="14">
        <f t="shared" si="8"/>
        <v>0</v>
      </c>
      <c r="J53" s="14">
        <f t="shared" si="8"/>
        <v>0</v>
      </c>
      <c r="K53" s="14">
        <f t="shared" si="8"/>
        <v>0</v>
      </c>
      <c r="L53" s="14">
        <f t="shared" si="8"/>
        <v>0</v>
      </c>
      <c r="M53" s="14">
        <f t="shared" si="8"/>
        <v>0</v>
      </c>
      <c r="N53" s="14">
        <f t="shared" si="8"/>
        <v>0</v>
      </c>
      <c r="O53" s="14">
        <f t="shared" si="8"/>
        <v>0</v>
      </c>
      <c r="P53" s="14">
        <f t="shared" si="8"/>
        <v>0</v>
      </c>
      <c r="Q53" s="14">
        <f t="shared" si="8"/>
        <v>0</v>
      </c>
      <c r="R53" s="14">
        <f t="shared" si="8"/>
        <v>0</v>
      </c>
      <c r="T53" s="8"/>
      <c r="U53" s="8"/>
    </row>
    <row r="54" spans="2:21" ht="19.5" hidden="1" customHeight="1">
      <c r="F54" s="18" t="s">
        <v>194</v>
      </c>
      <c r="G54" s="18">
        <f>'Ventes '!K60-'Ventes '!K58</f>
        <v>0</v>
      </c>
      <c r="H54" s="18">
        <f>'Ventes '!L60-'Ventes '!L58</f>
        <v>0</v>
      </c>
      <c r="I54" s="18">
        <f>'Ventes '!M60-'Ventes '!M58</f>
        <v>0</v>
      </c>
      <c r="J54" s="18">
        <f>'Ventes '!N60-'Ventes '!N58</f>
        <v>0</v>
      </c>
      <c r="K54" s="18">
        <f>'Ventes '!O60-'Ventes '!O58</f>
        <v>0</v>
      </c>
      <c r="L54" s="18">
        <f>'Ventes '!P60-'Ventes '!P58</f>
        <v>0</v>
      </c>
      <c r="M54" s="18">
        <f>'Ventes '!Q60-'Ventes '!Q58</f>
        <v>0</v>
      </c>
      <c r="N54" s="18">
        <f>'Ventes '!R60-'Ventes '!R58</f>
        <v>0</v>
      </c>
      <c r="O54" s="18">
        <f>'Ventes '!S60-'Ventes '!S58</f>
        <v>0</v>
      </c>
      <c r="P54" s="18">
        <f>'Ventes '!T60-'Ventes '!T58</f>
        <v>0</v>
      </c>
      <c r="Q54" s="18">
        <f>'Ventes '!U60-'Ventes '!U58</f>
        <v>0</v>
      </c>
      <c r="R54" s="18">
        <f>'Ventes '!V60-'Ventes '!V58</f>
        <v>0</v>
      </c>
      <c r="T54" s="8">
        <f>SUM(G54:R54)</f>
        <v>0</v>
      </c>
      <c r="U54" s="8"/>
    </row>
    <row r="55" spans="2:21" ht="19.5" hidden="1" customHeight="1">
      <c r="F55" s="18" t="s">
        <v>23</v>
      </c>
      <c r="G55" s="18">
        <f t="shared" ref="G55:R55" si="9">SUM(G56:G80)</f>
        <v>0</v>
      </c>
      <c r="H55" s="18">
        <f t="shared" si="9"/>
        <v>0</v>
      </c>
      <c r="I55" s="18">
        <f t="shared" si="9"/>
        <v>0</v>
      </c>
      <c r="J55" s="18">
        <f t="shared" si="9"/>
        <v>0</v>
      </c>
      <c r="K55" s="18">
        <f t="shared" si="9"/>
        <v>0</v>
      </c>
      <c r="L55" s="18">
        <f t="shared" si="9"/>
        <v>0</v>
      </c>
      <c r="M55" s="18">
        <f t="shared" si="9"/>
        <v>0</v>
      </c>
      <c r="N55" s="18">
        <f t="shared" si="9"/>
        <v>0</v>
      </c>
      <c r="O55" s="18">
        <f t="shared" si="9"/>
        <v>0</v>
      </c>
      <c r="P55" s="18">
        <f t="shared" si="9"/>
        <v>0</v>
      </c>
      <c r="Q55" s="18">
        <f t="shared" si="9"/>
        <v>0</v>
      </c>
      <c r="R55" s="18">
        <f t="shared" si="9"/>
        <v>0</v>
      </c>
      <c r="T55" s="8">
        <f>SUM(G55:R55)</f>
        <v>0</v>
      </c>
      <c r="U55" s="8"/>
    </row>
    <row r="56" spans="2:21" ht="19.5" hidden="1" customHeight="1">
      <c r="F56" s="167" t="str">
        <f t="shared" ref="F56:F80" si="10">F17</f>
        <v>Marchandises</v>
      </c>
      <c r="G56" s="119">
        <f>'Ventes '!K61-'Ventes '!K59</f>
        <v>0</v>
      </c>
      <c r="H56" s="119">
        <f>'Ventes '!L61-'Ventes '!L59</f>
        <v>0</v>
      </c>
      <c r="I56" s="119">
        <f>'Ventes '!M61-'Ventes '!M59</f>
        <v>0</v>
      </c>
      <c r="J56" s="119">
        <f>'Ventes '!N61-'Ventes '!N59</f>
        <v>0</v>
      </c>
      <c r="K56" s="119">
        <f>'Ventes '!O61-'Ventes '!O59</f>
        <v>0</v>
      </c>
      <c r="L56" s="119">
        <f>'Ventes '!P61-'Ventes '!P59</f>
        <v>0</v>
      </c>
      <c r="M56" s="119">
        <f>'Ventes '!Q61-'Ventes '!Q59</f>
        <v>0</v>
      </c>
      <c r="N56" s="119">
        <f>'Ventes '!R61-'Ventes '!R59</f>
        <v>0</v>
      </c>
      <c r="O56" s="119">
        <f>'Ventes '!S61-'Ventes '!S59</f>
        <v>0</v>
      </c>
      <c r="P56" s="119">
        <f>'Ventes '!T61-'Ventes '!T59</f>
        <v>0</v>
      </c>
      <c r="Q56" s="119">
        <f>'Ventes '!U61-'Ventes '!U59</f>
        <v>0</v>
      </c>
      <c r="R56" s="119">
        <f>'Ventes '!V61-'Ventes '!V59</f>
        <v>0</v>
      </c>
      <c r="T56" s="8"/>
      <c r="U56" s="8"/>
    </row>
    <row r="57" spans="2:21" ht="19.5" hidden="1" customHeight="1">
      <c r="B57" s="113"/>
      <c r="C57" s="113"/>
      <c r="D57" s="113"/>
      <c r="E57" s="113"/>
      <c r="F57" s="130" t="str">
        <f t="shared" si="10"/>
        <v>Loyer (+Précompte Immobilier)</v>
      </c>
      <c r="G57" s="16">
        <f t="shared" ref="G57:R72" si="11">G18-(G18/(1+$D18))</f>
        <v>0</v>
      </c>
      <c r="H57" s="16">
        <f t="shared" si="11"/>
        <v>0</v>
      </c>
      <c r="I57" s="16">
        <f t="shared" si="11"/>
        <v>0</v>
      </c>
      <c r="J57" s="16">
        <f t="shared" si="11"/>
        <v>0</v>
      </c>
      <c r="K57" s="16">
        <f t="shared" si="11"/>
        <v>0</v>
      </c>
      <c r="L57" s="16">
        <f t="shared" si="11"/>
        <v>0</v>
      </c>
      <c r="M57" s="16">
        <f t="shared" si="11"/>
        <v>0</v>
      </c>
      <c r="N57" s="16">
        <f t="shared" si="11"/>
        <v>0</v>
      </c>
      <c r="O57" s="16">
        <f t="shared" si="11"/>
        <v>0</v>
      </c>
      <c r="P57" s="16">
        <f t="shared" si="11"/>
        <v>0</v>
      </c>
      <c r="Q57" s="16">
        <f t="shared" si="11"/>
        <v>0</v>
      </c>
      <c r="R57" s="16">
        <f t="shared" si="11"/>
        <v>0</v>
      </c>
      <c r="T57" s="8"/>
      <c r="U57" s="8"/>
    </row>
    <row r="58" spans="2:21" ht="19.5" hidden="1" customHeight="1">
      <c r="B58" s="113"/>
      <c r="C58" s="113"/>
      <c r="D58" s="113"/>
      <c r="E58" s="113"/>
      <c r="F58" s="130" t="str">
        <f t="shared" si="10"/>
        <v>Eau-gaz-électricité</v>
      </c>
      <c r="G58" s="16">
        <f t="shared" si="11"/>
        <v>0</v>
      </c>
      <c r="H58" s="16">
        <f t="shared" si="11"/>
        <v>0</v>
      </c>
      <c r="I58" s="16">
        <f t="shared" si="11"/>
        <v>0</v>
      </c>
      <c r="J58" s="16">
        <f t="shared" si="11"/>
        <v>0</v>
      </c>
      <c r="K58" s="16">
        <f t="shared" si="11"/>
        <v>0</v>
      </c>
      <c r="L58" s="16">
        <f t="shared" si="11"/>
        <v>0</v>
      </c>
      <c r="M58" s="16">
        <f t="shared" si="11"/>
        <v>0</v>
      </c>
      <c r="N58" s="16">
        <f t="shared" si="11"/>
        <v>0</v>
      </c>
      <c r="O58" s="16">
        <f t="shared" si="11"/>
        <v>0</v>
      </c>
      <c r="P58" s="16">
        <f t="shared" si="11"/>
        <v>0</v>
      </c>
      <c r="Q58" s="16">
        <f t="shared" si="11"/>
        <v>0</v>
      </c>
      <c r="R58" s="16">
        <f t="shared" si="11"/>
        <v>0</v>
      </c>
      <c r="T58" s="8">
        <f>SUM(G58:R58)</f>
        <v>0</v>
      </c>
      <c r="U58" s="8"/>
    </row>
    <row r="59" spans="2:21" ht="19.5" hidden="1" customHeight="1">
      <c r="B59" s="113"/>
      <c r="C59" s="113"/>
      <c r="D59" s="113"/>
      <c r="E59" s="113"/>
      <c r="F59" s="130" t="str">
        <f t="shared" si="10"/>
        <v>Assurances</v>
      </c>
      <c r="G59" s="16">
        <f t="shared" si="11"/>
        <v>0</v>
      </c>
      <c r="H59" s="16">
        <f t="shared" si="11"/>
        <v>0</v>
      </c>
      <c r="I59" s="16">
        <f t="shared" si="11"/>
        <v>0</v>
      </c>
      <c r="J59" s="16">
        <f t="shared" si="11"/>
        <v>0</v>
      </c>
      <c r="K59" s="16">
        <f t="shared" si="11"/>
        <v>0</v>
      </c>
      <c r="L59" s="16">
        <f t="shared" si="11"/>
        <v>0</v>
      </c>
      <c r="M59" s="16">
        <f t="shared" si="11"/>
        <v>0</v>
      </c>
      <c r="N59" s="16">
        <f t="shared" si="11"/>
        <v>0</v>
      </c>
      <c r="O59" s="16">
        <f t="shared" si="11"/>
        <v>0</v>
      </c>
      <c r="P59" s="16">
        <f t="shared" si="11"/>
        <v>0</v>
      </c>
      <c r="Q59" s="16">
        <f t="shared" si="11"/>
        <v>0</v>
      </c>
      <c r="R59" s="16">
        <f t="shared" si="11"/>
        <v>0</v>
      </c>
      <c r="T59" s="8"/>
      <c r="U59" s="8"/>
    </row>
    <row r="60" spans="2:21" ht="19.5" hidden="1" customHeight="1">
      <c r="B60" s="113"/>
      <c r="C60" s="113"/>
      <c r="D60" s="113"/>
      <c r="E60" s="113"/>
      <c r="F60" s="130" t="str">
        <f t="shared" si="10"/>
        <v>frais de bureau et petit matériel</v>
      </c>
      <c r="G60" s="16">
        <f t="shared" si="11"/>
        <v>0</v>
      </c>
      <c r="H60" s="16">
        <f t="shared" si="11"/>
        <v>0</v>
      </c>
      <c r="I60" s="16">
        <f t="shared" si="11"/>
        <v>0</v>
      </c>
      <c r="J60" s="16">
        <f t="shared" si="11"/>
        <v>0</v>
      </c>
      <c r="K60" s="16">
        <f t="shared" si="11"/>
        <v>0</v>
      </c>
      <c r="L60" s="16">
        <f t="shared" si="11"/>
        <v>0</v>
      </c>
      <c r="M60" s="16">
        <f t="shared" si="11"/>
        <v>0</v>
      </c>
      <c r="N60" s="16">
        <f t="shared" si="11"/>
        <v>0</v>
      </c>
      <c r="O60" s="16">
        <f t="shared" si="11"/>
        <v>0</v>
      </c>
      <c r="P60" s="16">
        <f t="shared" si="11"/>
        <v>0</v>
      </c>
      <c r="Q60" s="16">
        <f t="shared" si="11"/>
        <v>0</v>
      </c>
      <c r="R60" s="16">
        <f t="shared" si="11"/>
        <v>0</v>
      </c>
      <c r="T60" s="8"/>
      <c r="U60" s="8"/>
    </row>
    <row r="61" spans="2:21" ht="19.5" hidden="1" customHeight="1">
      <c r="B61" s="113"/>
      <c r="C61" s="113"/>
      <c r="D61" s="113"/>
      <c r="E61" s="113"/>
      <c r="F61" s="130" t="str">
        <f t="shared" si="10"/>
        <v>Téléphone et internet</v>
      </c>
      <c r="G61" s="16">
        <f t="shared" si="11"/>
        <v>0</v>
      </c>
      <c r="H61" s="16">
        <f t="shared" si="11"/>
        <v>0</v>
      </c>
      <c r="I61" s="16">
        <f t="shared" si="11"/>
        <v>0</v>
      </c>
      <c r="J61" s="16">
        <f t="shared" si="11"/>
        <v>0</v>
      </c>
      <c r="K61" s="16">
        <f t="shared" si="11"/>
        <v>0</v>
      </c>
      <c r="L61" s="16">
        <f t="shared" si="11"/>
        <v>0</v>
      </c>
      <c r="M61" s="16">
        <f t="shared" si="11"/>
        <v>0</v>
      </c>
      <c r="N61" s="16">
        <f t="shared" si="11"/>
        <v>0</v>
      </c>
      <c r="O61" s="16">
        <f t="shared" si="11"/>
        <v>0</v>
      </c>
      <c r="P61" s="16">
        <f t="shared" si="11"/>
        <v>0</v>
      </c>
      <c r="Q61" s="16">
        <f t="shared" si="11"/>
        <v>0</v>
      </c>
      <c r="R61" s="16">
        <f t="shared" si="11"/>
        <v>0</v>
      </c>
      <c r="T61" s="8"/>
      <c r="U61" s="8"/>
    </row>
    <row r="62" spans="2:21" ht="19.5" hidden="1" customHeight="1">
      <c r="B62" s="113"/>
      <c r="C62" s="113"/>
      <c r="D62" s="113"/>
      <c r="E62" s="113"/>
      <c r="F62" s="130" t="str">
        <f t="shared" si="10"/>
        <v>Communication - publicité</v>
      </c>
      <c r="G62" s="16">
        <f t="shared" si="11"/>
        <v>0</v>
      </c>
      <c r="H62" s="16">
        <f t="shared" si="11"/>
        <v>0</v>
      </c>
      <c r="I62" s="16">
        <f t="shared" si="11"/>
        <v>0</v>
      </c>
      <c r="J62" s="16">
        <f t="shared" si="11"/>
        <v>0</v>
      </c>
      <c r="K62" s="16">
        <f t="shared" si="11"/>
        <v>0</v>
      </c>
      <c r="L62" s="16">
        <f t="shared" si="11"/>
        <v>0</v>
      </c>
      <c r="M62" s="16">
        <f t="shared" si="11"/>
        <v>0</v>
      </c>
      <c r="N62" s="16">
        <f t="shared" si="11"/>
        <v>0</v>
      </c>
      <c r="O62" s="16">
        <f t="shared" si="11"/>
        <v>0</v>
      </c>
      <c r="P62" s="16">
        <f t="shared" si="11"/>
        <v>0</v>
      </c>
      <c r="Q62" s="16">
        <f t="shared" si="11"/>
        <v>0</v>
      </c>
      <c r="R62" s="16">
        <f t="shared" si="11"/>
        <v>0</v>
      </c>
      <c r="T62" s="8"/>
      <c r="U62" s="8"/>
    </row>
    <row r="63" spans="2:21" ht="19.5" hidden="1" customHeight="1">
      <c r="B63" s="113"/>
      <c r="C63" s="113"/>
      <c r="D63" s="113"/>
      <c r="E63" s="113"/>
      <c r="F63" s="130" t="str">
        <f t="shared" si="10"/>
        <v>frais représentation</v>
      </c>
      <c r="G63" s="16">
        <f t="shared" si="11"/>
        <v>0</v>
      </c>
      <c r="H63" s="16">
        <f t="shared" si="11"/>
        <v>0</v>
      </c>
      <c r="I63" s="16">
        <f t="shared" si="11"/>
        <v>0</v>
      </c>
      <c r="J63" s="16">
        <f t="shared" si="11"/>
        <v>0</v>
      </c>
      <c r="K63" s="16">
        <f t="shared" si="11"/>
        <v>0</v>
      </c>
      <c r="L63" s="16">
        <f t="shared" si="11"/>
        <v>0</v>
      </c>
      <c r="M63" s="16">
        <f t="shared" si="11"/>
        <v>0</v>
      </c>
      <c r="N63" s="16">
        <f t="shared" si="11"/>
        <v>0</v>
      </c>
      <c r="O63" s="16">
        <f t="shared" si="11"/>
        <v>0</v>
      </c>
      <c r="P63" s="16">
        <f t="shared" si="11"/>
        <v>0</v>
      </c>
      <c r="Q63" s="16">
        <f t="shared" si="11"/>
        <v>0</v>
      </c>
      <c r="R63" s="16">
        <f t="shared" si="11"/>
        <v>0</v>
      </c>
      <c r="T63" s="8"/>
      <c r="U63" s="8"/>
    </row>
    <row r="64" spans="2:21" ht="19.5" hidden="1" customHeight="1">
      <c r="B64" s="113"/>
      <c r="C64" s="113"/>
      <c r="D64" s="113"/>
      <c r="E64" s="113"/>
      <c r="F64" s="130" t="str">
        <f t="shared" si="10"/>
        <v>Frais de déplacement (abonements, véhicules, entretiens)</v>
      </c>
      <c r="G64" s="16">
        <f t="shared" si="11"/>
        <v>0</v>
      </c>
      <c r="H64" s="16">
        <f t="shared" si="11"/>
        <v>0</v>
      </c>
      <c r="I64" s="16">
        <f t="shared" si="11"/>
        <v>0</v>
      </c>
      <c r="J64" s="16">
        <f t="shared" si="11"/>
        <v>0</v>
      </c>
      <c r="K64" s="16">
        <f t="shared" si="11"/>
        <v>0</v>
      </c>
      <c r="L64" s="16">
        <f t="shared" si="11"/>
        <v>0</v>
      </c>
      <c r="M64" s="16">
        <f t="shared" si="11"/>
        <v>0</v>
      </c>
      <c r="N64" s="16">
        <f t="shared" si="11"/>
        <v>0</v>
      </c>
      <c r="O64" s="16">
        <f t="shared" si="11"/>
        <v>0</v>
      </c>
      <c r="P64" s="16">
        <f t="shared" si="11"/>
        <v>0</v>
      </c>
      <c r="Q64" s="16">
        <f t="shared" si="11"/>
        <v>0</v>
      </c>
      <c r="R64" s="16">
        <f t="shared" si="11"/>
        <v>0</v>
      </c>
      <c r="T64" s="8"/>
      <c r="U64" s="8"/>
    </row>
    <row r="65" spans="2:21" ht="19.5" hidden="1" customHeight="1">
      <c r="B65" s="113"/>
      <c r="C65" s="113"/>
      <c r="D65" s="113"/>
      <c r="E65" s="113"/>
      <c r="F65" s="130" t="str">
        <f t="shared" si="10"/>
        <v>Taxe Véhicule</v>
      </c>
      <c r="G65" s="16">
        <f t="shared" si="11"/>
        <v>0</v>
      </c>
      <c r="H65" s="16">
        <f t="shared" si="11"/>
        <v>0</v>
      </c>
      <c r="I65" s="16">
        <f t="shared" si="11"/>
        <v>0</v>
      </c>
      <c r="J65" s="16">
        <f t="shared" si="11"/>
        <v>0</v>
      </c>
      <c r="K65" s="16">
        <f t="shared" si="11"/>
        <v>0</v>
      </c>
      <c r="L65" s="16">
        <f t="shared" si="11"/>
        <v>0</v>
      </c>
      <c r="M65" s="16">
        <f t="shared" si="11"/>
        <v>0</v>
      </c>
      <c r="N65" s="16">
        <f t="shared" si="11"/>
        <v>0</v>
      </c>
      <c r="O65" s="16">
        <f t="shared" si="11"/>
        <v>0</v>
      </c>
      <c r="P65" s="16">
        <f t="shared" si="11"/>
        <v>0</v>
      </c>
      <c r="Q65" s="16">
        <f t="shared" si="11"/>
        <v>0</v>
      </c>
      <c r="R65" s="16">
        <f t="shared" si="11"/>
        <v>0</v>
      </c>
      <c r="T65" s="8"/>
      <c r="U65" s="8"/>
    </row>
    <row r="66" spans="2:21" ht="19.5" hidden="1" customHeight="1">
      <c r="B66" s="113"/>
      <c r="C66" s="113"/>
      <c r="D66" s="113"/>
      <c r="E66" s="113"/>
      <c r="F66" s="130" t="str">
        <f t="shared" si="10"/>
        <v>Cotisations sociales</v>
      </c>
      <c r="G66" s="16">
        <f t="shared" si="11"/>
        <v>0</v>
      </c>
      <c r="H66" s="16">
        <f t="shared" si="11"/>
        <v>0</v>
      </c>
      <c r="I66" s="16">
        <f t="shared" si="11"/>
        <v>0</v>
      </c>
      <c r="J66" s="16">
        <f t="shared" si="11"/>
        <v>0</v>
      </c>
      <c r="K66" s="16">
        <f t="shared" si="11"/>
        <v>0</v>
      </c>
      <c r="L66" s="16">
        <f t="shared" si="11"/>
        <v>0</v>
      </c>
      <c r="M66" s="16">
        <f t="shared" si="11"/>
        <v>0</v>
      </c>
      <c r="N66" s="16">
        <f t="shared" si="11"/>
        <v>0</v>
      </c>
      <c r="O66" s="16">
        <f t="shared" si="11"/>
        <v>0</v>
      </c>
      <c r="P66" s="16">
        <f t="shared" si="11"/>
        <v>0</v>
      </c>
      <c r="Q66" s="16">
        <f t="shared" si="11"/>
        <v>0</v>
      </c>
      <c r="R66" s="16">
        <f t="shared" si="11"/>
        <v>0</v>
      </c>
      <c r="T66" s="8"/>
      <c r="U66" s="8"/>
    </row>
    <row r="67" spans="2:21" ht="19.5" hidden="1" customHeight="1">
      <c r="B67" s="113"/>
      <c r="C67" s="113"/>
      <c r="D67" s="113"/>
      <c r="E67" s="113"/>
      <c r="F67" s="130" t="str">
        <f t="shared" si="10"/>
        <v>Cotisation Inasti société</v>
      </c>
      <c r="G67" s="16">
        <f t="shared" si="11"/>
        <v>0</v>
      </c>
      <c r="H67" s="16">
        <f t="shared" si="11"/>
        <v>0</v>
      </c>
      <c r="I67" s="16">
        <f t="shared" si="11"/>
        <v>0</v>
      </c>
      <c r="J67" s="16">
        <f t="shared" si="11"/>
        <v>0</v>
      </c>
      <c r="K67" s="16">
        <f t="shared" si="11"/>
        <v>0</v>
      </c>
      <c r="L67" s="16">
        <f t="shared" si="11"/>
        <v>0</v>
      </c>
      <c r="M67" s="16">
        <f t="shared" si="11"/>
        <v>0</v>
      </c>
      <c r="N67" s="16">
        <f t="shared" si="11"/>
        <v>0</v>
      </c>
      <c r="O67" s="16">
        <f t="shared" si="11"/>
        <v>0</v>
      </c>
      <c r="P67" s="16">
        <f t="shared" si="11"/>
        <v>0</v>
      </c>
      <c r="Q67" s="16">
        <f t="shared" si="11"/>
        <v>0</v>
      </c>
      <c r="R67" s="16">
        <f t="shared" si="11"/>
        <v>0</v>
      </c>
      <c r="T67" s="8"/>
      <c r="U67" s="8"/>
    </row>
    <row r="68" spans="2:21" ht="19.5" hidden="1" customHeight="1">
      <c r="B68" s="113"/>
      <c r="C68" s="113"/>
      <c r="D68" s="113"/>
      <c r="E68" s="113"/>
      <c r="F68" s="130" t="str">
        <f t="shared" si="10"/>
        <v>Rémunération - Administrateur(s) / Gérant(s)</v>
      </c>
      <c r="G68" s="16">
        <f t="shared" si="11"/>
        <v>0</v>
      </c>
      <c r="H68" s="16">
        <f t="shared" si="11"/>
        <v>0</v>
      </c>
      <c r="I68" s="16">
        <f t="shared" si="11"/>
        <v>0</v>
      </c>
      <c r="J68" s="16">
        <f t="shared" si="11"/>
        <v>0</v>
      </c>
      <c r="K68" s="16">
        <f t="shared" si="11"/>
        <v>0</v>
      </c>
      <c r="L68" s="16">
        <f t="shared" si="11"/>
        <v>0</v>
      </c>
      <c r="M68" s="16">
        <f t="shared" si="11"/>
        <v>0</v>
      </c>
      <c r="N68" s="16">
        <f t="shared" si="11"/>
        <v>0</v>
      </c>
      <c r="O68" s="16">
        <f t="shared" si="11"/>
        <v>0</v>
      </c>
      <c r="P68" s="16">
        <f t="shared" si="11"/>
        <v>0</v>
      </c>
      <c r="Q68" s="16">
        <f t="shared" si="11"/>
        <v>0</v>
      </c>
      <c r="R68" s="16">
        <f t="shared" si="11"/>
        <v>0</v>
      </c>
      <c r="T68" s="8"/>
      <c r="U68" s="8"/>
    </row>
    <row r="69" spans="2:21" ht="19.5" hidden="1" customHeight="1">
      <c r="B69" s="113"/>
      <c r="C69" s="113"/>
      <c r="D69" s="113"/>
      <c r="E69" s="113"/>
      <c r="F69" s="130" t="str">
        <f t="shared" si="10"/>
        <v>Honoraires comptable</v>
      </c>
      <c r="G69" s="16">
        <f t="shared" si="11"/>
        <v>0</v>
      </c>
      <c r="H69" s="16">
        <f t="shared" si="11"/>
        <v>0</v>
      </c>
      <c r="I69" s="16">
        <f t="shared" si="11"/>
        <v>0</v>
      </c>
      <c r="J69" s="16">
        <f t="shared" si="11"/>
        <v>0</v>
      </c>
      <c r="K69" s="16">
        <f t="shared" si="11"/>
        <v>0</v>
      </c>
      <c r="L69" s="16">
        <f t="shared" si="11"/>
        <v>0</v>
      </c>
      <c r="M69" s="16">
        <f t="shared" si="11"/>
        <v>0</v>
      </c>
      <c r="N69" s="16">
        <f t="shared" si="11"/>
        <v>0</v>
      </c>
      <c r="O69" s="16">
        <f t="shared" si="11"/>
        <v>0</v>
      </c>
      <c r="P69" s="16">
        <f t="shared" si="11"/>
        <v>0</v>
      </c>
      <c r="Q69" s="16">
        <f t="shared" si="11"/>
        <v>0</v>
      </c>
      <c r="R69" s="16">
        <f t="shared" si="11"/>
        <v>0</v>
      </c>
      <c r="T69" s="8"/>
      <c r="U69" s="8"/>
    </row>
    <row r="70" spans="2:21" ht="19.5" hidden="1" customHeight="1">
      <c r="B70" s="113"/>
      <c r="C70" s="113"/>
      <c r="D70" s="113"/>
      <c r="E70" s="113"/>
      <c r="F70" s="130" t="str">
        <f t="shared" si="10"/>
        <v>Honoraires autres experts</v>
      </c>
      <c r="G70" s="16">
        <f t="shared" si="11"/>
        <v>0</v>
      </c>
      <c r="H70" s="16">
        <f t="shared" si="11"/>
        <v>0</v>
      </c>
      <c r="I70" s="16">
        <f t="shared" si="11"/>
        <v>0</v>
      </c>
      <c r="J70" s="16">
        <f t="shared" si="11"/>
        <v>0</v>
      </c>
      <c r="K70" s="16">
        <f t="shared" si="11"/>
        <v>0</v>
      </c>
      <c r="L70" s="16">
        <f t="shared" si="11"/>
        <v>0</v>
      </c>
      <c r="M70" s="16">
        <f t="shared" si="11"/>
        <v>0</v>
      </c>
      <c r="N70" s="16">
        <f t="shared" si="11"/>
        <v>0</v>
      </c>
      <c r="O70" s="16">
        <f t="shared" si="11"/>
        <v>0</v>
      </c>
      <c r="P70" s="16">
        <f t="shared" si="11"/>
        <v>0</v>
      </c>
      <c r="Q70" s="16">
        <f t="shared" si="11"/>
        <v>0</v>
      </c>
      <c r="R70" s="16">
        <f t="shared" si="11"/>
        <v>0</v>
      </c>
      <c r="T70" s="8"/>
      <c r="U70" s="8"/>
    </row>
    <row r="71" spans="2:21" ht="19.5" hidden="1" customHeight="1">
      <c r="B71" s="113"/>
      <c r="C71" s="113"/>
      <c r="D71" s="113"/>
      <c r="E71" s="113"/>
      <c r="F71" s="130" t="str">
        <f t="shared" si="10"/>
        <v>Imprévus</v>
      </c>
      <c r="G71" s="16">
        <f t="shared" si="11"/>
        <v>0</v>
      </c>
      <c r="H71" s="16">
        <f t="shared" si="11"/>
        <v>0</v>
      </c>
      <c r="I71" s="16">
        <f t="shared" si="11"/>
        <v>0</v>
      </c>
      <c r="J71" s="16">
        <f t="shared" si="11"/>
        <v>0</v>
      </c>
      <c r="K71" s="16">
        <f t="shared" si="11"/>
        <v>0</v>
      </c>
      <c r="L71" s="16">
        <f t="shared" si="11"/>
        <v>0</v>
      </c>
      <c r="M71" s="16">
        <f t="shared" si="11"/>
        <v>0</v>
      </c>
      <c r="N71" s="16">
        <f t="shared" si="11"/>
        <v>0</v>
      </c>
      <c r="O71" s="16">
        <f t="shared" si="11"/>
        <v>0</v>
      </c>
      <c r="P71" s="16">
        <f t="shared" si="11"/>
        <v>0</v>
      </c>
      <c r="Q71" s="16">
        <f t="shared" si="11"/>
        <v>0</v>
      </c>
      <c r="R71" s="16">
        <f t="shared" si="11"/>
        <v>0</v>
      </c>
      <c r="T71" s="8"/>
      <c r="U71" s="8"/>
    </row>
    <row r="72" spans="2:21" ht="19.5" hidden="1" customHeight="1">
      <c r="B72" s="113"/>
      <c r="C72" s="113"/>
      <c r="D72" s="113"/>
      <c r="E72" s="113"/>
      <c r="F72" s="130" t="str">
        <f t="shared" si="10"/>
        <v>Divers  (terminal…)</v>
      </c>
      <c r="G72" s="16">
        <f t="shared" si="11"/>
        <v>0</v>
      </c>
      <c r="H72" s="16">
        <f t="shared" si="11"/>
        <v>0</v>
      </c>
      <c r="I72" s="16">
        <f t="shared" si="11"/>
        <v>0</v>
      </c>
      <c r="J72" s="16">
        <f t="shared" si="11"/>
        <v>0</v>
      </c>
      <c r="K72" s="16">
        <f t="shared" si="11"/>
        <v>0</v>
      </c>
      <c r="L72" s="16">
        <f t="shared" si="11"/>
        <v>0</v>
      </c>
      <c r="M72" s="16">
        <f t="shared" si="11"/>
        <v>0</v>
      </c>
      <c r="N72" s="16">
        <f t="shared" si="11"/>
        <v>0</v>
      </c>
      <c r="O72" s="16">
        <f t="shared" si="11"/>
        <v>0</v>
      </c>
      <c r="P72" s="16">
        <f t="shared" si="11"/>
        <v>0</v>
      </c>
      <c r="Q72" s="16">
        <f t="shared" si="11"/>
        <v>0</v>
      </c>
      <c r="R72" s="16">
        <f t="shared" si="11"/>
        <v>0</v>
      </c>
      <c r="T72" s="8"/>
      <c r="U72" s="8"/>
    </row>
    <row r="73" spans="2:21" ht="19.5" hidden="1" customHeight="1">
      <c r="B73" s="113"/>
      <c r="C73" s="113"/>
      <c r="D73" s="113"/>
      <c r="E73" s="113"/>
      <c r="F73" s="130" t="str">
        <f t="shared" si="10"/>
        <v>Divers 2</v>
      </c>
      <c r="G73" s="16">
        <f t="shared" ref="G73:R76" si="12">G34-(G34/(1+$D34))</f>
        <v>0</v>
      </c>
      <c r="H73" s="16">
        <f t="shared" si="12"/>
        <v>0</v>
      </c>
      <c r="I73" s="16">
        <f t="shared" si="12"/>
        <v>0</v>
      </c>
      <c r="J73" s="16">
        <f t="shared" si="12"/>
        <v>0</v>
      </c>
      <c r="K73" s="16">
        <f t="shared" si="12"/>
        <v>0</v>
      </c>
      <c r="L73" s="16">
        <f t="shared" si="12"/>
        <v>0</v>
      </c>
      <c r="M73" s="16">
        <f t="shared" si="12"/>
        <v>0</v>
      </c>
      <c r="N73" s="16">
        <f t="shared" si="12"/>
        <v>0</v>
      </c>
      <c r="O73" s="16">
        <f t="shared" si="12"/>
        <v>0</v>
      </c>
      <c r="P73" s="16">
        <f t="shared" si="12"/>
        <v>0</v>
      </c>
      <c r="Q73" s="16">
        <f t="shared" si="12"/>
        <v>0</v>
      </c>
      <c r="R73" s="16">
        <f t="shared" si="12"/>
        <v>0</v>
      </c>
      <c r="T73" s="8"/>
      <c r="U73" s="8"/>
    </row>
    <row r="74" spans="2:21" ht="19.5" hidden="1" customHeight="1">
      <c r="B74" s="113"/>
      <c r="C74" s="113"/>
      <c r="D74" s="113"/>
      <c r="E74" s="113"/>
      <c r="F74" s="130" t="str">
        <f t="shared" si="10"/>
        <v>Divers 3</v>
      </c>
      <c r="G74" s="16">
        <f t="shared" si="12"/>
        <v>0</v>
      </c>
      <c r="H74" s="16">
        <f t="shared" si="12"/>
        <v>0</v>
      </c>
      <c r="I74" s="16">
        <f t="shared" si="12"/>
        <v>0</v>
      </c>
      <c r="J74" s="16">
        <f t="shared" si="12"/>
        <v>0</v>
      </c>
      <c r="K74" s="16">
        <f t="shared" si="12"/>
        <v>0</v>
      </c>
      <c r="L74" s="16">
        <f t="shared" si="12"/>
        <v>0</v>
      </c>
      <c r="M74" s="16">
        <f t="shared" si="12"/>
        <v>0</v>
      </c>
      <c r="N74" s="16">
        <f t="shared" si="12"/>
        <v>0</v>
      </c>
      <c r="O74" s="16">
        <f t="shared" si="12"/>
        <v>0</v>
      </c>
      <c r="P74" s="16">
        <f t="shared" si="12"/>
        <v>0</v>
      </c>
      <c r="Q74" s="16">
        <f t="shared" si="12"/>
        <v>0</v>
      </c>
      <c r="R74" s="16">
        <f t="shared" si="12"/>
        <v>0</v>
      </c>
      <c r="T74" s="8"/>
      <c r="U74" s="8"/>
    </row>
    <row r="75" spans="2:21" ht="19.5" hidden="1" customHeight="1">
      <c r="B75" s="113"/>
      <c r="C75" s="113"/>
      <c r="D75" s="113"/>
      <c r="E75" s="113"/>
      <c r="F75" s="130" t="str">
        <f t="shared" si="10"/>
        <v>Frais de Personnel</v>
      </c>
      <c r="G75" s="16">
        <f t="shared" si="12"/>
        <v>0</v>
      </c>
      <c r="H75" s="16">
        <f t="shared" si="12"/>
        <v>0</v>
      </c>
      <c r="I75" s="16">
        <f t="shared" si="12"/>
        <v>0</v>
      </c>
      <c r="J75" s="16">
        <f t="shared" si="12"/>
        <v>0</v>
      </c>
      <c r="K75" s="16">
        <f t="shared" si="12"/>
        <v>0</v>
      </c>
      <c r="L75" s="16">
        <f t="shared" si="12"/>
        <v>0</v>
      </c>
      <c r="M75" s="16">
        <f t="shared" si="12"/>
        <v>0</v>
      </c>
      <c r="N75" s="16">
        <f t="shared" si="12"/>
        <v>0</v>
      </c>
      <c r="O75" s="16">
        <f t="shared" si="12"/>
        <v>0</v>
      </c>
      <c r="P75" s="16">
        <f t="shared" si="12"/>
        <v>0</v>
      </c>
      <c r="Q75" s="16">
        <f t="shared" si="12"/>
        <v>0</v>
      </c>
      <c r="R75" s="16">
        <f t="shared" si="12"/>
        <v>0</v>
      </c>
      <c r="T75" s="8"/>
      <c r="U75" s="8"/>
    </row>
    <row r="76" spans="2:21" ht="19.5" hidden="1" customHeight="1">
      <c r="B76" s="113"/>
      <c r="C76" s="113"/>
      <c r="D76" s="113"/>
      <c r="E76" s="113"/>
      <c r="F76" s="130" t="str">
        <f t="shared" si="10"/>
        <v>Remboursement emprunt &amp; leasing</v>
      </c>
      <c r="G76" s="16">
        <f t="shared" si="12"/>
        <v>0</v>
      </c>
      <c r="H76" s="16">
        <f t="shared" si="12"/>
        <v>0</v>
      </c>
      <c r="I76" s="16">
        <f t="shared" si="12"/>
        <v>0</v>
      </c>
      <c r="J76" s="16">
        <f t="shared" si="12"/>
        <v>0</v>
      </c>
      <c r="K76" s="16">
        <f t="shared" si="12"/>
        <v>0</v>
      </c>
      <c r="L76" s="16">
        <f t="shared" si="12"/>
        <v>0</v>
      </c>
      <c r="M76" s="16">
        <f t="shared" si="12"/>
        <v>0</v>
      </c>
      <c r="N76" s="16">
        <f t="shared" si="12"/>
        <v>0</v>
      </c>
      <c r="O76" s="16">
        <f t="shared" si="12"/>
        <v>0</v>
      </c>
      <c r="P76" s="16">
        <f t="shared" si="12"/>
        <v>0</v>
      </c>
      <c r="Q76" s="16">
        <f t="shared" si="12"/>
        <v>0</v>
      </c>
      <c r="R76" s="16">
        <f t="shared" si="12"/>
        <v>0</v>
      </c>
      <c r="T76" s="8"/>
      <c r="U76" s="8"/>
    </row>
    <row r="77" spans="2:21" ht="19.5" hidden="1" customHeight="1">
      <c r="B77" s="113"/>
      <c r="C77" s="113"/>
      <c r="D77" s="113"/>
      <c r="E77" s="113"/>
      <c r="F77" s="130" t="str">
        <f t="shared" si="10"/>
        <v>Investissements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T77" s="8"/>
      <c r="U77" s="8"/>
    </row>
    <row r="78" spans="2:21" ht="19.5" hidden="1" customHeight="1">
      <c r="B78" s="113"/>
      <c r="C78" s="113"/>
      <c r="D78" s="113"/>
      <c r="E78" s="113"/>
      <c r="F78" s="130" t="str">
        <f t="shared" si="10"/>
        <v>Garantie locative</v>
      </c>
      <c r="G78" s="16">
        <f t="shared" ref="G78:R80" si="13">G39-(G39/(1+$D39))</f>
        <v>0</v>
      </c>
      <c r="H78" s="16">
        <f t="shared" si="13"/>
        <v>0</v>
      </c>
      <c r="I78" s="16">
        <f t="shared" si="13"/>
        <v>0</v>
      </c>
      <c r="J78" s="16">
        <f t="shared" si="13"/>
        <v>0</v>
      </c>
      <c r="K78" s="16">
        <f t="shared" si="13"/>
        <v>0</v>
      </c>
      <c r="L78" s="16">
        <f t="shared" si="13"/>
        <v>0</v>
      </c>
      <c r="M78" s="16">
        <f t="shared" si="13"/>
        <v>0</v>
      </c>
      <c r="N78" s="16">
        <f t="shared" si="13"/>
        <v>0</v>
      </c>
      <c r="O78" s="16">
        <f t="shared" si="13"/>
        <v>0</v>
      </c>
      <c r="P78" s="16">
        <f t="shared" si="13"/>
        <v>0</v>
      </c>
      <c r="Q78" s="16">
        <f t="shared" si="13"/>
        <v>0</v>
      </c>
      <c r="R78" s="16">
        <f t="shared" si="13"/>
        <v>0</v>
      </c>
      <c r="T78" s="8"/>
      <c r="U78" s="8"/>
    </row>
    <row r="79" spans="2:21" ht="19.5" hidden="1" customHeight="1">
      <c r="B79" s="113"/>
      <c r="C79" s="113"/>
      <c r="D79" s="113"/>
      <c r="E79" s="113"/>
      <c r="F79" s="130" t="str">
        <f t="shared" si="10"/>
        <v>Caution gaz-électricité</v>
      </c>
      <c r="G79" s="16">
        <f t="shared" si="13"/>
        <v>0</v>
      </c>
      <c r="H79" s="16">
        <f t="shared" si="13"/>
        <v>0</v>
      </c>
      <c r="I79" s="16">
        <f t="shared" si="13"/>
        <v>0</v>
      </c>
      <c r="J79" s="16">
        <f t="shared" si="13"/>
        <v>0</v>
      </c>
      <c r="K79" s="16">
        <f t="shared" si="13"/>
        <v>0</v>
      </c>
      <c r="L79" s="16">
        <f t="shared" si="13"/>
        <v>0</v>
      </c>
      <c r="M79" s="16">
        <f t="shared" si="13"/>
        <v>0</v>
      </c>
      <c r="N79" s="16">
        <f t="shared" si="13"/>
        <v>0</v>
      </c>
      <c r="O79" s="16">
        <f t="shared" si="13"/>
        <v>0</v>
      </c>
      <c r="P79" s="16">
        <f t="shared" si="13"/>
        <v>0</v>
      </c>
      <c r="Q79" s="16">
        <f t="shared" si="13"/>
        <v>0</v>
      </c>
      <c r="R79" s="16">
        <f t="shared" si="13"/>
        <v>0</v>
      </c>
      <c r="T79" s="8"/>
      <c r="U79" s="8"/>
    </row>
    <row r="80" spans="2:21" ht="19.5" hidden="1" customHeight="1">
      <c r="B80" s="113"/>
      <c r="C80" s="113"/>
      <c r="D80" s="113"/>
      <c r="E80" s="113"/>
      <c r="F80" s="168" t="str">
        <f t="shared" si="10"/>
        <v>Autres garanties</v>
      </c>
      <c r="G80" s="143">
        <f t="shared" si="13"/>
        <v>0</v>
      </c>
      <c r="H80" s="143">
        <f t="shared" si="13"/>
        <v>0</v>
      </c>
      <c r="I80" s="143">
        <f t="shared" si="13"/>
        <v>0</v>
      </c>
      <c r="J80" s="143">
        <f t="shared" si="13"/>
        <v>0</v>
      </c>
      <c r="K80" s="143">
        <f t="shared" si="13"/>
        <v>0</v>
      </c>
      <c r="L80" s="143">
        <f t="shared" si="13"/>
        <v>0</v>
      </c>
      <c r="M80" s="143">
        <f t="shared" si="13"/>
        <v>0</v>
      </c>
      <c r="N80" s="143">
        <f t="shared" si="13"/>
        <v>0</v>
      </c>
      <c r="O80" s="143">
        <f t="shared" si="13"/>
        <v>0</v>
      </c>
      <c r="P80" s="143">
        <f t="shared" si="13"/>
        <v>0</v>
      </c>
      <c r="Q80" s="143">
        <f t="shared" si="13"/>
        <v>0</v>
      </c>
      <c r="R80" s="143">
        <f t="shared" si="13"/>
        <v>0</v>
      </c>
      <c r="T80" s="8"/>
      <c r="U80" s="8"/>
    </row>
    <row r="81" spans="20:21" ht="19.5" hidden="1" customHeight="1">
      <c r="T81" s="8"/>
      <c r="U81" s="8"/>
    </row>
    <row r="82" spans="20:21" ht="19.5" hidden="1" customHeight="1">
      <c r="T82" s="8"/>
      <c r="U82" s="8"/>
    </row>
    <row r="83" spans="20:21" ht="19.5" hidden="1" customHeight="1">
      <c r="T83" s="8"/>
      <c r="U83" s="8"/>
    </row>
    <row r="84" spans="20:21" ht="19.5" hidden="1" customHeight="1">
      <c r="T84" s="8"/>
      <c r="U84" s="8"/>
    </row>
    <row r="85" spans="20:21" ht="19.5" hidden="1" customHeight="1">
      <c r="T85" s="8"/>
      <c r="U85" s="8"/>
    </row>
    <row r="86" spans="20:21" ht="19.5" hidden="1" customHeight="1">
      <c r="T86" s="8"/>
      <c r="U86" s="8"/>
    </row>
    <row r="87" spans="20:21">
      <c r="T87" s="8"/>
      <c r="U87" s="8"/>
    </row>
    <row r="88" spans="20:21">
      <c r="T88" s="8"/>
      <c r="U88" s="8"/>
    </row>
    <row r="89" spans="20:21">
      <c r="T89" s="8"/>
      <c r="U89" s="8"/>
    </row>
    <row r="90" spans="20:21">
      <c r="T90" s="8"/>
      <c r="U90" s="8"/>
    </row>
    <row r="91" spans="20:21">
      <c r="T91" s="8"/>
      <c r="U91" s="8"/>
    </row>
    <row r="92" spans="20:21">
      <c r="T92" s="8"/>
      <c r="U92" s="8"/>
    </row>
    <row r="93" spans="20:21">
      <c r="T93" s="8"/>
      <c r="U93" s="8"/>
    </row>
    <row r="94" spans="20:21">
      <c r="T94" s="8"/>
      <c r="U94" s="8"/>
    </row>
    <row r="95" spans="20:21">
      <c r="T95" s="8"/>
      <c r="U95" s="8"/>
    </row>
    <row r="96" spans="20:21">
      <c r="T96" s="8"/>
      <c r="U96" s="8"/>
    </row>
    <row r="97" spans="20:21">
      <c r="T97" s="8"/>
      <c r="U97" s="8"/>
    </row>
    <row r="98" spans="20:21">
      <c r="T98" s="8"/>
      <c r="U98" s="8"/>
    </row>
    <row r="99" spans="20:21">
      <c r="T99" s="8"/>
      <c r="U99" s="8"/>
    </row>
    <row r="100" spans="20:21">
      <c r="T100" s="8"/>
      <c r="U100" s="8"/>
    </row>
    <row r="101" spans="20:21">
      <c r="T101" s="8"/>
      <c r="U101" s="8"/>
    </row>
    <row r="102" spans="20:21">
      <c r="T102" s="8"/>
      <c r="U102" s="8"/>
    </row>
    <row r="103" spans="20:21">
      <c r="T103" s="8"/>
      <c r="U103" s="8"/>
    </row>
    <row r="104" spans="20:21">
      <c r="T104" s="8"/>
      <c r="U104" s="8"/>
    </row>
    <row r="105" spans="20:21">
      <c r="T105" s="8"/>
      <c r="U105" s="8"/>
    </row>
    <row r="106" spans="20:21">
      <c r="T106" s="8"/>
      <c r="U106" s="8"/>
    </row>
    <row r="107" spans="20:21">
      <c r="T107" s="8"/>
      <c r="U107" s="8"/>
    </row>
    <row r="108" spans="20:21">
      <c r="T108" s="8"/>
      <c r="U108" s="8"/>
    </row>
    <row r="109" spans="20:21">
      <c r="T109" s="8"/>
      <c r="U109" s="8"/>
    </row>
    <row r="110" spans="20:21">
      <c r="T110" s="8"/>
      <c r="U110" s="8"/>
    </row>
    <row r="111" spans="20:21">
      <c r="T111" s="8"/>
      <c r="U111" s="8"/>
    </row>
    <row r="112" spans="20:21">
      <c r="T112" s="8"/>
      <c r="U112" s="8"/>
    </row>
    <row r="113" spans="20:21">
      <c r="T113" s="8"/>
      <c r="U113" s="8"/>
    </row>
    <row r="114" spans="20:21">
      <c r="T114" s="8"/>
      <c r="U114" s="8"/>
    </row>
    <row r="115" spans="20:21">
      <c r="T115" s="8"/>
      <c r="U115" s="8"/>
    </row>
    <row r="116" spans="20:21">
      <c r="T116" s="8"/>
      <c r="U116" s="8"/>
    </row>
    <row r="117" spans="20:21">
      <c r="T117" s="8"/>
      <c r="U117" s="8"/>
    </row>
    <row r="118" spans="20:21">
      <c r="T118" s="8"/>
      <c r="U118" s="8"/>
    </row>
    <row r="119" spans="20:21">
      <c r="T119" s="8"/>
      <c r="U119" s="8"/>
    </row>
    <row r="120" spans="20:21">
      <c r="T120" s="8"/>
      <c r="U120" s="8"/>
    </row>
    <row r="121" spans="20:21">
      <c r="T121" s="8"/>
      <c r="U121" s="8"/>
    </row>
    <row r="122" spans="20:21">
      <c r="T122" s="8"/>
      <c r="U122" s="8"/>
    </row>
    <row r="123" spans="20:21">
      <c r="T123" s="8"/>
      <c r="U123" s="8"/>
    </row>
    <row r="124" spans="20:21">
      <c r="T124" s="8"/>
      <c r="U124" s="8"/>
    </row>
    <row r="125" spans="20:21">
      <c r="T125" s="8"/>
      <c r="U125" s="8"/>
    </row>
    <row r="126" spans="20:21">
      <c r="T126" s="8"/>
      <c r="U126" s="8"/>
    </row>
    <row r="127" spans="20:21">
      <c r="T127" s="8"/>
      <c r="U127" s="8"/>
    </row>
    <row r="128" spans="20:21">
      <c r="T128" s="8"/>
      <c r="U128" s="8"/>
    </row>
    <row r="129" spans="20:21">
      <c r="T129" s="8"/>
      <c r="U129" s="8"/>
    </row>
    <row r="130" spans="20:21">
      <c r="T130" s="8"/>
      <c r="U130" s="8"/>
    </row>
    <row r="131" spans="20:21">
      <c r="T131" s="8"/>
      <c r="U131" s="8"/>
    </row>
    <row r="132" spans="20:21">
      <c r="T132" s="8"/>
      <c r="U132" s="8"/>
    </row>
    <row r="133" spans="20:21">
      <c r="T133" s="8"/>
      <c r="U133" s="8"/>
    </row>
    <row r="134" spans="20:21">
      <c r="T134" s="8"/>
      <c r="U134" s="8"/>
    </row>
    <row r="135" spans="20:21">
      <c r="T135" s="8"/>
      <c r="U135" s="8"/>
    </row>
    <row r="136" spans="20:21">
      <c r="T136" s="8"/>
      <c r="U136" s="8"/>
    </row>
    <row r="137" spans="20:21">
      <c r="T137" s="8"/>
      <c r="U137" s="8"/>
    </row>
    <row r="138" spans="20:21">
      <c r="T138" s="8"/>
      <c r="U138" s="8"/>
    </row>
    <row r="139" spans="20:21">
      <c r="T139" s="8"/>
      <c r="U139" s="8"/>
    </row>
    <row r="140" spans="20:21">
      <c r="T140" s="8"/>
      <c r="U140" s="8"/>
    </row>
    <row r="141" spans="20:21">
      <c r="T141" s="8"/>
      <c r="U141" s="8"/>
    </row>
    <row r="142" spans="20:21">
      <c r="T142" s="8"/>
      <c r="U142" s="8"/>
    </row>
    <row r="143" spans="20:21">
      <c r="T143" s="8"/>
      <c r="U143" s="8"/>
    </row>
    <row r="144" spans="20:21">
      <c r="T144" s="8"/>
      <c r="U144" s="8"/>
    </row>
    <row r="145" spans="20:21">
      <c r="T145" s="8"/>
      <c r="U145" s="8"/>
    </row>
    <row r="146" spans="20:21">
      <c r="T146" s="8"/>
      <c r="U146" s="8"/>
    </row>
    <row r="147" spans="20:21">
      <c r="T147" s="8"/>
      <c r="U147" s="8"/>
    </row>
    <row r="148" spans="20:21">
      <c r="T148" s="8"/>
      <c r="U148" s="8"/>
    </row>
    <row r="149" spans="20:21">
      <c r="T149" s="8"/>
      <c r="U149" s="8"/>
    </row>
    <row r="150" spans="20:21">
      <c r="T150" s="8"/>
      <c r="U150" s="8"/>
    </row>
    <row r="151" spans="20:21">
      <c r="T151" s="8"/>
      <c r="U151" s="8"/>
    </row>
    <row r="152" spans="20:21">
      <c r="T152" s="8"/>
      <c r="U152" s="8"/>
    </row>
    <row r="153" spans="20:21">
      <c r="T153" s="8"/>
      <c r="U153" s="8"/>
    </row>
    <row r="154" spans="20:21">
      <c r="T154" s="8"/>
      <c r="U154" s="8"/>
    </row>
    <row r="155" spans="20:21">
      <c r="T155" s="8"/>
      <c r="U155" s="8"/>
    </row>
    <row r="156" spans="20:21">
      <c r="T156" s="8"/>
      <c r="U156" s="8"/>
    </row>
    <row r="157" spans="20:21">
      <c r="T157" s="8"/>
      <c r="U157" s="8"/>
    </row>
    <row r="158" spans="20:21">
      <c r="T158" s="8"/>
      <c r="U158" s="8"/>
    </row>
    <row r="159" spans="20:21">
      <c r="T159" s="8"/>
      <c r="U159" s="8"/>
    </row>
    <row r="160" spans="20:21">
      <c r="T160" s="8"/>
      <c r="U160" s="8"/>
    </row>
    <row r="161" spans="20:21">
      <c r="T161" s="8"/>
      <c r="U161" s="8"/>
    </row>
    <row r="162" spans="20:21">
      <c r="T162" s="8"/>
      <c r="U162" s="8"/>
    </row>
    <row r="163" spans="20:21">
      <c r="T163" s="8"/>
      <c r="U163" s="8"/>
    </row>
    <row r="164" spans="20:21">
      <c r="T164" s="8"/>
      <c r="U164" s="8"/>
    </row>
    <row r="165" spans="20:21">
      <c r="T165" s="8"/>
      <c r="U165" s="8"/>
    </row>
    <row r="166" spans="20:21">
      <c r="T166" s="8"/>
      <c r="U166" s="8"/>
    </row>
    <row r="167" spans="20:21">
      <c r="T167" s="8"/>
      <c r="U167" s="8"/>
    </row>
    <row r="168" spans="20:21">
      <c r="T168" s="8"/>
      <c r="U168" s="8"/>
    </row>
    <row r="169" spans="20:21">
      <c r="T169" s="8"/>
      <c r="U169" s="8"/>
    </row>
    <row r="170" spans="20:21">
      <c r="T170" s="8"/>
      <c r="U170" s="8"/>
    </row>
    <row r="171" spans="20:21">
      <c r="T171" s="8"/>
      <c r="U171" s="8"/>
    </row>
    <row r="172" spans="20:21">
      <c r="T172" s="8"/>
      <c r="U172" s="8"/>
    </row>
    <row r="173" spans="20:21">
      <c r="T173" s="8"/>
      <c r="U173" s="8"/>
    </row>
    <row r="174" spans="20:21">
      <c r="T174" s="8"/>
      <c r="U174" s="8"/>
    </row>
    <row r="175" spans="20:21">
      <c r="T175" s="8"/>
      <c r="U175" s="8"/>
    </row>
    <row r="176" spans="20:21">
      <c r="T176" s="8"/>
      <c r="U176" s="8"/>
    </row>
    <row r="177" spans="20:21">
      <c r="T177" s="8"/>
      <c r="U177" s="8"/>
    </row>
    <row r="178" spans="20:21">
      <c r="T178" s="8"/>
      <c r="U178" s="8"/>
    </row>
    <row r="179" spans="20:21">
      <c r="T179" s="8"/>
      <c r="U179" s="8"/>
    </row>
    <row r="180" spans="20:21">
      <c r="T180" s="8"/>
      <c r="U180" s="8"/>
    </row>
    <row r="181" spans="20:21">
      <c r="T181" s="8"/>
      <c r="U181" s="8"/>
    </row>
    <row r="182" spans="20:21">
      <c r="T182" s="8"/>
      <c r="U182" s="8"/>
    </row>
    <row r="183" spans="20:21">
      <c r="T183" s="8"/>
      <c r="U183" s="8"/>
    </row>
    <row r="184" spans="20:21">
      <c r="T184" s="8"/>
      <c r="U184" s="8"/>
    </row>
    <row r="185" spans="20:21">
      <c r="T185" s="8"/>
      <c r="U185" s="8"/>
    </row>
    <row r="186" spans="20:21">
      <c r="T186" s="8"/>
      <c r="U186" s="8"/>
    </row>
    <row r="187" spans="20:21">
      <c r="T187" s="8"/>
      <c r="U187" s="8"/>
    </row>
    <row r="188" spans="20:21">
      <c r="T188" s="8"/>
      <c r="U188" s="8"/>
    </row>
    <row r="189" spans="20:21">
      <c r="T189" s="8"/>
      <c r="U189" s="8"/>
    </row>
    <row r="190" spans="20:21">
      <c r="T190" s="8"/>
      <c r="U190" s="8"/>
    </row>
    <row r="191" spans="20:21">
      <c r="T191" s="8"/>
      <c r="U191" s="8"/>
    </row>
    <row r="192" spans="20:21">
      <c r="T192" s="8"/>
      <c r="U192" s="8"/>
    </row>
    <row r="193" spans="20:21">
      <c r="T193" s="8"/>
      <c r="U193" s="8"/>
    </row>
    <row r="194" spans="20:21">
      <c r="T194" s="8"/>
      <c r="U194" s="8"/>
    </row>
    <row r="195" spans="20:21">
      <c r="T195" s="8"/>
      <c r="U195" s="8"/>
    </row>
    <row r="196" spans="20:21">
      <c r="T196" s="8"/>
      <c r="U196" s="8"/>
    </row>
    <row r="197" spans="20:21">
      <c r="T197" s="8"/>
      <c r="U197" s="8"/>
    </row>
    <row r="198" spans="20:21">
      <c r="T198" s="8"/>
      <c r="U198" s="8"/>
    </row>
    <row r="199" spans="20:21">
      <c r="T199" s="8"/>
      <c r="U199" s="8"/>
    </row>
    <row r="200" spans="20:21">
      <c r="T200" s="8"/>
      <c r="U200" s="8"/>
    </row>
    <row r="201" spans="20:21">
      <c r="T201" s="8"/>
      <c r="U201" s="8"/>
    </row>
    <row r="202" spans="20:21">
      <c r="T202" s="8"/>
      <c r="U202" s="8"/>
    </row>
    <row r="203" spans="20:21">
      <c r="T203" s="8"/>
      <c r="U203" s="8"/>
    </row>
    <row r="204" spans="20:21">
      <c r="T204" s="8"/>
      <c r="U204" s="8"/>
    </row>
    <row r="205" spans="20:21">
      <c r="T205" s="8"/>
      <c r="U205" s="8"/>
    </row>
    <row r="206" spans="20:21">
      <c r="T206" s="8"/>
      <c r="U206" s="8"/>
    </row>
    <row r="207" spans="20:21">
      <c r="T207" s="8"/>
      <c r="U207" s="8"/>
    </row>
    <row r="208" spans="20:21">
      <c r="T208" s="8"/>
      <c r="U208" s="8"/>
    </row>
    <row r="209" spans="20:21">
      <c r="T209" s="8"/>
      <c r="U209" s="8"/>
    </row>
    <row r="210" spans="20:21">
      <c r="T210" s="8"/>
      <c r="U210" s="8"/>
    </row>
    <row r="211" spans="20:21">
      <c r="T211" s="8"/>
      <c r="U211" s="8"/>
    </row>
    <row r="212" spans="20:21">
      <c r="T212" s="8"/>
      <c r="U212" s="8"/>
    </row>
    <row r="213" spans="20:21">
      <c r="T213" s="8"/>
      <c r="U213" s="8"/>
    </row>
    <row r="214" spans="20:21">
      <c r="T214" s="8"/>
      <c r="U214" s="8"/>
    </row>
    <row r="215" spans="20:21">
      <c r="T215" s="8"/>
      <c r="U215" s="8"/>
    </row>
    <row r="216" spans="20:21">
      <c r="T216" s="8"/>
      <c r="U216" s="8"/>
    </row>
    <row r="217" spans="20:21">
      <c r="T217" s="8"/>
      <c r="U217" s="8"/>
    </row>
    <row r="218" spans="20:21">
      <c r="T218" s="8"/>
      <c r="U218" s="8"/>
    </row>
    <row r="219" spans="20:21">
      <c r="T219" s="8"/>
      <c r="U219" s="8"/>
    </row>
    <row r="220" spans="20:21">
      <c r="T220" s="8"/>
      <c r="U220" s="8"/>
    </row>
    <row r="221" spans="20:21">
      <c r="T221" s="8"/>
      <c r="U221" s="8"/>
    </row>
    <row r="222" spans="20:21">
      <c r="T222" s="8"/>
      <c r="U222" s="8"/>
    </row>
    <row r="223" spans="20:21">
      <c r="T223" s="8"/>
      <c r="U223" s="8"/>
    </row>
    <row r="224" spans="20:21">
      <c r="T224" s="8"/>
      <c r="U224" s="8"/>
    </row>
    <row r="225" spans="20:21">
      <c r="T225" s="8"/>
      <c r="U225" s="8"/>
    </row>
    <row r="226" spans="20:21">
      <c r="T226" s="8"/>
      <c r="U226" s="8"/>
    </row>
    <row r="227" spans="20:21">
      <c r="T227" s="8"/>
      <c r="U227" s="8"/>
    </row>
    <row r="228" spans="20:21">
      <c r="T228" s="8"/>
      <c r="U228" s="8"/>
    </row>
    <row r="229" spans="20:21">
      <c r="T229" s="8"/>
      <c r="U229" s="8"/>
    </row>
    <row r="230" spans="20:21">
      <c r="T230" s="8"/>
      <c r="U230" s="8"/>
    </row>
    <row r="231" spans="20:21">
      <c r="T231" s="8"/>
      <c r="U231" s="8"/>
    </row>
    <row r="232" spans="20:21">
      <c r="T232" s="8"/>
      <c r="U232" s="8"/>
    </row>
    <row r="233" spans="20:21">
      <c r="T233" s="8"/>
      <c r="U233" s="8"/>
    </row>
    <row r="234" spans="20:21">
      <c r="T234" s="8"/>
      <c r="U234" s="8"/>
    </row>
    <row r="235" spans="20:21">
      <c r="T235" s="8"/>
      <c r="U235" s="8"/>
    </row>
    <row r="236" spans="20:21">
      <c r="T236" s="8"/>
      <c r="U236" s="8"/>
    </row>
    <row r="237" spans="20:21">
      <c r="T237" s="8"/>
      <c r="U237" s="8"/>
    </row>
    <row r="238" spans="20:21">
      <c r="T238" s="8"/>
      <c r="U238" s="8"/>
    </row>
    <row r="239" spans="20:21">
      <c r="T239" s="8"/>
      <c r="U239" s="8"/>
    </row>
    <row r="240" spans="20:21">
      <c r="T240" s="8"/>
      <c r="U240" s="8"/>
    </row>
    <row r="241" spans="20:21">
      <c r="T241" s="8"/>
      <c r="U241" s="8"/>
    </row>
    <row r="242" spans="20:21">
      <c r="T242" s="8"/>
      <c r="U242" s="8"/>
    </row>
    <row r="243" spans="20:21">
      <c r="T243" s="8"/>
      <c r="U243" s="8"/>
    </row>
    <row r="244" spans="20:21">
      <c r="T244" s="8"/>
      <c r="U244" s="8"/>
    </row>
    <row r="245" spans="20:21">
      <c r="T245" s="8"/>
      <c r="U245" s="8"/>
    </row>
    <row r="246" spans="20:21">
      <c r="T246" s="8"/>
      <c r="U246" s="8"/>
    </row>
    <row r="247" spans="20:21">
      <c r="T247" s="8"/>
      <c r="U247" s="8"/>
    </row>
    <row r="248" spans="20:21">
      <c r="T248" s="8"/>
      <c r="U248" s="8"/>
    </row>
    <row r="249" spans="20:21">
      <c r="T249" s="8"/>
      <c r="U249" s="8"/>
    </row>
    <row r="250" spans="20:21">
      <c r="T250" s="8"/>
      <c r="U250" s="8"/>
    </row>
    <row r="251" spans="20:21">
      <c r="T251" s="8"/>
      <c r="U251" s="8"/>
    </row>
    <row r="252" spans="20:21">
      <c r="T252" s="8"/>
      <c r="U252" s="8"/>
    </row>
    <row r="253" spans="20:21">
      <c r="T253" s="8"/>
      <c r="U253" s="8"/>
    </row>
    <row r="254" spans="20:21">
      <c r="T254" s="8"/>
      <c r="U254" s="8"/>
    </row>
    <row r="255" spans="20:21">
      <c r="T255" s="8"/>
      <c r="U255" s="8"/>
    </row>
    <row r="256" spans="20:21">
      <c r="T256" s="8"/>
      <c r="U256" s="8"/>
    </row>
    <row r="257" spans="20:21">
      <c r="T257" s="8"/>
      <c r="U257" s="8"/>
    </row>
    <row r="258" spans="20:21">
      <c r="T258" s="8"/>
      <c r="U258" s="8"/>
    </row>
    <row r="259" spans="20:21">
      <c r="T259" s="8"/>
      <c r="U259" s="8"/>
    </row>
    <row r="260" spans="20:21">
      <c r="T260" s="8"/>
      <c r="U260" s="8"/>
    </row>
    <row r="261" spans="20:21">
      <c r="T261" s="8"/>
      <c r="U261" s="8"/>
    </row>
    <row r="262" spans="20:21">
      <c r="T262" s="8"/>
      <c r="U262" s="8"/>
    </row>
    <row r="263" spans="20:21">
      <c r="T263" s="8"/>
      <c r="U263" s="8"/>
    </row>
    <row r="264" spans="20:21">
      <c r="T264" s="8"/>
      <c r="U264" s="8"/>
    </row>
    <row r="265" spans="20:21">
      <c r="T265" s="8"/>
      <c r="U265" s="8"/>
    </row>
    <row r="266" spans="20:21">
      <c r="T266" s="8"/>
      <c r="U266" s="8"/>
    </row>
    <row r="267" spans="20:21">
      <c r="T267" s="8"/>
      <c r="U267" s="8"/>
    </row>
    <row r="268" spans="20:21">
      <c r="T268" s="8"/>
      <c r="U268" s="8"/>
    </row>
    <row r="269" spans="20:21">
      <c r="T269" s="8"/>
      <c r="U269" s="8"/>
    </row>
    <row r="270" spans="20:21">
      <c r="T270" s="8"/>
      <c r="U270" s="8"/>
    </row>
    <row r="271" spans="20:21">
      <c r="T271" s="8"/>
      <c r="U271" s="8"/>
    </row>
    <row r="272" spans="20:21">
      <c r="T272" s="8"/>
      <c r="U272" s="8"/>
    </row>
    <row r="273" spans="20:21">
      <c r="T273" s="8"/>
      <c r="U273" s="8"/>
    </row>
    <row r="274" spans="20:21">
      <c r="T274" s="8"/>
      <c r="U274" s="8"/>
    </row>
    <row r="275" spans="20:21">
      <c r="T275" s="8"/>
      <c r="U275" s="8"/>
    </row>
    <row r="276" spans="20:21">
      <c r="T276" s="8"/>
      <c r="U276" s="8"/>
    </row>
    <row r="277" spans="20:21">
      <c r="T277" s="8"/>
      <c r="U277" s="8"/>
    </row>
    <row r="278" spans="20:21">
      <c r="T278" s="8"/>
      <c r="U278" s="8"/>
    </row>
    <row r="279" spans="20:21">
      <c r="T279" s="8"/>
      <c r="U279" s="8"/>
    </row>
    <row r="280" spans="20:21">
      <c r="T280" s="8"/>
      <c r="U280" s="8"/>
    </row>
    <row r="281" spans="20:21">
      <c r="T281" s="8"/>
      <c r="U281" s="8"/>
    </row>
    <row r="282" spans="20:21">
      <c r="T282" s="8"/>
      <c r="U282" s="8"/>
    </row>
    <row r="283" spans="20:21">
      <c r="T283" s="8"/>
      <c r="U283" s="8"/>
    </row>
    <row r="284" spans="20:21">
      <c r="T284" s="8"/>
      <c r="U284" s="8"/>
    </row>
    <row r="285" spans="20:21">
      <c r="T285" s="8"/>
      <c r="U285" s="8"/>
    </row>
    <row r="286" spans="20:21">
      <c r="T286" s="8"/>
      <c r="U286" s="8"/>
    </row>
    <row r="287" spans="20:21">
      <c r="T287" s="8"/>
      <c r="U287" s="8"/>
    </row>
    <row r="288" spans="20:21">
      <c r="T288" s="8"/>
      <c r="U288" s="8"/>
    </row>
    <row r="289" spans="20:21">
      <c r="T289" s="8"/>
      <c r="U289" s="8"/>
    </row>
    <row r="290" spans="20:21">
      <c r="T290" s="8"/>
      <c r="U290" s="8"/>
    </row>
    <row r="291" spans="20:21">
      <c r="T291" s="8"/>
      <c r="U291" s="8"/>
    </row>
    <row r="292" spans="20:21">
      <c r="T292" s="8"/>
      <c r="U292" s="8"/>
    </row>
    <row r="293" spans="20:21">
      <c r="T293" s="8"/>
      <c r="U293" s="8"/>
    </row>
    <row r="294" spans="20:21">
      <c r="T294" s="8"/>
      <c r="U294" s="8"/>
    </row>
    <row r="295" spans="20:21">
      <c r="T295" s="8"/>
      <c r="U295" s="8"/>
    </row>
    <row r="296" spans="20:21">
      <c r="T296" s="8"/>
      <c r="U296" s="8"/>
    </row>
    <row r="297" spans="20:21">
      <c r="T297" s="8"/>
      <c r="U297" s="8"/>
    </row>
    <row r="298" spans="20:21">
      <c r="T298" s="8"/>
      <c r="U298" s="8"/>
    </row>
    <row r="299" spans="20:21">
      <c r="T299" s="8"/>
      <c r="U299" s="8"/>
    </row>
    <row r="300" spans="20:21">
      <c r="T300" s="8"/>
      <c r="U300" s="8"/>
    </row>
    <row r="301" spans="20:21">
      <c r="T301" s="8"/>
      <c r="U301" s="8"/>
    </row>
    <row r="302" spans="20:21">
      <c r="T302" s="8"/>
      <c r="U302" s="8"/>
    </row>
    <row r="303" spans="20:21">
      <c r="T303" s="8"/>
      <c r="U303" s="8"/>
    </row>
    <row r="304" spans="20:21">
      <c r="T304" s="8"/>
      <c r="U304" s="8"/>
    </row>
    <row r="305" spans="20:21">
      <c r="T305" s="8"/>
      <c r="U305" s="8"/>
    </row>
    <row r="306" spans="20:21">
      <c r="T306" s="8"/>
      <c r="U306" s="8"/>
    </row>
    <row r="307" spans="20:21">
      <c r="T307" s="8"/>
      <c r="U307" s="8"/>
    </row>
    <row r="308" spans="20:21">
      <c r="T308" s="8"/>
      <c r="U308" s="8"/>
    </row>
    <row r="309" spans="20:21">
      <c r="T309" s="8"/>
      <c r="U309" s="8"/>
    </row>
    <row r="310" spans="20:21">
      <c r="T310" s="8"/>
      <c r="U310" s="8"/>
    </row>
    <row r="311" spans="20:21">
      <c r="T311" s="8"/>
      <c r="U311" s="8"/>
    </row>
    <row r="312" spans="20:21">
      <c r="T312" s="8"/>
      <c r="U312" s="8"/>
    </row>
    <row r="313" spans="20:21">
      <c r="T313" s="8"/>
      <c r="U313" s="8"/>
    </row>
    <row r="314" spans="20:21">
      <c r="T314" s="8"/>
      <c r="U314" s="8"/>
    </row>
    <row r="315" spans="20:21">
      <c r="T315" s="8"/>
      <c r="U315" s="8"/>
    </row>
    <row r="316" spans="20:21">
      <c r="T316" s="8"/>
      <c r="U316" s="8"/>
    </row>
    <row r="317" spans="20:21">
      <c r="T317" s="8"/>
      <c r="U317" s="8"/>
    </row>
    <row r="318" spans="20:21">
      <c r="T318" s="8"/>
      <c r="U318" s="8"/>
    </row>
    <row r="319" spans="20:21">
      <c r="T319" s="8"/>
      <c r="U319" s="8"/>
    </row>
    <row r="320" spans="20:21">
      <c r="T320" s="8"/>
      <c r="U320" s="8"/>
    </row>
    <row r="321" spans="20:21">
      <c r="T321" s="8"/>
      <c r="U321" s="8"/>
    </row>
    <row r="322" spans="20:21">
      <c r="T322" s="8"/>
      <c r="U322" s="8"/>
    </row>
    <row r="323" spans="20:21">
      <c r="T323" s="8"/>
      <c r="U323" s="8"/>
    </row>
    <row r="324" spans="20:21">
      <c r="T324" s="8"/>
      <c r="U324" s="8"/>
    </row>
    <row r="325" spans="20:21">
      <c r="T325" s="8"/>
      <c r="U325" s="8"/>
    </row>
    <row r="326" spans="20:21">
      <c r="T326" s="8"/>
      <c r="U326" s="8"/>
    </row>
    <row r="327" spans="20:21">
      <c r="T327" s="8"/>
      <c r="U327" s="8"/>
    </row>
    <row r="328" spans="20:21">
      <c r="T328" s="8"/>
      <c r="U328" s="8"/>
    </row>
    <row r="329" spans="20:21">
      <c r="T329" s="8"/>
      <c r="U329" s="8"/>
    </row>
    <row r="330" spans="20:21">
      <c r="T330" s="8"/>
      <c r="U330" s="8"/>
    </row>
    <row r="331" spans="20:21">
      <c r="T331" s="8"/>
      <c r="U331" s="8"/>
    </row>
    <row r="332" spans="20:21">
      <c r="T332" s="8"/>
      <c r="U332" s="8"/>
    </row>
    <row r="333" spans="20:21">
      <c r="T333" s="8"/>
      <c r="U333" s="8"/>
    </row>
    <row r="334" spans="20:21">
      <c r="T334" s="8"/>
      <c r="U334" s="8"/>
    </row>
    <row r="335" spans="20:21">
      <c r="T335" s="8"/>
      <c r="U335" s="8"/>
    </row>
    <row r="336" spans="20:21">
      <c r="T336" s="8"/>
      <c r="U336" s="8"/>
    </row>
    <row r="337" spans="20:21">
      <c r="T337" s="8"/>
      <c r="U337" s="8"/>
    </row>
    <row r="338" spans="20:21">
      <c r="T338" s="8"/>
      <c r="U338" s="8"/>
    </row>
    <row r="339" spans="20:21">
      <c r="T339" s="8"/>
      <c r="U339" s="8"/>
    </row>
    <row r="340" spans="20:21">
      <c r="T340" s="8"/>
      <c r="U340" s="8"/>
    </row>
    <row r="341" spans="20:21">
      <c r="T341" s="8"/>
      <c r="U341" s="8"/>
    </row>
    <row r="342" spans="20:21">
      <c r="T342" s="8"/>
      <c r="U342" s="8"/>
    </row>
    <row r="343" spans="20:21">
      <c r="T343" s="8"/>
      <c r="U343" s="8"/>
    </row>
    <row r="344" spans="20:21">
      <c r="T344" s="8"/>
      <c r="U344" s="8"/>
    </row>
    <row r="345" spans="20:21">
      <c r="T345" s="8"/>
      <c r="U345" s="8"/>
    </row>
    <row r="346" spans="20:21">
      <c r="T346" s="8"/>
      <c r="U346" s="8"/>
    </row>
    <row r="347" spans="20:21">
      <c r="T347" s="8"/>
      <c r="U347" s="8"/>
    </row>
    <row r="348" spans="20:21">
      <c r="T348" s="8"/>
      <c r="U348" s="8"/>
    </row>
    <row r="349" spans="20:21">
      <c r="T349" s="8"/>
      <c r="U349" s="8"/>
    </row>
    <row r="350" spans="20:21">
      <c r="T350" s="8"/>
      <c r="U350" s="8"/>
    </row>
    <row r="351" spans="20:21">
      <c r="T351" s="8"/>
      <c r="U351" s="8"/>
    </row>
    <row r="352" spans="20:21">
      <c r="T352" s="8"/>
      <c r="U352" s="8"/>
    </row>
    <row r="353" spans="20:21">
      <c r="T353" s="8"/>
      <c r="U353" s="8"/>
    </row>
    <row r="354" spans="20:21">
      <c r="T354" s="8"/>
      <c r="U354" s="8"/>
    </row>
    <row r="355" spans="20:21">
      <c r="T355" s="8"/>
      <c r="U355" s="8"/>
    </row>
    <row r="356" spans="20:21">
      <c r="T356" s="8"/>
      <c r="U356" s="8"/>
    </row>
    <row r="357" spans="20:21">
      <c r="T357" s="8"/>
      <c r="U357" s="8"/>
    </row>
    <row r="358" spans="20:21">
      <c r="T358" s="8"/>
      <c r="U358" s="8"/>
    </row>
    <row r="359" spans="20:21">
      <c r="T359" s="8"/>
      <c r="U359" s="8"/>
    </row>
    <row r="360" spans="20:21">
      <c r="T360" s="8"/>
      <c r="U360" s="8"/>
    </row>
    <row r="361" spans="20:21">
      <c r="T361" s="8"/>
      <c r="U361" s="8"/>
    </row>
    <row r="362" spans="20:21">
      <c r="T362" s="8"/>
      <c r="U362" s="8"/>
    </row>
    <row r="363" spans="20:21">
      <c r="T363" s="8"/>
      <c r="U363" s="8"/>
    </row>
    <row r="364" spans="20:21">
      <c r="T364" s="8"/>
      <c r="U364" s="8"/>
    </row>
    <row r="365" spans="20:21">
      <c r="T365" s="8"/>
      <c r="U365" s="8"/>
    </row>
    <row r="366" spans="20:21">
      <c r="T366" s="8"/>
      <c r="U366" s="8"/>
    </row>
    <row r="367" spans="20:21">
      <c r="T367" s="8"/>
      <c r="U367" s="8"/>
    </row>
    <row r="368" spans="20:21">
      <c r="T368" s="8"/>
      <c r="U368" s="8"/>
    </row>
    <row r="369" spans="20:21">
      <c r="T369" s="8"/>
      <c r="U369" s="8"/>
    </row>
    <row r="370" spans="20:21">
      <c r="T370" s="8"/>
      <c r="U370" s="8"/>
    </row>
    <row r="371" spans="20:21">
      <c r="T371" s="8"/>
      <c r="U371" s="8"/>
    </row>
    <row r="372" spans="20:21">
      <c r="T372" s="8"/>
      <c r="U372" s="8"/>
    </row>
    <row r="373" spans="20:21">
      <c r="T373" s="8"/>
      <c r="U373" s="8"/>
    </row>
    <row r="374" spans="20:21">
      <c r="T374" s="8"/>
      <c r="U374" s="8"/>
    </row>
    <row r="375" spans="20:21">
      <c r="T375" s="8"/>
      <c r="U375" s="8"/>
    </row>
    <row r="376" spans="20:21">
      <c r="T376" s="8"/>
      <c r="U376" s="8"/>
    </row>
    <row r="377" spans="20:21">
      <c r="T377" s="8"/>
      <c r="U377" s="8"/>
    </row>
    <row r="378" spans="20:21">
      <c r="T378" s="8"/>
      <c r="U378" s="8"/>
    </row>
    <row r="379" spans="20:21">
      <c r="T379" s="8"/>
      <c r="U379" s="8"/>
    </row>
    <row r="380" spans="20:21">
      <c r="T380" s="8"/>
      <c r="U380" s="8"/>
    </row>
    <row r="381" spans="20:21">
      <c r="T381" s="8"/>
      <c r="U381" s="8"/>
    </row>
    <row r="382" spans="20:21">
      <c r="T382" s="8"/>
      <c r="U382" s="8"/>
    </row>
    <row r="383" spans="20:21">
      <c r="T383" s="8"/>
      <c r="U383" s="8"/>
    </row>
    <row r="384" spans="20:21">
      <c r="T384" s="8"/>
      <c r="U384" s="8"/>
    </row>
    <row r="385" spans="20:21">
      <c r="T385" s="8"/>
      <c r="U385" s="8"/>
    </row>
    <row r="386" spans="20:21">
      <c r="T386" s="8"/>
      <c r="U386" s="8"/>
    </row>
    <row r="387" spans="20:21">
      <c r="T387" s="8"/>
      <c r="U387" s="8"/>
    </row>
    <row r="388" spans="20:21">
      <c r="T388" s="8"/>
      <c r="U388" s="8"/>
    </row>
    <row r="389" spans="20:21">
      <c r="T389" s="8"/>
      <c r="U389" s="8"/>
    </row>
    <row r="390" spans="20:21">
      <c r="T390" s="8"/>
      <c r="U390" s="8"/>
    </row>
    <row r="391" spans="20:21">
      <c r="T391" s="8"/>
      <c r="U391" s="8"/>
    </row>
    <row r="392" spans="20:21">
      <c r="T392" s="8"/>
      <c r="U392" s="8"/>
    </row>
    <row r="393" spans="20:21">
      <c r="T393" s="8"/>
      <c r="U393" s="8"/>
    </row>
    <row r="394" spans="20:21">
      <c r="T394" s="8"/>
      <c r="U394" s="8"/>
    </row>
    <row r="395" spans="20:21">
      <c r="T395" s="8"/>
      <c r="U395" s="8"/>
    </row>
    <row r="396" spans="20:21">
      <c r="T396" s="8"/>
      <c r="U396" s="8"/>
    </row>
    <row r="397" spans="20:21">
      <c r="T397" s="8"/>
      <c r="U397" s="8"/>
    </row>
    <row r="398" spans="20:21">
      <c r="T398" s="8"/>
      <c r="U398" s="8"/>
    </row>
    <row r="399" spans="20:21">
      <c r="T399" s="8"/>
      <c r="U399" s="8"/>
    </row>
    <row r="400" spans="20:21">
      <c r="T400" s="8"/>
      <c r="U400" s="8"/>
    </row>
    <row r="401" spans="20:21">
      <c r="T401" s="8"/>
      <c r="U401" s="8"/>
    </row>
    <row r="402" spans="20:21">
      <c r="T402" s="8"/>
      <c r="U402" s="8"/>
    </row>
    <row r="403" spans="20:21">
      <c r="T403" s="8"/>
      <c r="U403" s="8"/>
    </row>
    <row r="404" spans="20:21">
      <c r="T404" s="8"/>
      <c r="U404" s="8"/>
    </row>
    <row r="405" spans="20:21">
      <c r="T405" s="8"/>
      <c r="U405" s="8"/>
    </row>
    <row r="406" spans="20:21">
      <c r="T406" s="8"/>
      <c r="U406" s="8"/>
    </row>
    <row r="407" spans="20:21">
      <c r="T407" s="8"/>
      <c r="U407" s="8"/>
    </row>
    <row r="408" spans="20:21">
      <c r="T408" s="8"/>
      <c r="U408" s="8"/>
    </row>
    <row r="409" spans="20:21">
      <c r="T409" s="8"/>
      <c r="U409" s="8"/>
    </row>
    <row r="410" spans="20:21">
      <c r="T410" s="8"/>
      <c r="U410" s="8"/>
    </row>
    <row r="411" spans="20:21">
      <c r="T411" s="8"/>
      <c r="U411" s="8"/>
    </row>
    <row r="412" spans="20:21">
      <c r="T412" s="8"/>
      <c r="U412" s="8"/>
    </row>
    <row r="413" spans="20:21">
      <c r="T413" s="8"/>
      <c r="U413" s="8"/>
    </row>
    <row r="414" spans="20:21">
      <c r="T414" s="8"/>
      <c r="U414" s="8"/>
    </row>
    <row r="415" spans="20:21">
      <c r="T415" s="8"/>
      <c r="U415" s="8"/>
    </row>
    <row r="416" spans="20:21">
      <c r="T416" s="8"/>
      <c r="U416" s="8"/>
    </row>
    <row r="417" spans="20:21">
      <c r="T417" s="8"/>
      <c r="U417" s="8"/>
    </row>
    <row r="418" spans="20:21">
      <c r="T418" s="8"/>
      <c r="U418" s="8"/>
    </row>
    <row r="419" spans="20:21">
      <c r="T419" s="8"/>
      <c r="U419" s="8"/>
    </row>
    <row r="420" spans="20:21">
      <c r="T420" s="8"/>
      <c r="U420" s="8"/>
    </row>
    <row r="421" spans="20:21">
      <c r="T421" s="8"/>
      <c r="U421" s="8"/>
    </row>
    <row r="422" spans="20:21">
      <c r="T422" s="8"/>
      <c r="U422" s="8"/>
    </row>
    <row r="423" spans="20:21">
      <c r="T423" s="8"/>
      <c r="U423" s="8"/>
    </row>
    <row r="424" spans="20:21">
      <c r="T424" s="8"/>
      <c r="U424" s="8"/>
    </row>
    <row r="425" spans="20:21">
      <c r="T425" s="8"/>
      <c r="U425" s="8"/>
    </row>
    <row r="426" spans="20:21">
      <c r="T426" s="8"/>
      <c r="U426" s="8"/>
    </row>
    <row r="427" spans="20:21">
      <c r="T427" s="8"/>
      <c r="U427" s="8"/>
    </row>
    <row r="428" spans="20:21">
      <c r="T428" s="8"/>
      <c r="U428" s="8"/>
    </row>
    <row r="429" spans="20:21">
      <c r="T429" s="8"/>
      <c r="U429" s="8"/>
    </row>
    <row r="430" spans="20:21">
      <c r="T430" s="8"/>
      <c r="U430" s="8"/>
    </row>
    <row r="431" spans="20:21">
      <c r="T431" s="8"/>
      <c r="U431" s="8"/>
    </row>
    <row r="432" spans="20:21">
      <c r="T432" s="8"/>
      <c r="U432" s="8"/>
    </row>
    <row r="433" spans="20:21">
      <c r="T433" s="8"/>
      <c r="U433" s="8"/>
    </row>
    <row r="434" spans="20:21">
      <c r="T434" s="8"/>
      <c r="U434" s="8"/>
    </row>
    <row r="435" spans="20:21">
      <c r="T435" s="8"/>
      <c r="U435" s="8"/>
    </row>
    <row r="436" spans="20:21">
      <c r="T436" s="8"/>
      <c r="U436" s="8"/>
    </row>
    <row r="437" spans="20:21">
      <c r="T437" s="8"/>
      <c r="U437" s="8"/>
    </row>
    <row r="438" spans="20:21">
      <c r="T438" s="8"/>
      <c r="U438" s="8"/>
    </row>
    <row r="439" spans="20:21">
      <c r="T439" s="8"/>
      <c r="U439" s="8"/>
    </row>
    <row r="440" spans="20:21">
      <c r="T440" s="8"/>
      <c r="U440" s="8"/>
    </row>
    <row r="441" spans="20:21">
      <c r="T441" s="8"/>
      <c r="U441" s="8"/>
    </row>
    <row r="442" spans="20:21">
      <c r="T442" s="8"/>
      <c r="U442" s="8"/>
    </row>
    <row r="443" spans="20:21">
      <c r="T443" s="8"/>
      <c r="U443" s="8"/>
    </row>
    <row r="444" spans="20:21">
      <c r="T444" s="8"/>
      <c r="U444" s="8"/>
    </row>
    <row r="445" spans="20:21">
      <c r="T445" s="8"/>
      <c r="U445" s="8"/>
    </row>
    <row r="446" spans="20:21">
      <c r="T446" s="8"/>
      <c r="U446" s="8"/>
    </row>
    <row r="447" spans="20:21">
      <c r="T447" s="8"/>
      <c r="U447" s="8"/>
    </row>
    <row r="448" spans="20:21">
      <c r="T448" s="8"/>
      <c r="U448" s="8"/>
    </row>
    <row r="449" spans="20:21">
      <c r="T449" s="8"/>
      <c r="U449" s="8"/>
    </row>
    <row r="450" spans="20:21">
      <c r="T450" s="8"/>
      <c r="U450" s="8"/>
    </row>
    <row r="451" spans="20:21">
      <c r="T451" s="8"/>
      <c r="U451" s="8"/>
    </row>
    <row r="452" spans="20:21">
      <c r="T452" s="8"/>
      <c r="U452" s="8"/>
    </row>
    <row r="453" spans="20:21">
      <c r="T453" s="8"/>
      <c r="U453" s="8"/>
    </row>
    <row r="454" spans="20:21">
      <c r="T454" s="8"/>
      <c r="U454" s="8"/>
    </row>
    <row r="455" spans="20:21">
      <c r="T455" s="8"/>
      <c r="U455" s="8"/>
    </row>
    <row r="456" spans="20:21">
      <c r="T456" s="8"/>
      <c r="U456" s="8"/>
    </row>
    <row r="457" spans="20:21">
      <c r="T457" s="8"/>
      <c r="U457" s="8"/>
    </row>
    <row r="458" spans="20:21">
      <c r="T458" s="8"/>
      <c r="U458" s="8"/>
    </row>
    <row r="459" spans="20:21">
      <c r="T459" s="8"/>
      <c r="U459" s="8"/>
    </row>
    <row r="460" spans="20:21">
      <c r="T460" s="8"/>
      <c r="U460" s="8"/>
    </row>
    <row r="461" spans="20:21">
      <c r="T461" s="8"/>
      <c r="U461" s="8"/>
    </row>
    <row r="462" spans="20:21">
      <c r="T462" s="8"/>
      <c r="U462" s="8"/>
    </row>
    <row r="463" spans="20:21">
      <c r="T463" s="8"/>
      <c r="U463" s="8"/>
    </row>
    <row r="464" spans="20:21">
      <c r="T464" s="8"/>
      <c r="U464" s="8"/>
    </row>
    <row r="465" spans="20:21">
      <c r="T465" s="8"/>
      <c r="U465" s="8"/>
    </row>
    <row r="466" spans="20:21">
      <c r="T466" s="8"/>
      <c r="U466" s="8"/>
    </row>
    <row r="467" spans="20:21">
      <c r="T467" s="8"/>
      <c r="U467" s="8"/>
    </row>
    <row r="468" spans="20:21">
      <c r="T468" s="8"/>
      <c r="U468" s="8"/>
    </row>
    <row r="469" spans="20:21">
      <c r="T469" s="8"/>
      <c r="U469" s="8"/>
    </row>
    <row r="470" spans="20:21">
      <c r="T470" s="8"/>
      <c r="U470" s="8"/>
    </row>
    <row r="471" spans="20:21">
      <c r="T471" s="8"/>
      <c r="U471" s="8"/>
    </row>
    <row r="472" spans="20:21">
      <c r="T472" s="8"/>
      <c r="U472" s="8"/>
    </row>
    <row r="473" spans="20:21">
      <c r="T473" s="8"/>
      <c r="U473" s="8"/>
    </row>
    <row r="474" spans="20:21">
      <c r="T474" s="8"/>
      <c r="U474" s="8"/>
    </row>
    <row r="475" spans="20:21">
      <c r="T475" s="8"/>
      <c r="U475" s="8"/>
    </row>
    <row r="476" spans="20:21">
      <c r="T476" s="8"/>
      <c r="U476" s="8"/>
    </row>
    <row r="477" spans="20:21">
      <c r="T477" s="8"/>
      <c r="U477" s="8"/>
    </row>
    <row r="478" spans="20:21">
      <c r="T478" s="8"/>
      <c r="U478" s="8"/>
    </row>
    <row r="479" spans="20:21">
      <c r="T479" s="8"/>
      <c r="U479" s="8"/>
    </row>
    <row r="480" spans="20:21">
      <c r="T480" s="8"/>
      <c r="U480" s="8"/>
    </row>
    <row r="481" spans="20:21">
      <c r="T481" s="8"/>
      <c r="U481" s="8"/>
    </row>
    <row r="482" spans="20:21">
      <c r="T482" s="8"/>
      <c r="U482" s="8"/>
    </row>
    <row r="483" spans="20:21">
      <c r="T483" s="8"/>
      <c r="U483" s="8"/>
    </row>
    <row r="484" spans="20:21">
      <c r="T484" s="8"/>
      <c r="U484" s="8"/>
    </row>
    <row r="485" spans="20:21">
      <c r="T485" s="8"/>
      <c r="U485" s="8"/>
    </row>
    <row r="486" spans="20:21">
      <c r="T486" s="8"/>
      <c r="U486" s="8"/>
    </row>
    <row r="487" spans="20:21">
      <c r="T487" s="8"/>
      <c r="U487" s="8"/>
    </row>
    <row r="488" spans="20:21">
      <c r="T488" s="8"/>
      <c r="U488" s="8"/>
    </row>
    <row r="489" spans="20:21">
      <c r="T489" s="8"/>
      <c r="U489" s="8"/>
    </row>
    <row r="490" spans="20:21">
      <c r="T490" s="8"/>
      <c r="U490" s="8"/>
    </row>
    <row r="491" spans="20:21">
      <c r="T491" s="8"/>
      <c r="U491" s="8"/>
    </row>
    <row r="492" spans="20:21">
      <c r="T492" s="8"/>
      <c r="U492" s="8"/>
    </row>
    <row r="493" spans="20:21">
      <c r="T493" s="8"/>
      <c r="U493" s="8"/>
    </row>
    <row r="494" spans="20:21">
      <c r="T494" s="8"/>
      <c r="U494" s="8"/>
    </row>
    <row r="495" spans="20:21">
      <c r="T495" s="8"/>
      <c r="U495" s="8"/>
    </row>
    <row r="496" spans="20:21">
      <c r="T496" s="8"/>
      <c r="U496" s="8"/>
    </row>
    <row r="497" spans="20:21">
      <c r="T497" s="8"/>
      <c r="U497" s="8"/>
    </row>
    <row r="498" spans="20:21">
      <c r="T498" s="8"/>
      <c r="U498" s="8"/>
    </row>
    <row r="499" spans="20:21">
      <c r="T499" s="8"/>
      <c r="U499" s="8"/>
    </row>
    <row r="500" spans="20:21">
      <c r="T500" s="8"/>
      <c r="U500" s="8"/>
    </row>
    <row r="501" spans="20:21">
      <c r="T501" s="8"/>
      <c r="U501" s="8"/>
    </row>
    <row r="502" spans="20:21">
      <c r="T502" s="8"/>
      <c r="U502" s="8"/>
    </row>
    <row r="503" spans="20:21">
      <c r="T503" s="8"/>
      <c r="U503" s="8"/>
    </row>
    <row r="504" spans="20:21">
      <c r="T504" s="8"/>
      <c r="U504" s="8"/>
    </row>
    <row r="505" spans="20:21">
      <c r="T505" s="8"/>
      <c r="U505" s="8"/>
    </row>
    <row r="506" spans="20:21">
      <c r="T506" s="8"/>
      <c r="U506" s="8"/>
    </row>
    <row r="507" spans="20:21">
      <c r="T507" s="8"/>
      <c r="U507" s="8"/>
    </row>
    <row r="508" spans="20:21">
      <c r="T508" s="8"/>
      <c r="U508" s="8"/>
    </row>
    <row r="509" spans="20:21">
      <c r="T509" s="8"/>
      <c r="U509" s="8"/>
    </row>
    <row r="510" spans="20:21">
      <c r="T510" s="8"/>
      <c r="U510" s="8"/>
    </row>
    <row r="511" spans="20:21">
      <c r="T511" s="8"/>
      <c r="U511" s="8"/>
    </row>
    <row r="512" spans="20:21">
      <c r="T512" s="8"/>
      <c r="U512" s="8"/>
    </row>
    <row r="513" spans="20:21">
      <c r="T513" s="8"/>
      <c r="U513" s="8"/>
    </row>
    <row r="514" spans="20:21">
      <c r="T514" s="8"/>
      <c r="U514" s="8"/>
    </row>
    <row r="515" spans="20:21">
      <c r="T515" s="8"/>
      <c r="U515" s="8"/>
    </row>
    <row r="516" spans="20:21">
      <c r="T516" s="8"/>
      <c r="U516" s="8"/>
    </row>
    <row r="517" spans="20:21">
      <c r="T517" s="8"/>
      <c r="U517" s="8"/>
    </row>
    <row r="518" spans="20:21">
      <c r="T518" s="8"/>
      <c r="U518" s="8"/>
    </row>
    <row r="519" spans="20:21">
      <c r="T519" s="8"/>
      <c r="U519" s="8"/>
    </row>
    <row r="520" spans="20:21">
      <c r="T520" s="8"/>
      <c r="U520" s="8"/>
    </row>
    <row r="521" spans="20:21">
      <c r="T521" s="8"/>
      <c r="U521" s="8"/>
    </row>
    <row r="522" spans="20:21">
      <c r="T522" s="8"/>
      <c r="U522" s="8"/>
    </row>
    <row r="523" spans="20:21">
      <c r="T523" s="8"/>
      <c r="U523" s="8"/>
    </row>
    <row r="524" spans="20:21">
      <c r="T524" s="8"/>
      <c r="U524" s="8"/>
    </row>
    <row r="525" spans="20:21">
      <c r="T525" s="8"/>
      <c r="U525" s="8"/>
    </row>
    <row r="526" spans="20:21">
      <c r="T526" s="8"/>
      <c r="U526" s="8"/>
    </row>
    <row r="527" spans="20:21">
      <c r="T527" s="8"/>
      <c r="U527" s="8"/>
    </row>
    <row r="528" spans="20:21">
      <c r="T528" s="8"/>
      <c r="U528" s="8"/>
    </row>
    <row r="529" spans="20:21">
      <c r="T529" s="8"/>
      <c r="U529" s="8"/>
    </row>
    <row r="530" spans="20:21">
      <c r="T530" s="8"/>
      <c r="U530" s="8"/>
    </row>
    <row r="531" spans="20:21">
      <c r="T531" s="8"/>
      <c r="U531" s="8"/>
    </row>
    <row r="532" spans="20:21">
      <c r="T532" s="8"/>
      <c r="U532" s="8"/>
    </row>
    <row r="533" spans="20:21">
      <c r="T533" s="8"/>
      <c r="U533" s="8"/>
    </row>
    <row r="534" spans="20:21">
      <c r="T534" s="8"/>
      <c r="U534" s="8"/>
    </row>
    <row r="535" spans="20:21">
      <c r="T535" s="8"/>
      <c r="U535" s="8"/>
    </row>
    <row r="536" spans="20:21">
      <c r="T536" s="8"/>
      <c r="U536" s="8"/>
    </row>
    <row r="537" spans="20:21">
      <c r="T537" s="8"/>
      <c r="U537" s="8"/>
    </row>
    <row r="538" spans="20:21">
      <c r="T538" s="8"/>
      <c r="U538" s="8"/>
    </row>
    <row r="539" spans="20:21">
      <c r="T539" s="8"/>
      <c r="U539" s="8"/>
    </row>
    <row r="540" spans="20:21">
      <c r="T540" s="8"/>
      <c r="U540" s="8"/>
    </row>
    <row r="541" spans="20:21">
      <c r="T541" s="8"/>
      <c r="U541" s="8"/>
    </row>
    <row r="542" spans="20:21">
      <c r="T542" s="8"/>
      <c r="U542" s="8"/>
    </row>
    <row r="543" spans="20:21">
      <c r="T543" s="8"/>
      <c r="U543" s="8"/>
    </row>
    <row r="544" spans="20:21">
      <c r="T544" s="8"/>
      <c r="U544" s="8"/>
    </row>
    <row r="545" spans="20:21">
      <c r="T545" s="8"/>
      <c r="U545" s="8"/>
    </row>
    <row r="546" spans="20:21">
      <c r="T546" s="8"/>
      <c r="U546" s="8"/>
    </row>
    <row r="547" spans="20:21">
      <c r="T547" s="8"/>
      <c r="U547" s="8"/>
    </row>
    <row r="548" spans="20:21">
      <c r="T548" s="8"/>
      <c r="U548" s="8"/>
    </row>
    <row r="549" spans="20:21">
      <c r="T549" s="8"/>
      <c r="U549" s="8"/>
    </row>
    <row r="550" spans="20:21">
      <c r="T550" s="8"/>
      <c r="U550" s="8"/>
    </row>
    <row r="551" spans="20:21">
      <c r="T551" s="8"/>
      <c r="U551" s="8"/>
    </row>
    <row r="552" spans="20:21">
      <c r="T552" s="8"/>
      <c r="U552" s="8"/>
    </row>
    <row r="553" spans="20:21">
      <c r="T553" s="8"/>
      <c r="U553" s="8"/>
    </row>
    <row r="554" spans="20:21">
      <c r="T554" s="8"/>
      <c r="U554" s="8"/>
    </row>
    <row r="555" spans="20:21">
      <c r="T555" s="8"/>
      <c r="U555" s="8"/>
    </row>
    <row r="556" spans="20:21">
      <c r="T556" s="8"/>
      <c r="U556" s="8"/>
    </row>
    <row r="557" spans="20:21">
      <c r="T557" s="8"/>
      <c r="U557" s="8"/>
    </row>
    <row r="558" spans="20:21">
      <c r="T558" s="8"/>
      <c r="U558" s="8"/>
    </row>
    <row r="559" spans="20:21">
      <c r="T559" s="8"/>
      <c r="U559" s="8"/>
    </row>
    <row r="560" spans="20:21">
      <c r="T560" s="8"/>
      <c r="U560" s="8"/>
    </row>
    <row r="561" spans="20:21">
      <c r="T561" s="8"/>
      <c r="U561" s="8"/>
    </row>
    <row r="562" spans="20:21">
      <c r="T562" s="8"/>
      <c r="U562" s="8"/>
    </row>
    <row r="563" spans="20:21">
      <c r="T563" s="8"/>
      <c r="U563" s="8"/>
    </row>
    <row r="564" spans="20:21">
      <c r="T564" s="8"/>
      <c r="U564" s="8"/>
    </row>
    <row r="565" spans="20:21">
      <c r="T565" s="8"/>
      <c r="U565" s="8"/>
    </row>
    <row r="566" spans="20:21">
      <c r="T566" s="8"/>
      <c r="U566" s="8"/>
    </row>
    <row r="567" spans="20:21">
      <c r="T567" s="8"/>
      <c r="U567" s="8"/>
    </row>
    <row r="568" spans="20:21">
      <c r="T568" s="8"/>
      <c r="U568" s="8"/>
    </row>
    <row r="569" spans="20:21">
      <c r="T569" s="8"/>
      <c r="U569" s="8"/>
    </row>
    <row r="570" spans="20:21">
      <c r="T570" s="8"/>
      <c r="U570" s="8"/>
    </row>
    <row r="571" spans="20:21">
      <c r="T571" s="8"/>
      <c r="U571" s="8"/>
    </row>
    <row r="572" spans="20:21">
      <c r="T572" s="8"/>
      <c r="U572" s="8"/>
    </row>
    <row r="573" spans="20:21">
      <c r="T573" s="8"/>
      <c r="U573" s="8"/>
    </row>
    <row r="574" spans="20:21">
      <c r="T574" s="8"/>
      <c r="U574" s="8"/>
    </row>
    <row r="575" spans="20:21">
      <c r="T575" s="8"/>
      <c r="U575" s="8"/>
    </row>
    <row r="576" spans="20:21">
      <c r="T576" s="8"/>
      <c r="U576" s="8"/>
    </row>
    <row r="577" spans="20:21">
      <c r="T577" s="8"/>
      <c r="U577" s="8"/>
    </row>
    <row r="578" spans="20:21">
      <c r="T578" s="8"/>
      <c r="U578" s="8"/>
    </row>
    <row r="579" spans="20:21">
      <c r="T579" s="8"/>
      <c r="U579" s="8"/>
    </row>
    <row r="580" spans="20:21">
      <c r="T580" s="8"/>
      <c r="U580" s="8"/>
    </row>
    <row r="581" spans="20:21">
      <c r="T581" s="8"/>
      <c r="U581" s="8"/>
    </row>
    <row r="582" spans="20:21">
      <c r="T582" s="8"/>
      <c r="U582" s="8"/>
    </row>
    <row r="583" spans="20:21">
      <c r="T583" s="8"/>
      <c r="U583" s="8"/>
    </row>
    <row r="584" spans="20:21">
      <c r="T584" s="8"/>
      <c r="U584" s="8"/>
    </row>
    <row r="585" spans="20:21">
      <c r="T585" s="8"/>
      <c r="U585" s="8"/>
    </row>
    <row r="586" spans="20:21">
      <c r="T586" s="8"/>
      <c r="U586" s="8"/>
    </row>
    <row r="587" spans="20:21">
      <c r="T587" s="8"/>
      <c r="U587" s="8"/>
    </row>
    <row r="588" spans="20:21">
      <c r="T588" s="8"/>
      <c r="U588" s="8"/>
    </row>
    <row r="589" spans="20:21">
      <c r="T589" s="8"/>
      <c r="U589" s="8"/>
    </row>
    <row r="590" spans="20:21">
      <c r="T590" s="8"/>
      <c r="U590" s="8"/>
    </row>
    <row r="591" spans="20:21">
      <c r="T591" s="8"/>
      <c r="U591" s="8"/>
    </row>
    <row r="592" spans="20:21">
      <c r="T592" s="8"/>
      <c r="U592" s="8"/>
    </row>
    <row r="593" spans="20:21">
      <c r="T593" s="8"/>
      <c r="U593" s="8"/>
    </row>
    <row r="594" spans="20:21">
      <c r="T594" s="8"/>
      <c r="U594" s="8"/>
    </row>
    <row r="595" spans="20:21">
      <c r="T595" s="8"/>
      <c r="U595" s="8"/>
    </row>
    <row r="596" spans="20:21">
      <c r="T596" s="8"/>
      <c r="U596" s="8"/>
    </row>
    <row r="597" spans="20:21">
      <c r="T597" s="8"/>
      <c r="U597" s="8"/>
    </row>
    <row r="598" spans="20:21">
      <c r="T598" s="8"/>
      <c r="U598" s="8"/>
    </row>
    <row r="599" spans="20:21">
      <c r="T599" s="8"/>
      <c r="U599" s="8"/>
    </row>
    <row r="600" spans="20:21">
      <c r="T600" s="8"/>
      <c r="U600" s="8"/>
    </row>
    <row r="601" spans="20:21">
      <c r="T601" s="8"/>
      <c r="U601" s="8"/>
    </row>
    <row r="602" spans="20:21">
      <c r="T602" s="8"/>
      <c r="U602" s="8"/>
    </row>
    <row r="603" spans="20:21">
      <c r="T603" s="8"/>
      <c r="U603" s="8"/>
    </row>
    <row r="604" spans="20:21">
      <c r="T604" s="8"/>
      <c r="U604" s="8"/>
    </row>
    <row r="605" spans="20:21">
      <c r="T605" s="8"/>
      <c r="U605" s="8"/>
    </row>
    <row r="606" spans="20:21">
      <c r="T606" s="8"/>
      <c r="U606" s="8"/>
    </row>
    <row r="607" spans="20:21">
      <c r="T607" s="8"/>
      <c r="U607" s="8"/>
    </row>
    <row r="608" spans="20:21">
      <c r="T608" s="8"/>
      <c r="U608" s="8"/>
    </row>
    <row r="609" spans="20:21">
      <c r="T609" s="8"/>
      <c r="U609" s="8"/>
    </row>
    <row r="610" spans="20:21">
      <c r="T610" s="8"/>
      <c r="U610" s="8"/>
    </row>
    <row r="611" spans="20:21">
      <c r="T611" s="8"/>
      <c r="U611" s="8"/>
    </row>
    <row r="612" spans="20:21">
      <c r="T612" s="8"/>
      <c r="U612" s="8"/>
    </row>
    <row r="613" spans="20:21">
      <c r="T613" s="8"/>
      <c r="U613" s="8"/>
    </row>
    <row r="614" spans="20:21">
      <c r="T614" s="8"/>
      <c r="U614" s="8"/>
    </row>
    <row r="615" spans="20:21">
      <c r="T615" s="8"/>
      <c r="U615" s="8"/>
    </row>
    <row r="616" spans="20:21">
      <c r="T616" s="8"/>
      <c r="U616" s="8"/>
    </row>
    <row r="617" spans="20:21">
      <c r="T617" s="8"/>
      <c r="U617" s="8"/>
    </row>
    <row r="618" spans="20:21">
      <c r="T618" s="8"/>
      <c r="U618" s="8"/>
    </row>
    <row r="619" spans="20:21">
      <c r="T619" s="8"/>
      <c r="U619" s="8"/>
    </row>
    <row r="620" spans="20:21">
      <c r="T620" s="8"/>
      <c r="U620" s="8"/>
    </row>
    <row r="621" spans="20:21">
      <c r="T621" s="8"/>
      <c r="U621" s="8"/>
    </row>
    <row r="622" spans="20:21">
      <c r="T622" s="8"/>
      <c r="U622" s="8"/>
    </row>
    <row r="623" spans="20:21">
      <c r="T623" s="8"/>
      <c r="U623" s="8"/>
    </row>
    <row r="624" spans="20:21">
      <c r="T624" s="8"/>
      <c r="U624" s="8"/>
    </row>
    <row r="625" spans="20:21">
      <c r="T625" s="8"/>
      <c r="U625" s="8"/>
    </row>
    <row r="626" spans="20:21">
      <c r="T626" s="8"/>
      <c r="U626" s="8"/>
    </row>
    <row r="627" spans="20:21">
      <c r="T627" s="8"/>
      <c r="U627" s="8"/>
    </row>
    <row r="628" spans="20:21">
      <c r="T628" s="8"/>
      <c r="U628" s="8"/>
    </row>
    <row r="629" spans="20:21">
      <c r="T629" s="8"/>
      <c r="U629" s="8"/>
    </row>
    <row r="630" spans="20:21">
      <c r="T630" s="8"/>
      <c r="U630" s="8"/>
    </row>
    <row r="631" spans="20:21">
      <c r="T631" s="8"/>
      <c r="U631" s="8"/>
    </row>
    <row r="632" spans="20:21">
      <c r="T632" s="8"/>
      <c r="U632" s="8"/>
    </row>
    <row r="633" spans="20:21">
      <c r="T633" s="8"/>
      <c r="U633" s="8"/>
    </row>
    <row r="634" spans="20:21">
      <c r="T634" s="8"/>
      <c r="U634" s="8"/>
    </row>
    <row r="635" spans="20:21">
      <c r="T635" s="8"/>
      <c r="U635" s="8"/>
    </row>
    <row r="636" spans="20:21">
      <c r="T636" s="8"/>
      <c r="U636" s="8"/>
    </row>
    <row r="637" spans="20:21">
      <c r="T637" s="8"/>
      <c r="U637" s="8"/>
    </row>
    <row r="638" spans="20:21">
      <c r="T638" s="8"/>
      <c r="U638" s="8"/>
    </row>
    <row r="639" spans="20:21">
      <c r="T639" s="8"/>
      <c r="U639" s="8"/>
    </row>
    <row r="640" spans="20:21">
      <c r="T640" s="8"/>
      <c r="U640" s="8"/>
    </row>
    <row r="641" spans="20:21">
      <c r="T641" s="8"/>
      <c r="U641" s="8"/>
    </row>
    <row r="642" spans="20:21">
      <c r="T642" s="8"/>
      <c r="U642" s="8"/>
    </row>
    <row r="643" spans="20:21">
      <c r="T643" s="8"/>
      <c r="U643" s="8"/>
    </row>
    <row r="644" spans="20:21">
      <c r="T644" s="8"/>
      <c r="U644" s="8"/>
    </row>
    <row r="645" spans="20:21">
      <c r="T645" s="8"/>
      <c r="U645" s="8"/>
    </row>
    <row r="646" spans="20:21">
      <c r="T646" s="8"/>
      <c r="U646" s="8"/>
    </row>
    <row r="647" spans="20:21">
      <c r="T647" s="8"/>
      <c r="U647" s="8"/>
    </row>
    <row r="648" spans="20:21">
      <c r="T648" s="8"/>
      <c r="U648" s="8"/>
    </row>
    <row r="649" spans="20:21">
      <c r="T649" s="8"/>
      <c r="U649" s="8"/>
    </row>
    <row r="650" spans="20:21">
      <c r="T650" s="8"/>
      <c r="U650" s="8"/>
    </row>
    <row r="651" spans="20:21">
      <c r="T651" s="8"/>
      <c r="U651" s="8"/>
    </row>
    <row r="652" spans="20:21">
      <c r="T652" s="8"/>
      <c r="U652" s="8"/>
    </row>
    <row r="653" spans="20:21">
      <c r="T653" s="8"/>
      <c r="U653" s="8"/>
    </row>
    <row r="654" spans="20:21">
      <c r="T654" s="8"/>
      <c r="U654" s="8"/>
    </row>
    <row r="655" spans="20:21">
      <c r="T655" s="8"/>
      <c r="U655" s="8"/>
    </row>
    <row r="656" spans="20:21">
      <c r="T656" s="8"/>
      <c r="U656" s="8"/>
    </row>
    <row r="657" spans="20:21">
      <c r="T657" s="8"/>
      <c r="U657" s="8"/>
    </row>
    <row r="658" spans="20:21">
      <c r="T658" s="8"/>
      <c r="U658" s="8"/>
    </row>
    <row r="659" spans="20:21">
      <c r="T659" s="8"/>
      <c r="U659" s="8"/>
    </row>
    <row r="660" spans="20:21">
      <c r="T660" s="8"/>
      <c r="U660" s="8"/>
    </row>
    <row r="661" spans="20:21">
      <c r="T661" s="8"/>
      <c r="U661" s="8"/>
    </row>
    <row r="662" spans="20:21">
      <c r="T662" s="8"/>
      <c r="U662" s="8"/>
    </row>
    <row r="663" spans="20:21">
      <c r="T663" s="8"/>
      <c r="U663" s="8"/>
    </row>
    <row r="664" spans="20:21">
      <c r="T664" s="8"/>
      <c r="U664" s="8"/>
    </row>
    <row r="665" spans="20:21">
      <c r="T665" s="8"/>
      <c r="U665" s="8"/>
    </row>
    <row r="666" spans="20:21">
      <c r="T666" s="8"/>
      <c r="U666" s="8"/>
    </row>
    <row r="667" spans="20:21">
      <c r="T667" s="8"/>
      <c r="U667" s="8"/>
    </row>
    <row r="668" spans="20:21">
      <c r="T668" s="8"/>
      <c r="U668" s="8"/>
    </row>
    <row r="669" spans="20:21">
      <c r="T669" s="8"/>
      <c r="U669" s="8"/>
    </row>
    <row r="670" spans="20:21">
      <c r="T670" s="8"/>
      <c r="U670" s="8"/>
    </row>
    <row r="671" spans="20:21">
      <c r="T671" s="8"/>
      <c r="U671" s="8"/>
    </row>
    <row r="672" spans="20:21">
      <c r="T672" s="8"/>
      <c r="U672" s="8"/>
    </row>
    <row r="673" spans="20:21">
      <c r="T673" s="8"/>
      <c r="U673" s="8"/>
    </row>
    <row r="674" spans="20:21">
      <c r="T674" s="8"/>
      <c r="U674" s="8"/>
    </row>
    <row r="675" spans="20:21">
      <c r="T675" s="8"/>
      <c r="U675" s="8"/>
    </row>
    <row r="676" spans="20:21">
      <c r="T676" s="8"/>
      <c r="U676" s="8"/>
    </row>
    <row r="677" spans="20:21">
      <c r="T677" s="8"/>
      <c r="U677" s="8"/>
    </row>
    <row r="678" spans="20:21">
      <c r="T678" s="8"/>
      <c r="U678" s="8"/>
    </row>
    <row r="679" spans="20:21">
      <c r="T679" s="8"/>
      <c r="U679" s="8"/>
    </row>
    <row r="680" spans="20:21">
      <c r="T680" s="8"/>
      <c r="U680" s="8"/>
    </row>
    <row r="681" spans="20:21">
      <c r="T681" s="8"/>
      <c r="U681" s="8"/>
    </row>
    <row r="682" spans="20:21">
      <c r="T682" s="8"/>
      <c r="U682" s="8"/>
    </row>
    <row r="683" spans="20:21">
      <c r="T683" s="8"/>
      <c r="U683" s="8"/>
    </row>
    <row r="684" spans="20:21">
      <c r="T684" s="8"/>
      <c r="U684" s="8"/>
    </row>
    <row r="685" spans="20:21">
      <c r="T685" s="8"/>
      <c r="U685" s="8"/>
    </row>
    <row r="686" spans="20:21">
      <c r="T686" s="8"/>
      <c r="U686" s="8"/>
    </row>
    <row r="687" spans="20:21">
      <c r="T687" s="8"/>
      <c r="U687" s="8"/>
    </row>
    <row r="688" spans="20:21">
      <c r="T688" s="8"/>
      <c r="U688" s="8"/>
    </row>
    <row r="689" spans="20:21">
      <c r="T689" s="8"/>
      <c r="U689" s="8"/>
    </row>
    <row r="690" spans="20:21">
      <c r="T690" s="8"/>
      <c r="U690" s="8"/>
    </row>
    <row r="691" spans="20:21">
      <c r="T691" s="8"/>
      <c r="U691" s="8"/>
    </row>
    <row r="692" spans="20:21">
      <c r="T692" s="8"/>
      <c r="U692" s="8"/>
    </row>
    <row r="693" spans="20:21">
      <c r="T693" s="8"/>
      <c r="U693" s="8"/>
    </row>
    <row r="694" spans="20:21">
      <c r="T694" s="8"/>
      <c r="U694" s="8"/>
    </row>
    <row r="695" spans="20:21">
      <c r="T695" s="8"/>
      <c r="U695" s="8"/>
    </row>
    <row r="696" spans="20:21">
      <c r="T696" s="8"/>
      <c r="U696" s="8"/>
    </row>
    <row r="697" spans="20:21">
      <c r="T697" s="8"/>
      <c r="U697" s="8"/>
    </row>
    <row r="698" spans="20:21">
      <c r="T698" s="8"/>
      <c r="U698" s="8"/>
    </row>
    <row r="699" spans="20:21">
      <c r="T699" s="8"/>
      <c r="U699" s="8"/>
    </row>
    <row r="700" spans="20:21">
      <c r="T700" s="8"/>
      <c r="U700" s="8"/>
    </row>
    <row r="701" spans="20:21">
      <c r="T701" s="8"/>
      <c r="U701" s="8"/>
    </row>
    <row r="702" spans="20:21">
      <c r="T702" s="8"/>
      <c r="U702" s="8"/>
    </row>
    <row r="703" spans="20:21">
      <c r="T703" s="8"/>
      <c r="U703" s="8"/>
    </row>
    <row r="704" spans="20:21">
      <c r="T704" s="8"/>
      <c r="U704" s="8"/>
    </row>
    <row r="705" spans="20:21">
      <c r="T705" s="8"/>
      <c r="U705" s="8"/>
    </row>
    <row r="706" spans="20:21">
      <c r="T706" s="8"/>
      <c r="U706" s="8"/>
    </row>
    <row r="707" spans="20:21">
      <c r="T707" s="8"/>
      <c r="U707" s="8"/>
    </row>
    <row r="708" spans="20:21">
      <c r="T708" s="8"/>
      <c r="U708" s="8"/>
    </row>
    <row r="709" spans="20:21">
      <c r="T709" s="8"/>
      <c r="U709" s="8"/>
    </row>
    <row r="710" spans="20:21">
      <c r="T710" s="8"/>
      <c r="U710" s="8"/>
    </row>
    <row r="711" spans="20:21">
      <c r="T711" s="8"/>
      <c r="U711" s="8"/>
    </row>
    <row r="712" spans="20:21">
      <c r="T712" s="8"/>
      <c r="U712" s="8"/>
    </row>
    <row r="713" spans="20:21">
      <c r="T713" s="8"/>
      <c r="U713" s="8"/>
    </row>
    <row r="714" spans="20:21">
      <c r="T714" s="8"/>
      <c r="U714" s="8"/>
    </row>
    <row r="715" spans="20:21">
      <c r="T715" s="8"/>
      <c r="U715" s="8"/>
    </row>
    <row r="716" spans="20:21">
      <c r="T716" s="8"/>
      <c r="U716" s="8"/>
    </row>
    <row r="717" spans="20:21">
      <c r="T717" s="8"/>
      <c r="U717" s="8"/>
    </row>
    <row r="718" spans="20:21">
      <c r="T718" s="8"/>
      <c r="U718" s="8"/>
    </row>
    <row r="719" spans="20:21">
      <c r="T719" s="8"/>
      <c r="U719" s="8"/>
    </row>
    <row r="720" spans="20:21">
      <c r="T720" s="8"/>
      <c r="U720" s="8"/>
    </row>
    <row r="721" spans="20:21">
      <c r="T721" s="8"/>
      <c r="U721" s="8"/>
    </row>
    <row r="722" spans="20:21">
      <c r="T722" s="8"/>
      <c r="U722" s="8"/>
    </row>
    <row r="723" spans="20:21">
      <c r="T723" s="8"/>
      <c r="U723" s="8"/>
    </row>
    <row r="724" spans="20:21">
      <c r="T724" s="8"/>
      <c r="U724" s="8"/>
    </row>
    <row r="725" spans="20:21">
      <c r="T725" s="8"/>
      <c r="U725" s="8"/>
    </row>
    <row r="726" spans="20:21">
      <c r="T726" s="8"/>
      <c r="U726" s="8"/>
    </row>
    <row r="727" spans="20:21">
      <c r="T727" s="8"/>
      <c r="U727" s="8"/>
    </row>
    <row r="728" spans="20:21">
      <c r="T728" s="8"/>
      <c r="U728" s="8"/>
    </row>
    <row r="729" spans="20:21">
      <c r="T729" s="8"/>
      <c r="U729" s="8"/>
    </row>
    <row r="730" spans="20:21">
      <c r="T730" s="8"/>
      <c r="U730" s="8"/>
    </row>
    <row r="731" spans="20:21">
      <c r="T731" s="8"/>
      <c r="U731" s="8"/>
    </row>
    <row r="732" spans="20:21">
      <c r="T732" s="8"/>
      <c r="U732" s="8"/>
    </row>
    <row r="733" spans="20:21">
      <c r="T733" s="8"/>
      <c r="U733" s="8"/>
    </row>
    <row r="734" spans="20:21">
      <c r="T734" s="8"/>
      <c r="U734" s="8"/>
    </row>
    <row r="735" spans="20:21">
      <c r="T735" s="8"/>
      <c r="U735" s="8"/>
    </row>
    <row r="736" spans="20:21">
      <c r="T736" s="8"/>
      <c r="U736" s="8"/>
    </row>
    <row r="737" spans="20:21">
      <c r="T737" s="8"/>
      <c r="U737" s="8"/>
    </row>
    <row r="738" spans="20:21">
      <c r="T738" s="8"/>
      <c r="U738" s="8"/>
    </row>
    <row r="739" spans="20:21">
      <c r="T739" s="8"/>
      <c r="U739" s="8"/>
    </row>
    <row r="740" spans="20:21">
      <c r="T740" s="8"/>
      <c r="U740" s="8"/>
    </row>
    <row r="741" spans="20:21">
      <c r="T741" s="8"/>
      <c r="U741" s="8"/>
    </row>
    <row r="742" spans="20:21">
      <c r="T742" s="8"/>
      <c r="U742" s="8"/>
    </row>
    <row r="743" spans="20:21">
      <c r="T743" s="8"/>
      <c r="U743" s="8"/>
    </row>
    <row r="744" spans="20:21">
      <c r="T744" s="8"/>
      <c r="U744" s="8"/>
    </row>
    <row r="745" spans="20:21">
      <c r="T745" s="8"/>
      <c r="U745" s="8"/>
    </row>
    <row r="746" spans="20:21">
      <c r="T746" s="8"/>
      <c r="U746" s="8"/>
    </row>
    <row r="747" spans="20:21">
      <c r="T747" s="8"/>
      <c r="U747" s="8"/>
    </row>
    <row r="748" spans="20:21">
      <c r="T748" s="8"/>
      <c r="U748" s="8"/>
    </row>
    <row r="749" spans="20:21">
      <c r="T749" s="8"/>
      <c r="U749" s="8"/>
    </row>
    <row r="750" spans="20:21">
      <c r="T750" s="8"/>
      <c r="U750" s="8"/>
    </row>
    <row r="751" spans="20:21">
      <c r="T751" s="8"/>
      <c r="U751" s="8"/>
    </row>
    <row r="752" spans="20:21">
      <c r="T752" s="8"/>
      <c r="U752" s="8"/>
    </row>
    <row r="753" spans="20:21">
      <c r="T753" s="8"/>
      <c r="U753" s="8"/>
    </row>
    <row r="754" spans="20:21">
      <c r="T754" s="8"/>
      <c r="U754" s="8"/>
    </row>
    <row r="755" spans="20:21">
      <c r="T755" s="8"/>
      <c r="U755" s="8"/>
    </row>
    <row r="756" spans="20:21">
      <c r="T756" s="8"/>
      <c r="U756" s="8"/>
    </row>
    <row r="757" spans="20:21">
      <c r="T757" s="8"/>
      <c r="U757" s="8"/>
    </row>
    <row r="758" spans="20:21">
      <c r="T758" s="8"/>
      <c r="U758" s="8"/>
    </row>
    <row r="759" spans="20:21">
      <c r="T759" s="8"/>
      <c r="U759" s="8"/>
    </row>
    <row r="760" spans="20:21">
      <c r="T760" s="8"/>
      <c r="U760" s="8"/>
    </row>
    <row r="761" spans="20:21">
      <c r="T761" s="8"/>
      <c r="U761" s="8"/>
    </row>
    <row r="762" spans="20:21">
      <c r="T762" s="8"/>
      <c r="U762" s="8"/>
    </row>
    <row r="763" spans="20:21">
      <c r="T763" s="8"/>
      <c r="U763" s="8"/>
    </row>
    <row r="764" spans="20:21">
      <c r="T764" s="8"/>
      <c r="U764" s="8"/>
    </row>
    <row r="765" spans="20:21">
      <c r="T765" s="8"/>
      <c r="U765" s="8"/>
    </row>
    <row r="766" spans="20:21">
      <c r="T766" s="8"/>
      <c r="U766" s="8"/>
    </row>
    <row r="767" spans="20:21">
      <c r="T767" s="8"/>
      <c r="U767" s="8"/>
    </row>
    <row r="768" spans="20:21">
      <c r="T768" s="8"/>
      <c r="U768" s="8"/>
    </row>
    <row r="769" spans="20:21">
      <c r="T769" s="8"/>
      <c r="U769" s="8"/>
    </row>
    <row r="770" spans="20:21">
      <c r="T770" s="8"/>
      <c r="U770" s="8"/>
    </row>
    <row r="771" spans="20:21">
      <c r="T771" s="8"/>
      <c r="U771" s="8"/>
    </row>
    <row r="772" spans="20:21">
      <c r="T772" s="8"/>
      <c r="U772" s="8"/>
    </row>
    <row r="773" spans="20:21">
      <c r="T773" s="8"/>
      <c r="U773" s="8"/>
    </row>
    <row r="774" spans="20:21">
      <c r="T774" s="8"/>
      <c r="U774" s="8"/>
    </row>
    <row r="775" spans="20:21">
      <c r="T775" s="8"/>
      <c r="U775" s="8"/>
    </row>
    <row r="776" spans="20:21">
      <c r="T776" s="8"/>
      <c r="U776" s="8"/>
    </row>
    <row r="777" spans="20:21">
      <c r="T777" s="8"/>
      <c r="U777" s="8"/>
    </row>
    <row r="778" spans="20:21">
      <c r="T778" s="8"/>
      <c r="U778" s="8"/>
    </row>
    <row r="779" spans="20:21">
      <c r="T779" s="8"/>
      <c r="U779" s="8"/>
    </row>
    <row r="780" spans="20:21">
      <c r="T780" s="8"/>
      <c r="U780" s="8"/>
    </row>
    <row r="781" spans="20:21">
      <c r="T781" s="8"/>
      <c r="U781" s="8"/>
    </row>
    <row r="782" spans="20:21">
      <c r="T782" s="8"/>
      <c r="U782" s="8"/>
    </row>
    <row r="783" spans="20:21">
      <c r="T783" s="8"/>
      <c r="U783" s="8"/>
    </row>
    <row r="784" spans="20:21">
      <c r="T784" s="8"/>
      <c r="U784" s="8"/>
    </row>
    <row r="785" spans="20:21">
      <c r="T785" s="8"/>
      <c r="U785" s="8"/>
    </row>
    <row r="786" spans="20:21">
      <c r="T786" s="8"/>
      <c r="U786" s="8"/>
    </row>
    <row r="787" spans="20:21">
      <c r="T787" s="8"/>
      <c r="U787" s="8"/>
    </row>
    <row r="788" spans="20:21">
      <c r="T788" s="8"/>
      <c r="U788" s="8"/>
    </row>
    <row r="789" spans="20:21">
      <c r="T789" s="8"/>
      <c r="U789" s="8"/>
    </row>
    <row r="790" spans="20:21">
      <c r="T790" s="8"/>
      <c r="U790" s="8"/>
    </row>
    <row r="791" spans="20:21">
      <c r="T791" s="8"/>
      <c r="U791" s="8"/>
    </row>
    <row r="792" spans="20:21">
      <c r="T792" s="8"/>
      <c r="U792" s="8"/>
    </row>
    <row r="793" spans="20:21">
      <c r="T793" s="8"/>
      <c r="U793" s="8"/>
    </row>
    <row r="794" spans="20:21">
      <c r="T794" s="8"/>
      <c r="U794" s="8"/>
    </row>
    <row r="795" spans="20:21">
      <c r="T795" s="8"/>
      <c r="U795" s="8"/>
    </row>
    <row r="796" spans="20:21">
      <c r="T796" s="8"/>
      <c r="U796" s="8"/>
    </row>
    <row r="797" spans="20:21">
      <c r="T797" s="8"/>
      <c r="U797" s="8"/>
    </row>
    <row r="798" spans="20:21">
      <c r="T798" s="8"/>
      <c r="U798" s="8"/>
    </row>
    <row r="799" spans="20:21">
      <c r="T799" s="8"/>
      <c r="U799" s="8"/>
    </row>
    <row r="800" spans="20:21">
      <c r="T800" s="8"/>
      <c r="U800" s="8"/>
    </row>
    <row r="801" spans="20:21">
      <c r="T801" s="8"/>
      <c r="U801" s="8"/>
    </row>
    <row r="802" spans="20:21">
      <c r="T802" s="8"/>
      <c r="U802" s="8"/>
    </row>
    <row r="803" spans="20:21">
      <c r="T803" s="8"/>
      <c r="U803" s="8"/>
    </row>
    <row r="804" spans="20:21">
      <c r="T804" s="8"/>
      <c r="U804" s="8"/>
    </row>
    <row r="805" spans="20:21">
      <c r="T805" s="8"/>
      <c r="U805" s="8"/>
    </row>
    <row r="806" spans="20:21">
      <c r="T806" s="8"/>
      <c r="U806" s="8"/>
    </row>
    <row r="807" spans="20:21">
      <c r="T807" s="8"/>
      <c r="U807" s="8"/>
    </row>
    <row r="808" spans="20:21">
      <c r="T808" s="8"/>
      <c r="U808" s="8"/>
    </row>
    <row r="809" spans="20:21">
      <c r="T809" s="8"/>
      <c r="U809" s="8"/>
    </row>
    <row r="810" spans="20:21">
      <c r="T810" s="8"/>
      <c r="U810" s="8"/>
    </row>
    <row r="811" spans="20:21">
      <c r="T811" s="8"/>
      <c r="U811" s="8"/>
    </row>
    <row r="812" spans="20:21">
      <c r="T812" s="8"/>
      <c r="U812" s="8"/>
    </row>
    <row r="813" spans="20:21">
      <c r="T813" s="8"/>
      <c r="U813" s="8"/>
    </row>
    <row r="814" spans="20:21">
      <c r="T814" s="8"/>
      <c r="U814" s="8"/>
    </row>
    <row r="815" spans="20:21">
      <c r="T815" s="8"/>
      <c r="U815" s="8"/>
    </row>
    <row r="816" spans="20:21">
      <c r="T816" s="8"/>
      <c r="U816" s="8"/>
    </row>
    <row r="817" spans="20:21">
      <c r="T817" s="8"/>
      <c r="U817" s="8"/>
    </row>
    <row r="818" spans="20:21">
      <c r="T818" s="8"/>
      <c r="U818" s="8"/>
    </row>
    <row r="819" spans="20:21">
      <c r="T819" s="8"/>
      <c r="U819" s="8"/>
    </row>
    <row r="820" spans="20:21">
      <c r="T820" s="8"/>
      <c r="U820" s="8"/>
    </row>
    <row r="821" spans="20:21">
      <c r="T821" s="8"/>
      <c r="U821" s="8"/>
    </row>
    <row r="822" spans="20:21">
      <c r="T822" s="8"/>
      <c r="U822" s="8"/>
    </row>
    <row r="823" spans="20:21">
      <c r="T823" s="8"/>
      <c r="U823" s="8"/>
    </row>
    <row r="824" spans="20:21">
      <c r="T824" s="8"/>
      <c r="U824" s="8"/>
    </row>
    <row r="825" spans="20:21">
      <c r="T825" s="8"/>
      <c r="U825" s="8"/>
    </row>
    <row r="826" spans="20:21">
      <c r="T826" s="8"/>
      <c r="U826" s="8"/>
    </row>
    <row r="827" spans="20:21">
      <c r="T827" s="8"/>
      <c r="U827" s="8"/>
    </row>
    <row r="828" spans="20:21">
      <c r="T828" s="8"/>
      <c r="U828" s="8"/>
    </row>
    <row r="829" spans="20:21">
      <c r="T829" s="8"/>
      <c r="U829" s="8"/>
    </row>
    <row r="830" spans="20:21">
      <c r="T830" s="8"/>
      <c r="U830" s="8"/>
    </row>
    <row r="831" spans="20:21">
      <c r="T831" s="8"/>
      <c r="U831" s="8"/>
    </row>
    <row r="832" spans="20:21">
      <c r="T832" s="8"/>
      <c r="U832" s="8"/>
    </row>
    <row r="833" spans="20:21">
      <c r="T833" s="8"/>
      <c r="U833" s="8"/>
    </row>
    <row r="834" spans="20:21">
      <c r="T834" s="8"/>
      <c r="U834" s="8"/>
    </row>
    <row r="835" spans="20:21">
      <c r="T835" s="8"/>
      <c r="U835" s="8"/>
    </row>
    <row r="836" spans="20:21">
      <c r="T836" s="8"/>
      <c r="U836" s="8"/>
    </row>
    <row r="837" spans="20:21">
      <c r="T837" s="8"/>
      <c r="U837" s="8"/>
    </row>
    <row r="838" spans="20:21">
      <c r="T838" s="8"/>
      <c r="U838" s="8"/>
    </row>
    <row r="839" spans="20:21">
      <c r="T839" s="8"/>
      <c r="U839" s="8"/>
    </row>
    <row r="840" spans="20:21">
      <c r="T840" s="8"/>
      <c r="U840" s="8"/>
    </row>
    <row r="841" spans="20:21">
      <c r="T841" s="8"/>
      <c r="U841" s="8"/>
    </row>
    <row r="842" spans="20:21">
      <c r="T842" s="8"/>
      <c r="U842" s="8"/>
    </row>
    <row r="843" spans="20:21">
      <c r="T843" s="8"/>
      <c r="U843" s="8"/>
    </row>
    <row r="844" spans="20:21">
      <c r="T844" s="8"/>
      <c r="U844" s="8"/>
    </row>
    <row r="845" spans="20:21">
      <c r="T845" s="8"/>
      <c r="U845" s="8"/>
    </row>
    <row r="846" spans="20:21">
      <c r="T846" s="8"/>
      <c r="U846" s="8"/>
    </row>
    <row r="847" spans="20:21">
      <c r="T847" s="8"/>
      <c r="U847" s="8"/>
    </row>
    <row r="848" spans="20:21">
      <c r="T848" s="8"/>
      <c r="U848" s="8"/>
    </row>
    <row r="849" spans="20:21">
      <c r="T849" s="8"/>
      <c r="U849" s="8"/>
    </row>
    <row r="850" spans="20:21">
      <c r="T850" s="8"/>
      <c r="U850" s="8"/>
    </row>
    <row r="851" spans="20:21">
      <c r="T851" s="8"/>
      <c r="U851" s="8"/>
    </row>
    <row r="852" spans="20:21">
      <c r="T852" s="8"/>
      <c r="U852" s="8"/>
    </row>
    <row r="853" spans="20:21">
      <c r="T853" s="8"/>
      <c r="U853" s="8"/>
    </row>
    <row r="854" spans="20:21">
      <c r="T854" s="8"/>
      <c r="U854" s="8"/>
    </row>
    <row r="855" spans="20:21">
      <c r="T855" s="8"/>
      <c r="U855" s="8"/>
    </row>
    <row r="856" spans="20:21">
      <c r="T856" s="8"/>
      <c r="U856" s="8"/>
    </row>
    <row r="857" spans="20:21">
      <c r="T857" s="8"/>
      <c r="U857" s="8"/>
    </row>
    <row r="858" spans="20:21">
      <c r="T858" s="8"/>
      <c r="U858" s="8"/>
    </row>
    <row r="859" spans="20:21">
      <c r="T859" s="8"/>
      <c r="U859" s="8"/>
    </row>
    <row r="860" spans="20:21">
      <c r="T860" s="8"/>
      <c r="U860" s="8"/>
    </row>
    <row r="861" spans="20:21">
      <c r="T861" s="8"/>
      <c r="U861" s="8"/>
    </row>
    <row r="862" spans="20:21">
      <c r="T862" s="8"/>
      <c r="U862" s="8"/>
    </row>
    <row r="863" spans="20:21">
      <c r="T863" s="8"/>
      <c r="U863" s="8"/>
    </row>
    <row r="864" spans="20:21">
      <c r="T864" s="8"/>
      <c r="U864" s="8"/>
    </row>
    <row r="865" spans="20:21">
      <c r="T865" s="8"/>
      <c r="U865" s="8"/>
    </row>
    <row r="866" spans="20:21">
      <c r="T866" s="8"/>
      <c r="U866" s="8"/>
    </row>
    <row r="867" spans="20:21">
      <c r="T867" s="8"/>
      <c r="U867" s="8"/>
    </row>
    <row r="868" spans="20:21">
      <c r="T868" s="8"/>
      <c r="U868" s="8"/>
    </row>
    <row r="869" spans="20:21">
      <c r="T869" s="8"/>
      <c r="U869" s="8"/>
    </row>
    <row r="870" spans="20:21">
      <c r="T870" s="8"/>
      <c r="U870" s="8"/>
    </row>
    <row r="871" spans="20:21">
      <c r="T871" s="8"/>
      <c r="U871" s="8"/>
    </row>
    <row r="872" spans="20:21">
      <c r="T872" s="8"/>
      <c r="U872" s="8"/>
    </row>
    <row r="873" spans="20:21">
      <c r="T873" s="8"/>
      <c r="U873" s="8"/>
    </row>
    <row r="874" spans="20:21">
      <c r="T874" s="8"/>
      <c r="U874" s="8"/>
    </row>
    <row r="875" spans="20:21">
      <c r="T875" s="8"/>
      <c r="U875" s="8"/>
    </row>
    <row r="876" spans="20:21">
      <c r="T876" s="8"/>
      <c r="U876" s="8"/>
    </row>
    <row r="877" spans="20:21">
      <c r="T877" s="8"/>
      <c r="U877" s="8"/>
    </row>
    <row r="878" spans="20:21">
      <c r="T878" s="8"/>
      <c r="U878" s="8"/>
    </row>
    <row r="879" spans="20:21">
      <c r="T879" s="8"/>
      <c r="U879" s="8"/>
    </row>
    <row r="880" spans="20:21">
      <c r="T880" s="8"/>
      <c r="U880" s="8"/>
    </row>
    <row r="881" spans="20:21">
      <c r="T881" s="8"/>
      <c r="U881" s="8"/>
    </row>
    <row r="882" spans="20:21">
      <c r="T882" s="8"/>
      <c r="U882" s="8"/>
    </row>
    <row r="883" spans="20:21">
      <c r="T883" s="8"/>
      <c r="U883" s="8"/>
    </row>
    <row r="884" spans="20:21">
      <c r="T884" s="8"/>
      <c r="U884" s="8"/>
    </row>
    <row r="885" spans="20:21">
      <c r="T885" s="8"/>
      <c r="U885" s="8"/>
    </row>
    <row r="886" spans="20:21">
      <c r="T886" s="8"/>
      <c r="U886" s="8"/>
    </row>
    <row r="887" spans="20:21">
      <c r="T887" s="8"/>
      <c r="U887" s="8"/>
    </row>
    <row r="888" spans="20:21">
      <c r="T888" s="8"/>
      <c r="U888" s="8"/>
    </row>
    <row r="889" spans="20:21">
      <c r="T889" s="8"/>
      <c r="U889" s="8"/>
    </row>
    <row r="890" spans="20:21">
      <c r="T890" s="8"/>
      <c r="U890" s="8"/>
    </row>
    <row r="891" spans="20:21">
      <c r="T891" s="8"/>
      <c r="U891" s="8"/>
    </row>
    <row r="892" spans="20:21">
      <c r="T892" s="8"/>
      <c r="U892" s="8"/>
    </row>
    <row r="893" spans="20:21">
      <c r="T893" s="8"/>
      <c r="U893" s="8"/>
    </row>
    <row r="894" spans="20:21">
      <c r="T894" s="8"/>
      <c r="U894" s="8"/>
    </row>
    <row r="895" spans="20:21">
      <c r="T895" s="8"/>
      <c r="U895" s="8"/>
    </row>
    <row r="896" spans="20:21">
      <c r="T896" s="8"/>
      <c r="U896" s="8"/>
    </row>
    <row r="897" spans="20:21">
      <c r="T897" s="8"/>
      <c r="U897" s="8"/>
    </row>
    <row r="898" spans="20:21">
      <c r="T898" s="8"/>
      <c r="U898" s="8"/>
    </row>
    <row r="899" spans="20:21">
      <c r="T899" s="8"/>
      <c r="U899" s="8"/>
    </row>
    <row r="900" spans="20:21">
      <c r="T900" s="8"/>
      <c r="U900" s="8"/>
    </row>
    <row r="901" spans="20:21">
      <c r="T901" s="8"/>
      <c r="U901" s="8"/>
    </row>
    <row r="902" spans="20:21">
      <c r="T902" s="8"/>
      <c r="U902" s="8"/>
    </row>
    <row r="903" spans="20:21">
      <c r="T903" s="8"/>
      <c r="U903" s="8"/>
    </row>
    <row r="904" spans="20:21">
      <c r="T904" s="8"/>
      <c r="U904" s="8"/>
    </row>
    <row r="905" spans="20:21">
      <c r="T905" s="8"/>
      <c r="U905" s="8"/>
    </row>
    <row r="906" spans="20:21">
      <c r="T906" s="8"/>
      <c r="U906" s="8"/>
    </row>
    <row r="907" spans="20:21">
      <c r="T907" s="8"/>
      <c r="U907" s="8"/>
    </row>
    <row r="908" spans="20:21">
      <c r="T908" s="8"/>
      <c r="U908" s="8"/>
    </row>
    <row r="909" spans="20:21">
      <c r="T909" s="8"/>
      <c r="U909" s="8"/>
    </row>
    <row r="910" spans="20:21">
      <c r="T910" s="8"/>
      <c r="U910" s="8"/>
    </row>
    <row r="911" spans="20:21">
      <c r="T911" s="8"/>
      <c r="U911" s="8"/>
    </row>
    <row r="912" spans="20:21">
      <c r="T912" s="8"/>
      <c r="U912" s="8"/>
    </row>
    <row r="913" spans="20:21">
      <c r="T913" s="8"/>
      <c r="U913" s="8"/>
    </row>
    <row r="914" spans="20:21">
      <c r="T914" s="8"/>
      <c r="U914" s="8"/>
    </row>
    <row r="915" spans="20:21">
      <c r="T915" s="8"/>
      <c r="U915" s="8"/>
    </row>
    <row r="916" spans="20:21">
      <c r="T916" s="8"/>
      <c r="U916" s="8"/>
    </row>
    <row r="917" spans="20:21">
      <c r="T917" s="8"/>
      <c r="U917" s="8"/>
    </row>
    <row r="918" spans="20:21">
      <c r="T918" s="8"/>
      <c r="U918" s="8"/>
    </row>
    <row r="919" spans="20:21">
      <c r="T919" s="8"/>
      <c r="U919" s="8"/>
    </row>
    <row r="920" spans="20:21">
      <c r="T920" s="8"/>
      <c r="U920" s="8"/>
    </row>
    <row r="921" spans="20:21">
      <c r="T921" s="8"/>
      <c r="U921" s="8"/>
    </row>
    <row r="922" spans="20:21">
      <c r="T922" s="8"/>
      <c r="U922" s="8"/>
    </row>
    <row r="923" spans="20:21">
      <c r="T923" s="8"/>
      <c r="U923" s="8"/>
    </row>
    <row r="924" spans="20:21">
      <c r="T924" s="8"/>
      <c r="U924" s="8"/>
    </row>
    <row r="925" spans="20:21">
      <c r="T925" s="8"/>
      <c r="U925" s="8"/>
    </row>
    <row r="926" spans="20:21">
      <c r="T926" s="8"/>
      <c r="U926" s="8"/>
    </row>
    <row r="927" spans="20:21">
      <c r="T927" s="8"/>
      <c r="U927" s="8"/>
    </row>
    <row r="928" spans="20:21">
      <c r="T928" s="8"/>
      <c r="U928" s="8"/>
    </row>
    <row r="929" spans="20:21">
      <c r="T929" s="8"/>
      <c r="U929" s="8"/>
    </row>
    <row r="930" spans="20:21">
      <c r="T930" s="8"/>
      <c r="U930" s="8"/>
    </row>
    <row r="931" spans="20:21">
      <c r="T931" s="8"/>
      <c r="U931" s="8"/>
    </row>
    <row r="932" spans="20:21">
      <c r="T932" s="8"/>
      <c r="U932" s="8"/>
    </row>
    <row r="933" spans="20:21">
      <c r="T933" s="8"/>
      <c r="U933" s="8"/>
    </row>
    <row r="934" spans="20:21">
      <c r="T934" s="8"/>
      <c r="U934" s="8"/>
    </row>
    <row r="935" spans="20:21">
      <c r="T935" s="8"/>
      <c r="U935" s="8"/>
    </row>
    <row r="936" spans="20:21">
      <c r="T936" s="8"/>
      <c r="U936" s="8"/>
    </row>
    <row r="937" spans="20:21">
      <c r="T937" s="8"/>
      <c r="U937" s="8"/>
    </row>
    <row r="938" spans="20:21">
      <c r="T938" s="8"/>
      <c r="U938" s="8"/>
    </row>
    <row r="939" spans="20:21">
      <c r="T939" s="8"/>
      <c r="U939" s="8"/>
    </row>
    <row r="940" spans="20:21">
      <c r="T940" s="8"/>
      <c r="U940" s="8"/>
    </row>
    <row r="941" spans="20:21">
      <c r="T941" s="8"/>
      <c r="U941" s="8"/>
    </row>
    <row r="942" spans="20:21">
      <c r="T942" s="8"/>
      <c r="U942" s="8"/>
    </row>
    <row r="943" spans="20:21">
      <c r="T943" s="8"/>
      <c r="U943" s="8"/>
    </row>
    <row r="944" spans="20:21">
      <c r="T944" s="8"/>
      <c r="U944" s="8"/>
    </row>
    <row r="945" spans="20:21">
      <c r="T945" s="8"/>
      <c r="U945" s="8"/>
    </row>
    <row r="946" spans="20:21">
      <c r="T946" s="8"/>
      <c r="U946" s="8"/>
    </row>
    <row r="947" spans="20:21">
      <c r="T947" s="8"/>
      <c r="U947" s="8"/>
    </row>
    <row r="948" spans="20:21">
      <c r="T948" s="8"/>
      <c r="U948" s="8"/>
    </row>
    <row r="949" spans="20:21">
      <c r="T949" s="8"/>
      <c r="U949" s="8"/>
    </row>
    <row r="950" spans="20:21">
      <c r="T950" s="8"/>
      <c r="U950" s="8"/>
    </row>
    <row r="951" spans="20:21">
      <c r="T951" s="8"/>
      <c r="U951" s="8"/>
    </row>
    <row r="952" spans="20:21">
      <c r="T952" s="8"/>
      <c r="U952" s="8"/>
    </row>
    <row r="953" spans="20:21">
      <c r="T953" s="8"/>
      <c r="U953" s="8"/>
    </row>
    <row r="954" spans="20:21">
      <c r="T954" s="8"/>
      <c r="U954" s="8"/>
    </row>
    <row r="955" spans="20:21">
      <c r="T955" s="8"/>
      <c r="U955" s="8"/>
    </row>
    <row r="956" spans="20:21">
      <c r="T956" s="8"/>
      <c r="U956" s="8"/>
    </row>
    <row r="957" spans="20:21">
      <c r="T957" s="8"/>
      <c r="U957" s="8"/>
    </row>
    <row r="958" spans="20:21">
      <c r="T958" s="8"/>
      <c r="U958" s="8"/>
    </row>
    <row r="959" spans="20:21">
      <c r="T959" s="8"/>
      <c r="U959" s="8"/>
    </row>
    <row r="960" spans="20:21">
      <c r="T960" s="8"/>
      <c r="U960" s="8"/>
    </row>
    <row r="961" spans="20:21">
      <c r="T961" s="8"/>
      <c r="U961" s="8"/>
    </row>
    <row r="962" spans="20:21">
      <c r="T962" s="8"/>
      <c r="U962" s="8"/>
    </row>
    <row r="963" spans="20:21">
      <c r="T963" s="8"/>
      <c r="U963" s="8"/>
    </row>
    <row r="964" spans="20:21">
      <c r="T964" s="8"/>
      <c r="U964" s="8"/>
    </row>
    <row r="965" spans="20:21">
      <c r="T965" s="8"/>
      <c r="U965" s="8"/>
    </row>
    <row r="966" spans="20:21">
      <c r="T966" s="8"/>
      <c r="U966" s="8"/>
    </row>
    <row r="967" spans="20:21">
      <c r="T967" s="8"/>
      <c r="U967" s="8"/>
    </row>
    <row r="968" spans="20:21">
      <c r="T968" s="8"/>
      <c r="U968" s="8"/>
    </row>
    <row r="969" spans="20:21">
      <c r="T969" s="8"/>
      <c r="U969" s="8"/>
    </row>
    <row r="970" spans="20:21">
      <c r="T970" s="8"/>
      <c r="U970" s="8"/>
    </row>
    <row r="971" spans="20:21">
      <c r="T971" s="8"/>
      <c r="U971" s="8"/>
    </row>
    <row r="972" spans="20:21">
      <c r="T972" s="8"/>
      <c r="U972" s="8"/>
    </row>
    <row r="973" spans="20:21">
      <c r="T973" s="8"/>
      <c r="U973" s="8"/>
    </row>
    <row r="974" spans="20:21">
      <c r="T974" s="8"/>
      <c r="U974" s="8"/>
    </row>
    <row r="975" spans="20:21">
      <c r="T975" s="8"/>
      <c r="U975" s="8"/>
    </row>
    <row r="976" spans="20:21">
      <c r="T976" s="8"/>
      <c r="U976" s="8"/>
    </row>
    <row r="977" spans="20:21">
      <c r="T977" s="8"/>
      <c r="U977" s="8"/>
    </row>
    <row r="978" spans="20:21">
      <c r="T978" s="8"/>
      <c r="U978" s="8"/>
    </row>
    <row r="979" spans="20:21">
      <c r="T979" s="8"/>
      <c r="U979" s="8"/>
    </row>
    <row r="980" spans="20:21">
      <c r="T980" s="8"/>
      <c r="U980" s="8"/>
    </row>
    <row r="981" spans="20:21">
      <c r="T981" s="8"/>
      <c r="U981" s="8"/>
    </row>
    <row r="982" spans="20:21">
      <c r="T982" s="8"/>
      <c r="U982" s="8"/>
    </row>
    <row r="983" spans="20:21">
      <c r="T983" s="8"/>
      <c r="U983" s="8"/>
    </row>
    <row r="984" spans="20:21">
      <c r="T984" s="8"/>
      <c r="U984" s="8"/>
    </row>
    <row r="985" spans="20:21">
      <c r="T985" s="8"/>
      <c r="U985" s="8"/>
    </row>
    <row r="986" spans="20:21">
      <c r="T986" s="8"/>
      <c r="U986" s="8"/>
    </row>
    <row r="987" spans="20:21">
      <c r="T987" s="8"/>
      <c r="U987" s="8"/>
    </row>
    <row r="988" spans="20:21">
      <c r="T988" s="8"/>
      <c r="U988" s="8"/>
    </row>
    <row r="989" spans="20:21">
      <c r="T989" s="8"/>
      <c r="U989" s="8"/>
    </row>
    <row r="990" spans="20:21">
      <c r="T990" s="8"/>
      <c r="U990" s="8"/>
    </row>
    <row r="991" spans="20:21">
      <c r="T991" s="8"/>
      <c r="U991" s="8"/>
    </row>
    <row r="992" spans="20:21">
      <c r="T992" s="8"/>
      <c r="U992" s="8"/>
    </row>
    <row r="993" spans="20:21">
      <c r="T993" s="8"/>
      <c r="U993" s="8"/>
    </row>
    <row r="994" spans="20:21">
      <c r="T994" s="8"/>
      <c r="U994" s="8"/>
    </row>
    <row r="995" spans="20:21">
      <c r="T995" s="8"/>
      <c r="U995" s="8"/>
    </row>
    <row r="996" spans="20:21">
      <c r="T996" s="8"/>
      <c r="U996" s="8"/>
    </row>
    <row r="997" spans="20:21">
      <c r="T997" s="8"/>
      <c r="U997" s="8"/>
    </row>
    <row r="998" spans="20:21">
      <c r="T998" s="8"/>
      <c r="U998" s="8"/>
    </row>
    <row r="999" spans="20:21">
      <c r="T999" s="8"/>
      <c r="U999" s="8"/>
    </row>
    <row r="1000" spans="20:21">
      <c r="T1000" s="8"/>
      <c r="U1000" s="8"/>
    </row>
    <row r="1001" spans="20:21">
      <c r="T1001" s="8"/>
      <c r="U1001" s="8"/>
    </row>
    <row r="1002" spans="20:21">
      <c r="T1002" s="8"/>
      <c r="U1002" s="8"/>
    </row>
    <row r="1003" spans="20:21">
      <c r="T1003" s="8"/>
      <c r="U1003" s="8"/>
    </row>
    <row r="1004" spans="20:21">
      <c r="T1004" s="8"/>
      <c r="U1004" s="8"/>
    </row>
    <row r="1005" spans="20:21">
      <c r="T1005" s="8"/>
      <c r="U1005" s="8"/>
    </row>
    <row r="1006" spans="20:21">
      <c r="T1006" s="8"/>
      <c r="U1006" s="8"/>
    </row>
    <row r="1007" spans="20:21">
      <c r="T1007" s="8"/>
      <c r="U1007" s="8"/>
    </row>
    <row r="1008" spans="20:21">
      <c r="T1008" s="8"/>
      <c r="U1008" s="8"/>
    </row>
    <row r="1009" spans="20:21">
      <c r="T1009" s="8"/>
      <c r="U1009" s="8"/>
    </row>
    <row r="1010" spans="20:21">
      <c r="T1010" s="8"/>
      <c r="U1010" s="8"/>
    </row>
    <row r="1011" spans="20:21">
      <c r="T1011" s="8"/>
      <c r="U1011" s="8"/>
    </row>
    <row r="1012" spans="20:21">
      <c r="T1012" s="8"/>
      <c r="U1012" s="8"/>
    </row>
    <row r="1013" spans="20:21">
      <c r="T1013" s="8"/>
      <c r="U1013" s="8"/>
    </row>
    <row r="1014" spans="20:21">
      <c r="T1014" s="8"/>
      <c r="U1014" s="8"/>
    </row>
    <row r="1015" spans="20:21">
      <c r="T1015" s="8"/>
      <c r="U1015" s="8"/>
    </row>
    <row r="1016" spans="20:21">
      <c r="T1016" s="8"/>
      <c r="U1016" s="8"/>
    </row>
    <row r="1017" spans="20:21">
      <c r="T1017" s="8"/>
      <c r="U1017" s="8"/>
    </row>
    <row r="1018" spans="20:21">
      <c r="T1018" s="8"/>
      <c r="U1018" s="8"/>
    </row>
    <row r="1019" spans="20:21">
      <c r="T1019" s="8"/>
      <c r="U1019" s="8"/>
    </row>
    <row r="1020" spans="20:21">
      <c r="T1020" s="8"/>
      <c r="U1020" s="8"/>
    </row>
    <row r="1021" spans="20:21">
      <c r="T1021" s="8"/>
      <c r="U1021" s="8"/>
    </row>
    <row r="1022" spans="20:21">
      <c r="T1022" s="8"/>
      <c r="U1022" s="8"/>
    </row>
    <row r="1023" spans="20:21">
      <c r="T1023" s="8"/>
      <c r="U1023" s="8"/>
    </row>
    <row r="1024" spans="20:21">
      <c r="T1024" s="8"/>
      <c r="U1024" s="8"/>
    </row>
    <row r="1025" spans="20:21">
      <c r="T1025" s="8"/>
      <c r="U1025" s="8"/>
    </row>
    <row r="1026" spans="20:21">
      <c r="T1026" s="8"/>
      <c r="U1026" s="8"/>
    </row>
    <row r="1027" spans="20:21">
      <c r="T1027" s="8"/>
      <c r="U1027" s="8"/>
    </row>
    <row r="1028" spans="20:21">
      <c r="T1028" s="8"/>
      <c r="U1028" s="8"/>
    </row>
    <row r="1029" spans="20:21">
      <c r="T1029" s="8"/>
      <c r="U1029" s="8"/>
    </row>
    <row r="1030" spans="20:21">
      <c r="T1030" s="8"/>
      <c r="U1030" s="8"/>
    </row>
    <row r="1031" spans="20:21">
      <c r="T1031" s="8"/>
      <c r="U1031" s="8"/>
    </row>
    <row r="1032" spans="20:21">
      <c r="T1032" s="8"/>
      <c r="U1032" s="8"/>
    </row>
    <row r="1033" spans="20:21">
      <c r="T1033" s="8"/>
      <c r="U1033" s="8"/>
    </row>
    <row r="1034" spans="20:21">
      <c r="T1034" s="8"/>
      <c r="U1034" s="8"/>
    </row>
    <row r="1035" spans="20:21">
      <c r="T1035" s="8"/>
      <c r="U1035" s="8"/>
    </row>
    <row r="1036" spans="20:21">
      <c r="T1036" s="8"/>
      <c r="U1036" s="8"/>
    </row>
    <row r="1037" spans="20:21">
      <c r="T1037" s="8"/>
      <c r="U1037" s="8"/>
    </row>
    <row r="1038" spans="20:21">
      <c r="T1038" s="8"/>
      <c r="U1038" s="8"/>
    </row>
    <row r="1039" spans="20:21">
      <c r="T1039" s="8"/>
      <c r="U1039" s="8"/>
    </row>
    <row r="1040" spans="20:21">
      <c r="T1040" s="8"/>
      <c r="U1040" s="8"/>
    </row>
    <row r="1041" spans="20:21">
      <c r="T1041" s="8"/>
      <c r="U1041" s="8"/>
    </row>
    <row r="1042" spans="20:21">
      <c r="T1042" s="8"/>
      <c r="U1042" s="8"/>
    </row>
    <row r="1043" spans="20:21">
      <c r="T1043" s="8"/>
      <c r="U1043" s="8"/>
    </row>
    <row r="1044" spans="20:21">
      <c r="T1044" s="8"/>
      <c r="U1044" s="8"/>
    </row>
    <row r="1045" spans="20:21">
      <c r="T1045" s="8"/>
      <c r="U1045" s="8"/>
    </row>
    <row r="1046" spans="20:21">
      <c r="T1046" s="8"/>
      <c r="U1046" s="8"/>
    </row>
    <row r="1047" spans="20:21">
      <c r="T1047" s="8"/>
      <c r="U1047" s="8"/>
    </row>
    <row r="1048" spans="20:21">
      <c r="T1048" s="8"/>
      <c r="U1048" s="8"/>
    </row>
    <row r="1049" spans="20:21">
      <c r="T1049" s="8"/>
      <c r="U1049" s="8"/>
    </row>
    <row r="1050" spans="20:21">
      <c r="T1050" s="8"/>
      <c r="U1050" s="8"/>
    </row>
    <row r="1051" spans="20:21">
      <c r="T1051" s="8"/>
      <c r="U1051" s="8"/>
    </row>
    <row r="1052" spans="20:21">
      <c r="T1052" s="8"/>
      <c r="U1052" s="8"/>
    </row>
    <row r="1053" spans="20:21">
      <c r="T1053" s="8"/>
      <c r="U1053" s="8"/>
    </row>
    <row r="1054" spans="20:21">
      <c r="T1054" s="8"/>
      <c r="U1054" s="8"/>
    </row>
    <row r="1055" spans="20:21">
      <c r="T1055" s="8"/>
      <c r="U1055" s="8"/>
    </row>
    <row r="1056" spans="20:21">
      <c r="T1056" s="8"/>
      <c r="U1056" s="8"/>
    </row>
    <row r="1057" spans="20:21">
      <c r="T1057" s="8"/>
      <c r="U1057" s="8"/>
    </row>
    <row r="1058" spans="20:21">
      <c r="T1058" s="8"/>
      <c r="U1058" s="8"/>
    </row>
    <row r="1059" spans="20:21">
      <c r="T1059" s="8"/>
      <c r="U1059" s="8"/>
    </row>
    <row r="1060" spans="20:21">
      <c r="T1060" s="8"/>
      <c r="U1060" s="8"/>
    </row>
    <row r="1061" spans="20:21">
      <c r="T1061" s="8"/>
      <c r="U1061" s="8"/>
    </row>
    <row r="1062" spans="20:21">
      <c r="T1062" s="8"/>
      <c r="U1062" s="8"/>
    </row>
    <row r="1063" spans="20:21">
      <c r="T1063" s="8"/>
      <c r="U1063" s="8"/>
    </row>
    <row r="1064" spans="20:21">
      <c r="T1064" s="8"/>
      <c r="U1064" s="8"/>
    </row>
    <row r="1065" spans="20:21">
      <c r="T1065" s="8"/>
      <c r="U1065" s="8"/>
    </row>
    <row r="1066" spans="20:21">
      <c r="T1066" s="8"/>
      <c r="U1066" s="8"/>
    </row>
    <row r="1067" spans="20:21">
      <c r="T1067" s="8"/>
      <c r="U1067" s="8"/>
    </row>
    <row r="1068" spans="20:21">
      <c r="T1068" s="8"/>
      <c r="U1068" s="8"/>
    </row>
    <row r="1069" spans="20:21">
      <c r="T1069" s="8"/>
      <c r="U1069" s="8"/>
    </row>
    <row r="1070" spans="20:21">
      <c r="T1070" s="8"/>
      <c r="U1070" s="8"/>
    </row>
    <row r="1071" spans="20:21">
      <c r="T1071" s="8"/>
      <c r="U1071" s="8"/>
    </row>
    <row r="1072" spans="20:21">
      <c r="T1072" s="8"/>
      <c r="U1072" s="8"/>
    </row>
    <row r="1073" spans="20:21">
      <c r="T1073" s="8"/>
      <c r="U1073" s="8"/>
    </row>
    <row r="1074" spans="20:21">
      <c r="T1074" s="8"/>
      <c r="U1074" s="8"/>
    </row>
    <row r="1075" spans="20:21">
      <c r="T1075" s="8"/>
      <c r="U1075" s="8"/>
    </row>
    <row r="1076" spans="20:21">
      <c r="T1076" s="8"/>
      <c r="U1076" s="8"/>
    </row>
    <row r="1077" spans="20:21">
      <c r="T1077" s="8"/>
      <c r="U1077" s="8"/>
    </row>
    <row r="1078" spans="20:21">
      <c r="T1078" s="8"/>
      <c r="U1078" s="8"/>
    </row>
    <row r="1079" spans="20:21">
      <c r="T1079" s="8"/>
      <c r="U1079" s="8"/>
    </row>
    <row r="1080" spans="20:21">
      <c r="T1080" s="8"/>
      <c r="U1080" s="8"/>
    </row>
    <row r="1081" spans="20:21">
      <c r="T1081" s="8"/>
      <c r="U1081" s="8"/>
    </row>
    <row r="1082" spans="20:21">
      <c r="T1082" s="8"/>
      <c r="U1082" s="8"/>
    </row>
    <row r="1083" spans="20:21">
      <c r="T1083" s="8"/>
      <c r="U1083" s="8"/>
    </row>
    <row r="1084" spans="20:21">
      <c r="T1084" s="8"/>
      <c r="U1084" s="8"/>
    </row>
    <row r="1085" spans="20:21">
      <c r="T1085" s="8"/>
      <c r="U1085" s="8"/>
    </row>
    <row r="1086" spans="20:21">
      <c r="T1086" s="8"/>
      <c r="U1086" s="8"/>
    </row>
    <row r="1087" spans="20:21">
      <c r="T1087" s="8"/>
      <c r="U1087" s="8"/>
    </row>
    <row r="1088" spans="20:21">
      <c r="T1088" s="8"/>
      <c r="U1088" s="8"/>
    </row>
    <row r="1089" spans="20:21">
      <c r="T1089" s="8"/>
      <c r="U1089" s="8"/>
    </row>
    <row r="1090" spans="20:21">
      <c r="T1090" s="8"/>
      <c r="U1090" s="8"/>
    </row>
    <row r="1091" spans="20:21">
      <c r="T1091" s="8"/>
      <c r="U1091" s="8"/>
    </row>
    <row r="1092" spans="20:21">
      <c r="T1092" s="8"/>
      <c r="U1092" s="8"/>
    </row>
    <row r="1093" spans="20:21">
      <c r="T1093" s="8"/>
      <c r="U1093" s="8"/>
    </row>
    <row r="1094" spans="20:21">
      <c r="T1094" s="8"/>
      <c r="U1094" s="8"/>
    </row>
    <row r="1095" spans="20:21">
      <c r="T1095" s="8"/>
      <c r="U1095" s="8"/>
    </row>
    <row r="1096" spans="20:21">
      <c r="T1096" s="8"/>
      <c r="U1096" s="8"/>
    </row>
    <row r="1097" spans="20:21">
      <c r="T1097" s="8"/>
      <c r="U1097" s="8"/>
    </row>
    <row r="1098" spans="20:21">
      <c r="T1098" s="8"/>
      <c r="U1098" s="8"/>
    </row>
    <row r="1099" spans="20:21">
      <c r="T1099" s="8"/>
      <c r="U1099" s="8"/>
    </row>
    <row r="1100" spans="20:21">
      <c r="T1100" s="8"/>
      <c r="U1100" s="8"/>
    </row>
    <row r="1101" spans="20:21">
      <c r="T1101" s="8"/>
      <c r="U1101" s="8"/>
    </row>
    <row r="1102" spans="20:21">
      <c r="T1102" s="8"/>
      <c r="U1102" s="8"/>
    </row>
    <row r="1103" spans="20:21">
      <c r="T1103" s="8"/>
      <c r="U1103" s="8"/>
    </row>
    <row r="1104" spans="20:21">
      <c r="T1104" s="8"/>
      <c r="U1104" s="8"/>
    </row>
    <row r="1105" spans="20:21">
      <c r="T1105" s="8"/>
      <c r="U1105" s="8"/>
    </row>
    <row r="1106" spans="20:21">
      <c r="T1106" s="8"/>
      <c r="U1106" s="8"/>
    </row>
    <row r="1107" spans="20:21">
      <c r="T1107" s="8"/>
      <c r="U1107" s="8"/>
    </row>
    <row r="1108" spans="20:21">
      <c r="T1108" s="8"/>
      <c r="U1108" s="8"/>
    </row>
    <row r="1109" spans="20:21">
      <c r="T1109" s="8"/>
      <c r="U1109" s="8"/>
    </row>
    <row r="1110" spans="20:21">
      <c r="T1110" s="8"/>
      <c r="U1110" s="8"/>
    </row>
    <row r="1111" spans="20:21">
      <c r="T1111" s="8"/>
      <c r="U1111" s="8"/>
    </row>
    <row r="1112" spans="20:21">
      <c r="T1112" s="8"/>
      <c r="U1112" s="8"/>
    </row>
    <row r="1113" spans="20:21">
      <c r="T1113" s="8"/>
      <c r="U1113" s="8"/>
    </row>
    <row r="1114" spans="20:21">
      <c r="T1114" s="8"/>
      <c r="U1114" s="8"/>
    </row>
    <row r="1115" spans="20:21">
      <c r="T1115" s="8"/>
      <c r="U1115" s="8"/>
    </row>
    <row r="1116" spans="20:21">
      <c r="T1116" s="8"/>
      <c r="U1116" s="8"/>
    </row>
    <row r="1117" spans="20:21">
      <c r="T1117" s="8"/>
      <c r="U1117" s="8"/>
    </row>
    <row r="1118" spans="20:21">
      <c r="T1118" s="8"/>
      <c r="U1118" s="8"/>
    </row>
    <row r="1119" spans="20:21">
      <c r="T1119" s="8"/>
      <c r="U1119" s="8"/>
    </row>
    <row r="1120" spans="20:21">
      <c r="T1120" s="8"/>
      <c r="U1120" s="8"/>
    </row>
    <row r="1121" spans="20:21">
      <c r="T1121" s="8"/>
      <c r="U1121" s="8"/>
    </row>
    <row r="1122" spans="20:21">
      <c r="T1122" s="8"/>
      <c r="U1122" s="8"/>
    </row>
    <row r="1123" spans="20:21">
      <c r="T1123" s="8"/>
      <c r="U1123" s="8"/>
    </row>
    <row r="1124" spans="20:21">
      <c r="T1124" s="8"/>
      <c r="U1124" s="8"/>
    </row>
    <row r="1125" spans="20:21">
      <c r="T1125" s="8"/>
      <c r="U1125" s="8"/>
    </row>
    <row r="1126" spans="20:21">
      <c r="T1126" s="8"/>
      <c r="U1126" s="8"/>
    </row>
    <row r="1127" spans="20:21">
      <c r="T1127" s="8"/>
      <c r="U1127" s="8"/>
    </row>
    <row r="1128" spans="20:21">
      <c r="T1128" s="8"/>
      <c r="U1128" s="8"/>
    </row>
    <row r="1129" spans="20:21">
      <c r="T1129" s="8"/>
      <c r="U1129" s="8"/>
    </row>
    <row r="1130" spans="20:21">
      <c r="T1130" s="8"/>
      <c r="U1130" s="8"/>
    </row>
    <row r="1131" spans="20:21">
      <c r="T1131" s="8"/>
      <c r="U1131" s="8"/>
    </row>
    <row r="1132" spans="20:21">
      <c r="T1132" s="8"/>
      <c r="U1132" s="8"/>
    </row>
    <row r="1133" spans="20:21">
      <c r="T1133" s="8"/>
      <c r="U1133" s="8"/>
    </row>
    <row r="1134" spans="20:21">
      <c r="T1134" s="8"/>
      <c r="U1134" s="8"/>
    </row>
    <row r="1135" spans="20:21">
      <c r="T1135" s="8"/>
      <c r="U1135" s="8"/>
    </row>
    <row r="1136" spans="20:21">
      <c r="T1136" s="8"/>
      <c r="U1136" s="8"/>
    </row>
    <row r="1137" spans="20:21">
      <c r="T1137" s="8"/>
      <c r="U1137" s="8"/>
    </row>
    <row r="1138" spans="20:21">
      <c r="T1138" s="8"/>
      <c r="U1138" s="8"/>
    </row>
    <row r="1139" spans="20:21">
      <c r="T1139" s="8"/>
      <c r="U1139" s="8"/>
    </row>
    <row r="1140" spans="20:21">
      <c r="T1140" s="8"/>
      <c r="U1140" s="8"/>
    </row>
    <row r="1141" spans="20:21">
      <c r="T1141" s="8"/>
      <c r="U1141" s="8"/>
    </row>
    <row r="1142" spans="20:21">
      <c r="T1142" s="8"/>
      <c r="U1142" s="8"/>
    </row>
    <row r="1143" spans="20:21">
      <c r="T1143" s="8"/>
      <c r="U1143" s="8"/>
    </row>
    <row r="1144" spans="20:21">
      <c r="T1144" s="8"/>
      <c r="U1144" s="8"/>
    </row>
    <row r="1145" spans="20:21">
      <c r="T1145" s="8"/>
      <c r="U1145" s="8"/>
    </row>
    <row r="1146" spans="20:21">
      <c r="T1146" s="8"/>
      <c r="U1146" s="8"/>
    </row>
    <row r="1147" spans="20:21">
      <c r="T1147" s="8"/>
      <c r="U1147" s="8"/>
    </row>
    <row r="1148" spans="20:21">
      <c r="T1148" s="8"/>
      <c r="U1148" s="8"/>
    </row>
    <row r="1149" spans="20:21">
      <c r="T1149" s="8"/>
      <c r="U1149" s="8"/>
    </row>
    <row r="1150" spans="20:21">
      <c r="T1150" s="8"/>
      <c r="U1150" s="8"/>
    </row>
    <row r="1151" spans="20:21">
      <c r="T1151" s="8"/>
      <c r="U1151" s="8"/>
    </row>
    <row r="1152" spans="20:21">
      <c r="T1152" s="8"/>
      <c r="U1152" s="8"/>
    </row>
    <row r="1153" spans="20:21">
      <c r="T1153" s="8"/>
      <c r="U1153" s="8"/>
    </row>
    <row r="1154" spans="20:21">
      <c r="T1154" s="8"/>
      <c r="U1154" s="8"/>
    </row>
    <row r="1155" spans="20:21">
      <c r="T1155" s="8"/>
      <c r="U1155" s="8"/>
    </row>
    <row r="1156" spans="20:21">
      <c r="T1156" s="8"/>
      <c r="U1156" s="8"/>
    </row>
    <row r="1157" spans="20:21">
      <c r="T1157" s="8"/>
      <c r="U1157" s="8"/>
    </row>
    <row r="1158" spans="20:21">
      <c r="T1158" s="8"/>
      <c r="U1158" s="8"/>
    </row>
    <row r="1159" spans="20:21">
      <c r="T1159" s="8"/>
      <c r="U1159" s="8"/>
    </row>
    <row r="1160" spans="20:21">
      <c r="T1160" s="8"/>
      <c r="U1160" s="8"/>
    </row>
    <row r="1161" spans="20:21">
      <c r="T1161" s="8"/>
      <c r="U1161" s="8"/>
    </row>
    <row r="1162" spans="20:21">
      <c r="T1162" s="8"/>
      <c r="U1162" s="8"/>
    </row>
    <row r="1163" spans="20:21">
      <c r="T1163" s="8"/>
      <c r="U1163" s="8"/>
    </row>
    <row r="1164" spans="20:21">
      <c r="T1164" s="8"/>
      <c r="U1164" s="8"/>
    </row>
    <row r="1165" spans="20:21">
      <c r="T1165" s="8"/>
      <c r="U1165" s="8"/>
    </row>
    <row r="1166" spans="20:21">
      <c r="T1166" s="8"/>
      <c r="U1166" s="8"/>
    </row>
    <row r="1167" spans="20:21">
      <c r="T1167" s="8"/>
      <c r="U1167" s="8"/>
    </row>
    <row r="1168" spans="20:21">
      <c r="T1168" s="8"/>
      <c r="U1168" s="8"/>
    </row>
    <row r="1169" spans="20:21">
      <c r="T1169" s="8"/>
      <c r="U1169" s="8"/>
    </row>
    <row r="1170" spans="20:21">
      <c r="T1170" s="8"/>
      <c r="U1170" s="8"/>
    </row>
    <row r="1171" spans="20:21">
      <c r="T1171" s="8"/>
      <c r="U1171" s="8"/>
    </row>
    <row r="1172" spans="20:21">
      <c r="T1172" s="8"/>
      <c r="U1172" s="8"/>
    </row>
    <row r="1173" spans="20:21">
      <c r="T1173" s="8"/>
      <c r="U1173" s="8"/>
    </row>
    <row r="1174" spans="20:21">
      <c r="T1174" s="8"/>
      <c r="U1174" s="8"/>
    </row>
    <row r="1175" spans="20:21">
      <c r="T1175" s="8"/>
      <c r="U1175" s="8"/>
    </row>
    <row r="1176" spans="20:21">
      <c r="T1176" s="8"/>
      <c r="U1176" s="8"/>
    </row>
    <row r="1177" spans="20:21">
      <c r="T1177" s="8"/>
      <c r="U1177" s="8"/>
    </row>
    <row r="1178" spans="20:21">
      <c r="T1178" s="8"/>
      <c r="U1178" s="8"/>
    </row>
    <row r="1179" spans="20:21">
      <c r="T1179" s="8"/>
      <c r="U1179" s="8"/>
    </row>
    <row r="1180" spans="20:21">
      <c r="T1180" s="8"/>
      <c r="U1180" s="8"/>
    </row>
    <row r="1181" spans="20:21">
      <c r="T1181" s="8"/>
      <c r="U1181" s="8"/>
    </row>
    <row r="1182" spans="20:21">
      <c r="T1182" s="8"/>
      <c r="U1182" s="8"/>
    </row>
    <row r="1183" spans="20:21">
      <c r="T1183" s="8"/>
      <c r="U1183" s="8"/>
    </row>
    <row r="1184" spans="20:21">
      <c r="T1184" s="8"/>
      <c r="U1184" s="8"/>
    </row>
    <row r="1185" spans="20:21">
      <c r="T1185" s="8"/>
      <c r="U1185" s="8"/>
    </row>
    <row r="1186" spans="20:21">
      <c r="T1186" s="8"/>
      <c r="U1186" s="8"/>
    </row>
    <row r="1187" spans="20:21">
      <c r="T1187" s="8"/>
      <c r="U1187" s="8"/>
    </row>
    <row r="1188" spans="20:21">
      <c r="T1188" s="8"/>
      <c r="U1188" s="8"/>
    </row>
    <row r="1189" spans="20:21">
      <c r="T1189" s="8"/>
      <c r="U1189" s="8"/>
    </row>
    <row r="1190" spans="20:21">
      <c r="T1190" s="8"/>
      <c r="U1190" s="8"/>
    </row>
    <row r="1191" spans="20:21">
      <c r="T1191" s="8"/>
      <c r="U1191" s="8"/>
    </row>
    <row r="1192" spans="20:21">
      <c r="T1192" s="8"/>
      <c r="U1192" s="8"/>
    </row>
    <row r="1193" spans="20:21">
      <c r="T1193" s="8"/>
      <c r="U1193" s="8"/>
    </row>
    <row r="1194" spans="20:21">
      <c r="T1194" s="8"/>
      <c r="U1194" s="8"/>
    </row>
    <row r="1195" spans="20:21">
      <c r="T1195" s="8"/>
      <c r="U1195" s="8"/>
    </row>
    <row r="1196" spans="20:21">
      <c r="T1196" s="8"/>
      <c r="U1196" s="8"/>
    </row>
    <row r="1197" spans="20:21">
      <c r="T1197" s="8"/>
      <c r="U1197" s="8"/>
    </row>
    <row r="1198" spans="20:21">
      <c r="T1198" s="8"/>
      <c r="U1198" s="8"/>
    </row>
    <row r="1199" spans="20:21">
      <c r="T1199" s="8"/>
      <c r="U1199" s="8"/>
    </row>
    <row r="1200" spans="20:21">
      <c r="T1200" s="8"/>
      <c r="U1200" s="8"/>
    </row>
    <row r="1201" spans="20:21">
      <c r="T1201" s="8"/>
      <c r="U1201" s="8"/>
    </row>
    <row r="1202" spans="20:21">
      <c r="T1202" s="8"/>
      <c r="U1202" s="8"/>
    </row>
    <row r="1203" spans="20:21">
      <c r="T1203" s="8"/>
      <c r="U1203" s="8"/>
    </row>
    <row r="1204" spans="20:21">
      <c r="T1204" s="8"/>
      <c r="U1204" s="8"/>
    </row>
    <row r="1205" spans="20:21">
      <c r="T1205" s="8"/>
      <c r="U1205" s="8"/>
    </row>
    <row r="1206" spans="20:21">
      <c r="T1206" s="8"/>
      <c r="U1206" s="8"/>
    </row>
    <row r="1207" spans="20:21">
      <c r="T1207" s="8"/>
      <c r="U1207" s="8"/>
    </row>
    <row r="1208" spans="20:21">
      <c r="T1208" s="8"/>
      <c r="U1208" s="8"/>
    </row>
    <row r="1209" spans="20:21">
      <c r="T1209" s="8"/>
      <c r="U1209" s="8"/>
    </row>
    <row r="1210" spans="20:21">
      <c r="T1210" s="8"/>
      <c r="U1210" s="8"/>
    </row>
    <row r="1211" spans="20:21">
      <c r="T1211" s="8"/>
      <c r="U1211" s="8"/>
    </row>
    <row r="1212" spans="20:21">
      <c r="T1212" s="8"/>
      <c r="U1212" s="8"/>
    </row>
    <row r="1213" spans="20:21">
      <c r="T1213" s="8"/>
      <c r="U1213" s="8"/>
    </row>
    <row r="1214" spans="20:21">
      <c r="T1214" s="8"/>
      <c r="U1214" s="8"/>
    </row>
    <row r="1215" spans="20:21">
      <c r="T1215" s="8"/>
      <c r="U1215" s="8"/>
    </row>
    <row r="1216" spans="20:21">
      <c r="T1216" s="8"/>
      <c r="U1216" s="8"/>
    </row>
    <row r="1217" spans="20:21">
      <c r="T1217" s="8"/>
      <c r="U1217" s="8"/>
    </row>
    <row r="1218" spans="20:21">
      <c r="T1218" s="8"/>
      <c r="U1218" s="8"/>
    </row>
    <row r="1219" spans="20:21">
      <c r="T1219" s="8"/>
      <c r="U1219" s="8"/>
    </row>
    <row r="1220" spans="20:21">
      <c r="T1220" s="8"/>
      <c r="U1220" s="8"/>
    </row>
    <row r="1221" spans="20:21">
      <c r="T1221" s="8"/>
      <c r="U1221" s="8"/>
    </row>
    <row r="1222" spans="20:21">
      <c r="T1222" s="8"/>
      <c r="U1222" s="8"/>
    </row>
    <row r="1223" spans="20:21">
      <c r="T1223" s="8"/>
      <c r="U1223" s="8"/>
    </row>
    <row r="1224" spans="20:21">
      <c r="T1224" s="8"/>
      <c r="U1224" s="8"/>
    </row>
    <row r="1225" spans="20:21">
      <c r="T1225" s="8"/>
      <c r="U1225" s="8"/>
    </row>
    <row r="1226" spans="20:21">
      <c r="T1226" s="8"/>
      <c r="U1226" s="8"/>
    </row>
    <row r="1227" spans="20:21">
      <c r="T1227" s="8"/>
      <c r="U1227" s="8"/>
    </row>
    <row r="1228" spans="20:21">
      <c r="T1228" s="8"/>
      <c r="U1228" s="8"/>
    </row>
    <row r="1229" spans="20:21">
      <c r="T1229" s="8"/>
      <c r="U1229" s="8"/>
    </row>
    <row r="1230" spans="20:21">
      <c r="T1230" s="8"/>
      <c r="U1230" s="8"/>
    </row>
    <row r="1231" spans="20:21">
      <c r="T1231" s="8"/>
      <c r="U1231" s="8"/>
    </row>
    <row r="1232" spans="20:21">
      <c r="T1232" s="8"/>
      <c r="U1232" s="8"/>
    </row>
    <row r="1233" spans="20:21">
      <c r="T1233" s="8"/>
      <c r="U1233" s="8"/>
    </row>
    <row r="1234" spans="20:21">
      <c r="T1234" s="8"/>
      <c r="U1234" s="8"/>
    </row>
    <row r="1235" spans="20:21">
      <c r="T1235" s="8"/>
      <c r="U1235" s="8"/>
    </row>
    <row r="1236" spans="20:21">
      <c r="T1236" s="8"/>
      <c r="U1236" s="8"/>
    </row>
    <row r="1237" spans="20:21">
      <c r="T1237" s="8"/>
      <c r="U1237" s="8"/>
    </row>
    <row r="1238" spans="20:21">
      <c r="T1238" s="8"/>
      <c r="U1238" s="8"/>
    </row>
    <row r="1239" spans="20:21">
      <c r="T1239" s="8"/>
      <c r="U1239" s="8"/>
    </row>
    <row r="1240" spans="20:21">
      <c r="T1240" s="8"/>
      <c r="U1240" s="8"/>
    </row>
    <row r="1241" spans="20:21">
      <c r="T1241" s="8"/>
      <c r="U1241" s="8"/>
    </row>
    <row r="1242" spans="20:21">
      <c r="T1242" s="8"/>
      <c r="U1242" s="8"/>
    </row>
    <row r="1243" spans="20:21">
      <c r="T1243" s="8"/>
      <c r="U1243" s="8"/>
    </row>
    <row r="1244" spans="20:21">
      <c r="T1244" s="8"/>
      <c r="U1244" s="8"/>
    </row>
    <row r="1245" spans="20:21">
      <c r="T1245" s="8"/>
      <c r="U1245" s="8"/>
    </row>
    <row r="1246" spans="20:21">
      <c r="T1246" s="8"/>
      <c r="U1246" s="8"/>
    </row>
    <row r="1247" spans="20:21">
      <c r="T1247" s="8"/>
      <c r="U1247" s="8"/>
    </row>
    <row r="1248" spans="20:21">
      <c r="T1248" s="8"/>
      <c r="U1248" s="8"/>
    </row>
    <row r="1249" spans="20:21">
      <c r="T1249" s="8"/>
      <c r="U1249" s="8"/>
    </row>
    <row r="1250" spans="20:21">
      <c r="T1250" s="8"/>
      <c r="U1250" s="8"/>
    </row>
    <row r="1251" spans="20:21">
      <c r="T1251" s="8"/>
      <c r="U1251" s="8"/>
    </row>
    <row r="1252" spans="20:21">
      <c r="T1252" s="8"/>
      <c r="U1252" s="8"/>
    </row>
    <row r="1253" spans="20:21">
      <c r="T1253" s="8"/>
      <c r="U1253" s="8"/>
    </row>
    <row r="1254" spans="20:21">
      <c r="T1254" s="8"/>
      <c r="U1254" s="8"/>
    </row>
    <row r="1255" spans="20:21">
      <c r="T1255" s="8"/>
      <c r="U1255" s="8"/>
    </row>
    <row r="1256" spans="20:21">
      <c r="T1256" s="8"/>
      <c r="U1256" s="8"/>
    </row>
    <row r="1257" spans="20:21">
      <c r="T1257" s="8"/>
      <c r="U1257" s="8"/>
    </row>
    <row r="1258" spans="20:21">
      <c r="T1258" s="8"/>
      <c r="U1258" s="8"/>
    </row>
    <row r="1259" spans="20:21">
      <c r="T1259" s="8"/>
      <c r="U1259" s="8"/>
    </row>
    <row r="1260" spans="20:21">
      <c r="T1260" s="8"/>
      <c r="U1260" s="8"/>
    </row>
    <row r="1261" spans="20:21">
      <c r="T1261" s="8"/>
      <c r="U1261" s="8"/>
    </row>
    <row r="1262" spans="20:21">
      <c r="T1262" s="8"/>
      <c r="U1262" s="8"/>
    </row>
    <row r="1263" spans="20:21">
      <c r="T1263" s="8"/>
      <c r="U1263" s="8"/>
    </row>
    <row r="1264" spans="20:21">
      <c r="T1264" s="8"/>
      <c r="U1264" s="8"/>
    </row>
    <row r="1265" spans="20:21">
      <c r="T1265" s="8"/>
      <c r="U1265" s="8"/>
    </row>
    <row r="1266" spans="20:21">
      <c r="T1266" s="8"/>
      <c r="U1266" s="8"/>
    </row>
    <row r="1267" spans="20:21">
      <c r="T1267" s="8"/>
      <c r="U1267" s="8"/>
    </row>
    <row r="1268" spans="20:21">
      <c r="T1268" s="8"/>
      <c r="U1268" s="8"/>
    </row>
    <row r="1269" spans="20:21">
      <c r="T1269" s="8"/>
      <c r="U1269" s="8"/>
    </row>
    <row r="1270" spans="20:21">
      <c r="T1270" s="8"/>
      <c r="U1270" s="8"/>
    </row>
    <row r="1271" spans="20:21">
      <c r="T1271" s="8"/>
      <c r="U1271" s="8"/>
    </row>
    <row r="1272" spans="20:21">
      <c r="T1272" s="8"/>
      <c r="U1272" s="8"/>
    </row>
    <row r="1273" spans="20:21">
      <c r="T1273" s="8"/>
      <c r="U1273" s="8"/>
    </row>
    <row r="1274" spans="20:21">
      <c r="T1274" s="8"/>
      <c r="U1274" s="8"/>
    </row>
    <row r="1275" spans="20:21">
      <c r="T1275" s="8"/>
      <c r="U1275" s="8"/>
    </row>
    <row r="1276" spans="20:21">
      <c r="T1276" s="8"/>
      <c r="U1276" s="8"/>
    </row>
    <row r="1277" spans="20:21">
      <c r="T1277" s="8"/>
      <c r="U1277" s="8"/>
    </row>
    <row r="1278" spans="20:21">
      <c r="T1278" s="8"/>
      <c r="U1278" s="8"/>
    </row>
    <row r="1279" spans="20:21">
      <c r="T1279" s="8"/>
      <c r="U1279" s="8"/>
    </row>
    <row r="1280" spans="20:21">
      <c r="T1280" s="8"/>
      <c r="U1280" s="8"/>
    </row>
    <row r="1281" spans="20:21">
      <c r="T1281" s="8"/>
      <c r="U1281" s="8"/>
    </row>
    <row r="1282" spans="20:21">
      <c r="T1282" s="8"/>
      <c r="U1282" s="8"/>
    </row>
    <row r="1283" spans="20:21">
      <c r="T1283" s="8"/>
      <c r="U1283" s="8"/>
    </row>
    <row r="1284" spans="20:21">
      <c r="T1284" s="8"/>
      <c r="U1284" s="8"/>
    </row>
    <row r="1285" spans="20:21">
      <c r="T1285" s="8"/>
      <c r="U1285" s="8"/>
    </row>
    <row r="1286" spans="20:21">
      <c r="T1286" s="8"/>
      <c r="U1286" s="8"/>
    </row>
    <row r="1287" spans="20:21">
      <c r="T1287" s="8"/>
      <c r="U1287" s="8"/>
    </row>
    <row r="1288" spans="20:21">
      <c r="T1288" s="8"/>
      <c r="U1288" s="8"/>
    </row>
    <row r="1289" spans="20:21">
      <c r="T1289" s="8"/>
      <c r="U1289" s="8"/>
    </row>
    <row r="1290" spans="20:21">
      <c r="T1290" s="8"/>
      <c r="U1290" s="8"/>
    </row>
    <row r="1291" spans="20:21">
      <c r="T1291" s="8"/>
      <c r="U1291" s="8"/>
    </row>
    <row r="1292" spans="20:21">
      <c r="T1292" s="8"/>
      <c r="U1292" s="8"/>
    </row>
    <row r="1293" spans="20:21">
      <c r="T1293" s="8"/>
      <c r="U1293" s="8"/>
    </row>
    <row r="1294" spans="20:21">
      <c r="T1294" s="8"/>
      <c r="U1294" s="8"/>
    </row>
    <row r="1295" spans="20:21">
      <c r="T1295" s="8"/>
      <c r="U1295" s="8"/>
    </row>
    <row r="1296" spans="20:21">
      <c r="T1296" s="8"/>
      <c r="U1296" s="8"/>
    </row>
    <row r="1297" spans="20:21">
      <c r="T1297" s="8"/>
      <c r="U1297" s="8"/>
    </row>
    <row r="1298" spans="20:21">
      <c r="T1298" s="8"/>
      <c r="U1298" s="8"/>
    </row>
    <row r="1299" spans="20:21">
      <c r="T1299" s="8"/>
      <c r="U1299" s="8"/>
    </row>
    <row r="1300" spans="20:21">
      <c r="T1300" s="8"/>
      <c r="U1300" s="8"/>
    </row>
    <row r="1301" spans="20:21">
      <c r="T1301" s="8"/>
      <c r="U1301" s="8"/>
    </row>
    <row r="1302" spans="20:21">
      <c r="T1302" s="8"/>
      <c r="U1302" s="8"/>
    </row>
    <row r="1303" spans="20:21">
      <c r="T1303" s="8"/>
      <c r="U1303" s="8"/>
    </row>
    <row r="1304" spans="20:21">
      <c r="T1304" s="8"/>
      <c r="U1304" s="8"/>
    </row>
    <row r="1305" spans="20:21">
      <c r="T1305" s="8"/>
      <c r="U1305" s="8"/>
    </row>
    <row r="1306" spans="20:21">
      <c r="T1306" s="8"/>
      <c r="U1306" s="8"/>
    </row>
    <row r="1307" spans="20:21">
      <c r="T1307" s="8"/>
      <c r="U1307" s="8"/>
    </row>
    <row r="1308" spans="20:21">
      <c r="T1308" s="8"/>
      <c r="U1308" s="8"/>
    </row>
    <row r="1309" spans="20:21">
      <c r="T1309" s="8"/>
      <c r="U1309" s="8"/>
    </row>
    <row r="1310" spans="20:21">
      <c r="T1310" s="8"/>
      <c r="U1310" s="8"/>
    </row>
    <row r="1311" spans="20:21">
      <c r="T1311" s="8"/>
      <c r="U1311" s="8"/>
    </row>
    <row r="1312" spans="20:21">
      <c r="T1312" s="8"/>
      <c r="U1312" s="8"/>
    </row>
    <row r="1313" spans="20:21">
      <c r="T1313" s="8"/>
      <c r="U1313" s="8"/>
    </row>
    <row r="1314" spans="20:21">
      <c r="T1314" s="8"/>
      <c r="U1314" s="8"/>
    </row>
    <row r="1315" spans="20:21">
      <c r="T1315" s="8"/>
      <c r="U1315" s="8"/>
    </row>
    <row r="1316" spans="20:21">
      <c r="T1316" s="8"/>
      <c r="U1316" s="8"/>
    </row>
    <row r="1317" spans="20:21">
      <c r="T1317" s="8"/>
      <c r="U1317" s="8"/>
    </row>
    <row r="1318" spans="20:21">
      <c r="T1318" s="8"/>
      <c r="U1318" s="8"/>
    </row>
    <row r="1319" spans="20:21">
      <c r="T1319" s="8"/>
      <c r="U1319" s="8"/>
    </row>
    <row r="1320" spans="20:21">
      <c r="T1320" s="8"/>
      <c r="U1320" s="8"/>
    </row>
    <row r="1321" spans="20:21">
      <c r="T1321" s="8"/>
      <c r="U1321" s="8"/>
    </row>
    <row r="1322" spans="20:21">
      <c r="T1322" s="8"/>
      <c r="U1322" s="8"/>
    </row>
    <row r="1323" spans="20:21">
      <c r="T1323" s="8"/>
      <c r="U1323" s="8"/>
    </row>
    <row r="1324" spans="20:21">
      <c r="T1324" s="8"/>
      <c r="U1324" s="8"/>
    </row>
    <row r="1325" spans="20:21">
      <c r="T1325" s="8"/>
      <c r="U1325" s="8"/>
    </row>
    <row r="1326" spans="20:21">
      <c r="T1326" s="8"/>
      <c r="U1326" s="8"/>
    </row>
    <row r="1327" spans="20:21">
      <c r="T1327" s="8"/>
      <c r="U1327" s="8"/>
    </row>
    <row r="1328" spans="20:21">
      <c r="T1328" s="8"/>
      <c r="U1328" s="8"/>
    </row>
    <row r="1329" spans="20:21">
      <c r="T1329" s="8"/>
      <c r="U1329" s="8"/>
    </row>
    <row r="1330" spans="20:21">
      <c r="T1330" s="8"/>
      <c r="U1330" s="8"/>
    </row>
    <row r="1331" spans="20:21">
      <c r="T1331" s="8"/>
      <c r="U1331" s="8"/>
    </row>
    <row r="1332" spans="20:21">
      <c r="T1332" s="8"/>
      <c r="U1332" s="8"/>
    </row>
    <row r="1333" spans="20:21">
      <c r="T1333" s="8"/>
      <c r="U1333" s="8"/>
    </row>
    <row r="1334" spans="20:21">
      <c r="T1334" s="8"/>
      <c r="U1334" s="8"/>
    </row>
    <row r="1335" spans="20:21">
      <c r="T1335" s="8"/>
      <c r="U1335" s="8"/>
    </row>
    <row r="1336" spans="20:21">
      <c r="T1336" s="8"/>
      <c r="U1336" s="8"/>
    </row>
    <row r="1337" spans="20:21">
      <c r="T1337" s="8"/>
      <c r="U1337" s="8"/>
    </row>
    <row r="1338" spans="20:21">
      <c r="T1338" s="8"/>
      <c r="U1338" s="8"/>
    </row>
    <row r="1339" spans="20:21">
      <c r="T1339" s="8"/>
      <c r="U1339" s="8"/>
    </row>
    <row r="1340" spans="20:21">
      <c r="T1340" s="8"/>
      <c r="U1340" s="8"/>
    </row>
    <row r="1341" spans="20:21">
      <c r="T1341" s="8"/>
      <c r="U1341" s="8"/>
    </row>
    <row r="1342" spans="20:21">
      <c r="T1342" s="8"/>
      <c r="U1342" s="8"/>
    </row>
    <row r="1343" spans="20:21">
      <c r="T1343" s="8"/>
      <c r="U1343" s="8"/>
    </row>
    <row r="1344" spans="20:21">
      <c r="T1344" s="8"/>
      <c r="U1344" s="8"/>
    </row>
    <row r="1345" spans="20:21">
      <c r="T1345" s="8"/>
      <c r="U1345" s="8"/>
    </row>
    <row r="1346" spans="20:21">
      <c r="T1346" s="8"/>
      <c r="U1346" s="8"/>
    </row>
    <row r="1347" spans="20:21">
      <c r="T1347" s="8"/>
      <c r="U1347" s="8"/>
    </row>
    <row r="1348" spans="20:21">
      <c r="T1348" s="8"/>
      <c r="U1348" s="8"/>
    </row>
    <row r="1349" spans="20:21">
      <c r="T1349" s="8"/>
      <c r="U1349" s="8"/>
    </row>
    <row r="1350" spans="20:21">
      <c r="T1350" s="8"/>
      <c r="U1350" s="8"/>
    </row>
    <row r="1351" spans="20:21">
      <c r="T1351" s="8"/>
      <c r="U1351" s="8"/>
    </row>
    <row r="1352" spans="20:21">
      <c r="T1352" s="8"/>
      <c r="U1352" s="8"/>
    </row>
    <row r="1353" spans="20:21">
      <c r="T1353" s="8"/>
      <c r="U1353" s="8"/>
    </row>
    <row r="1354" spans="20:21">
      <c r="T1354" s="8"/>
      <c r="U1354" s="8"/>
    </row>
    <row r="1355" spans="20:21">
      <c r="T1355" s="8"/>
      <c r="U1355" s="8"/>
    </row>
    <row r="1356" spans="20:21">
      <c r="T1356" s="8"/>
      <c r="U1356" s="8"/>
    </row>
    <row r="1357" spans="20:21">
      <c r="T1357" s="8"/>
      <c r="U1357" s="8"/>
    </row>
    <row r="1358" spans="20:21">
      <c r="T1358" s="8"/>
      <c r="U1358" s="8"/>
    </row>
    <row r="1359" spans="20:21">
      <c r="T1359" s="8"/>
      <c r="U1359" s="8"/>
    </row>
    <row r="1360" spans="20:21">
      <c r="T1360" s="8"/>
      <c r="U1360" s="8"/>
    </row>
    <row r="1361" spans="20:21">
      <c r="T1361" s="8"/>
      <c r="U1361" s="8"/>
    </row>
    <row r="1362" spans="20:21">
      <c r="T1362" s="8"/>
      <c r="U1362" s="8"/>
    </row>
    <row r="1363" spans="20:21">
      <c r="T1363" s="8"/>
      <c r="U1363" s="8"/>
    </row>
    <row r="1364" spans="20:21">
      <c r="T1364" s="8"/>
      <c r="U1364" s="8"/>
    </row>
    <row r="1365" spans="20:21">
      <c r="T1365" s="8"/>
      <c r="U1365" s="8"/>
    </row>
    <row r="1366" spans="20:21">
      <c r="T1366" s="8"/>
      <c r="U1366" s="8"/>
    </row>
    <row r="1367" spans="20:21">
      <c r="T1367" s="8"/>
      <c r="U1367" s="8"/>
    </row>
    <row r="1368" spans="20:21">
      <c r="T1368" s="8"/>
      <c r="U1368" s="8"/>
    </row>
    <row r="1369" spans="20:21">
      <c r="T1369" s="8"/>
      <c r="U1369" s="8"/>
    </row>
    <row r="1370" spans="20:21">
      <c r="T1370" s="8"/>
      <c r="U1370" s="8"/>
    </row>
    <row r="1371" spans="20:21">
      <c r="T1371" s="8"/>
      <c r="U1371" s="8"/>
    </row>
    <row r="1372" spans="20:21">
      <c r="T1372" s="8"/>
      <c r="U1372" s="8"/>
    </row>
    <row r="1373" spans="20:21">
      <c r="T1373" s="8"/>
      <c r="U1373" s="8"/>
    </row>
    <row r="1374" spans="20:21">
      <c r="T1374" s="8"/>
      <c r="U1374" s="8"/>
    </row>
    <row r="1375" spans="20:21">
      <c r="T1375" s="8"/>
      <c r="U1375" s="8"/>
    </row>
    <row r="1376" spans="20:21">
      <c r="T1376" s="8"/>
      <c r="U1376" s="8"/>
    </row>
    <row r="1377" spans="20:21">
      <c r="T1377" s="8"/>
      <c r="U1377" s="8"/>
    </row>
    <row r="1378" spans="20:21">
      <c r="T1378" s="8"/>
      <c r="U1378" s="8"/>
    </row>
    <row r="1379" spans="20:21">
      <c r="T1379" s="8"/>
      <c r="U1379" s="8"/>
    </row>
    <row r="1380" spans="20:21">
      <c r="T1380" s="8"/>
      <c r="U1380" s="8"/>
    </row>
    <row r="1381" spans="20:21">
      <c r="T1381" s="8"/>
      <c r="U1381" s="8"/>
    </row>
    <row r="1382" spans="20:21">
      <c r="T1382" s="8"/>
      <c r="U1382" s="8"/>
    </row>
    <row r="1383" spans="20:21">
      <c r="T1383" s="8"/>
      <c r="U1383" s="8"/>
    </row>
    <row r="1384" spans="20:21">
      <c r="T1384" s="8"/>
      <c r="U1384" s="8"/>
    </row>
    <row r="1385" spans="20:21">
      <c r="T1385" s="8"/>
      <c r="U1385" s="8"/>
    </row>
    <row r="1386" spans="20:21">
      <c r="T1386" s="8"/>
      <c r="U1386" s="8"/>
    </row>
    <row r="1387" spans="20:21">
      <c r="T1387" s="8"/>
      <c r="U1387" s="8"/>
    </row>
    <row r="1388" spans="20:21">
      <c r="T1388" s="8"/>
      <c r="U1388" s="8"/>
    </row>
    <row r="1389" spans="20:21">
      <c r="T1389" s="8"/>
      <c r="U1389" s="8"/>
    </row>
    <row r="1390" spans="20:21">
      <c r="T1390" s="8"/>
      <c r="U1390" s="8"/>
    </row>
    <row r="1391" spans="20:21">
      <c r="T1391" s="8"/>
      <c r="U1391" s="8"/>
    </row>
    <row r="1392" spans="20:21">
      <c r="T1392" s="8"/>
      <c r="U1392" s="8"/>
    </row>
    <row r="1393" spans="20:21">
      <c r="T1393" s="8"/>
      <c r="U1393" s="8"/>
    </row>
    <row r="1394" spans="20:21">
      <c r="T1394" s="8"/>
      <c r="U1394" s="8"/>
    </row>
    <row r="1395" spans="20:21">
      <c r="T1395" s="8"/>
      <c r="U1395" s="8"/>
    </row>
    <row r="1396" spans="20:21">
      <c r="T1396" s="8"/>
      <c r="U1396" s="8"/>
    </row>
    <row r="1397" spans="20:21">
      <c r="T1397" s="8"/>
      <c r="U1397" s="8"/>
    </row>
    <row r="1398" spans="20:21">
      <c r="T1398" s="8"/>
      <c r="U1398" s="8"/>
    </row>
    <row r="1399" spans="20:21">
      <c r="T1399" s="8"/>
      <c r="U1399" s="8"/>
    </row>
    <row r="1400" spans="20:21">
      <c r="T1400" s="8"/>
      <c r="U1400" s="8"/>
    </row>
    <row r="1401" spans="20:21">
      <c r="T1401" s="8"/>
      <c r="U1401" s="8"/>
    </row>
    <row r="1402" spans="20:21">
      <c r="T1402" s="8"/>
      <c r="U1402" s="8"/>
    </row>
    <row r="1403" spans="20:21">
      <c r="T1403" s="8"/>
      <c r="U1403" s="8"/>
    </row>
    <row r="1404" spans="20:21">
      <c r="T1404" s="8"/>
      <c r="U1404" s="8"/>
    </row>
    <row r="1405" spans="20:21">
      <c r="T1405" s="8"/>
      <c r="U1405" s="8"/>
    </row>
    <row r="1406" spans="20:21">
      <c r="T1406" s="8"/>
      <c r="U1406" s="8"/>
    </row>
    <row r="1407" spans="20:21">
      <c r="T1407" s="8"/>
      <c r="U1407" s="8"/>
    </row>
    <row r="1408" spans="20:21">
      <c r="T1408" s="8"/>
      <c r="U1408" s="8"/>
    </row>
    <row r="1409" spans="20:21">
      <c r="T1409" s="8"/>
      <c r="U1409" s="8"/>
    </row>
    <row r="1410" spans="20:21">
      <c r="T1410" s="8"/>
      <c r="U1410" s="8"/>
    </row>
    <row r="1411" spans="20:21">
      <c r="T1411" s="8"/>
      <c r="U1411" s="8"/>
    </row>
    <row r="1412" spans="20:21">
      <c r="T1412" s="8"/>
      <c r="U1412" s="8"/>
    </row>
    <row r="1413" spans="20:21">
      <c r="T1413" s="8"/>
      <c r="U1413" s="8"/>
    </row>
    <row r="1414" spans="20:21">
      <c r="T1414" s="8"/>
      <c r="U1414" s="8"/>
    </row>
    <row r="1415" spans="20:21">
      <c r="T1415" s="8"/>
      <c r="U1415" s="8"/>
    </row>
    <row r="1416" spans="20:21">
      <c r="T1416" s="8"/>
      <c r="U1416" s="8"/>
    </row>
    <row r="1417" spans="20:21">
      <c r="T1417" s="8"/>
      <c r="U1417" s="8"/>
    </row>
    <row r="1418" spans="20:21">
      <c r="T1418" s="8"/>
      <c r="U1418" s="8"/>
    </row>
    <row r="1419" spans="20:21">
      <c r="T1419" s="8"/>
      <c r="U1419" s="8"/>
    </row>
    <row r="1420" spans="20:21">
      <c r="T1420" s="8"/>
      <c r="U1420" s="8"/>
    </row>
    <row r="1421" spans="20:21">
      <c r="T1421" s="8"/>
      <c r="U1421" s="8"/>
    </row>
    <row r="1422" spans="20:21">
      <c r="T1422" s="8"/>
      <c r="U1422" s="8"/>
    </row>
    <row r="1423" spans="20:21">
      <c r="T1423" s="8"/>
      <c r="U1423" s="8"/>
    </row>
    <row r="1424" spans="20:21">
      <c r="T1424" s="8"/>
      <c r="U1424" s="8"/>
    </row>
    <row r="1425" spans="20:21">
      <c r="T1425" s="8"/>
      <c r="U1425" s="8"/>
    </row>
    <row r="1426" spans="20:21">
      <c r="T1426" s="8"/>
      <c r="U1426" s="8"/>
    </row>
    <row r="1427" spans="20:21">
      <c r="T1427" s="8"/>
      <c r="U1427" s="8"/>
    </row>
    <row r="1428" spans="20:21">
      <c r="T1428" s="8"/>
      <c r="U1428" s="8"/>
    </row>
    <row r="1429" spans="20:21">
      <c r="T1429" s="8"/>
      <c r="U1429" s="8"/>
    </row>
    <row r="1430" spans="20:21">
      <c r="T1430" s="8"/>
      <c r="U1430" s="8"/>
    </row>
    <row r="1431" spans="20:21">
      <c r="T1431" s="8"/>
      <c r="U1431" s="8"/>
    </row>
    <row r="1432" spans="20:21">
      <c r="T1432" s="8"/>
      <c r="U1432" s="8"/>
    </row>
    <row r="1433" spans="20:21">
      <c r="T1433" s="8"/>
      <c r="U1433" s="8"/>
    </row>
    <row r="1434" spans="20:21">
      <c r="T1434" s="8"/>
      <c r="U1434" s="8"/>
    </row>
    <row r="1435" spans="20:21">
      <c r="T1435" s="8"/>
      <c r="U1435" s="8"/>
    </row>
    <row r="1436" spans="20:21">
      <c r="T1436" s="8"/>
      <c r="U1436" s="8"/>
    </row>
    <row r="1437" spans="20:21">
      <c r="T1437" s="8"/>
      <c r="U1437" s="8"/>
    </row>
    <row r="1438" spans="20:21">
      <c r="T1438" s="8"/>
      <c r="U1438" s="8"/>
    </row>
    <row r="1439" spans="20:21">
      <c r="T1439" s="8"/>
      <c r="U1439" s="8"/>
    </row>
    <row r="1440" spans="20:21">
      <c r="T1440" s="8"/>
      <c r="U1440" s="8"/>
    </row>
    <row r="1441" spans="20:21">
      <c r="T1441" s="8"/>
      <c r="U1441" s="8"/>
    </row>
    <row r="1442" spans="20:21">
      <c r="T1442" s="8"/>
      <c r="U1442" s="8"/>
    </row>
    <row r="1443" spans="20:21">
      <c r="T1443" s="8"/>
      <c r="U1443" s="8"/>
    </row>
    <row r="1444" spans="20:21">
      <c r="T1444" s="8"/>
      <c r="U1444" s="8"/>
    </row>
    <row r="1445" spans="20:21">
      <c r="T1445" s="8"/>
      <c r="U1445" s="8"/>
    </row>
    <row r="1446" spans="20:21">
      <c r="T1446" s="8"/>
      <c r="U1446" s="8"/>
    </row>
    <row r="1447" spans="20:21">
      <c r="T1447" s="8"/>
      <c r="U1447" s="8"/>
    </row>
    <row r="1448" spans="20:21">
      <c r="T1448" s="8"/>
      <c r="U1448" s="8"/>
    </row>
    <row r="1449" spans="20:21">
      <c r="T1449" s="8"/>
      <c r="U1449" s="8"/>
    </row>
    <row r="1450" spans="20:21">
      <c r="T1450" s="8"/>
      <c r="U1450" s="8"/>
    </row>
    <row r="1451" spans="20:21">
      <c r="T1451" s="8"/>
      <c r="U1451" s="8"/>
    </row>
    <row r="1452" spans="20:21">
      <c r="T1452" s="8"/>
      <c r="U1452" s="8"/>
    </row>
    <row r="1453" spans="20:21">
      <c r="T1453" s="8"/>
      <c r="U1453" s="8"/>
    </row>
    <row r="1454" spans="20:21">
      <c r="T1454" s="8"/>
      <c r="U1454" s="8"/>
    </row>
    <row r="1455" spans="20:21">
      <c r="T1455" s="8"/>
      <c r="U1455" s="8"/>
    </row>
    <row r="1456" spans="20:21">
      <c r="T1456" s="8"/>
      <c r="U1456" s="8"/>
    </row>
    <row r="1457" spans="20:21">
      <c r="T1457" s="8"/>
      <c r="U1457" s="8"/>
    </row>
    <row r="1458" spans="20:21">
      <c r="T1458" s="8"/>
      <c r="U1458" s="8"/>
    </row>
    <row r="1459" spans="20:21">
      <c r="T1459" s="8"/>
      <c r="U1459" s="8"/>
    </row>
    <row r="1460" spans="20:21">
      <c r="T1460" s="8"/>
      <c r="U1460" s="8"/>
    </row>
    <row r="1461" spans="20:21">
      <c r="T1461" s="8"/>
      <c r="U1461" s="8"/>
    </row>
    <row r="1462" spans="20:21">
      <c r="T1462" s="8"/>
      <c r="U1462" s="8"/>
    </row>
    <row r="1463" spans="20:21">
      <c r="T1463" s="8"/>
      <c r="U1463" s="8"/>
    </row>
    <row r="1464" spans="20:21">
      <c r="T1464" s="8"/>
      <c r="U1464" s="8"/>
    </row>
    <row r="1465" spans="20:21">
      <c r="T1465" s="8"/>
      <c r="U1465" s="8"/>
    </row>
    <row r="1466" spans="20:21">
      <c r="T1466" s="8"/>
      <c r="U1466" s="8"/>
    </row>
    <row r="1467" spans="20:21">
      <c r="T1467" s="8"/>
      <c r="U1467" s="8"/>
    </row>
    <row r="1468" spans="20:21">
      <c r="T1468" s="8"/>
      <c r="U1468" s="8"/>
    </row>
    <row r="1469" spans="20:21">
      <c r="T1469" s="8"/>
      <c r="U1469" s="8"/>
    </row>
    <row r="1470" spans="20:21">
      <c r="T1470" s="8"/>
      <c r="U1470" s="8"/>
    </row>
    <row r="1471" spans="20:21">
      <c r="T1471" s="8"/>
      <c r="U1471" s="8"/>
    </row>
    <row r="1472" spans="20:21">
      <c r="T1472" s="8"/>
      <c r="U1472" s="8"/>
    </row>
    <row r="1473" spans="20:21">
      <c r="T1473" s="8"/>
      <c r="U1473" s="8"/>
    </row>
    <row r="1474" spans="20:21">
      <c r="T1474" s="8"/>
      <c r="U1474" s="8"/>
    </row>
    <row r="1475" spans="20:21">
      <c r="T1475" s="8"/>
      <c r="U1475" s="8"/>
    </row>
    <row r="1476" spans="20:21">
      <c r="T1476" s="8"/>
      <c r="U1476" s="8"/>
    </row>
    <row r="1477" spans="20:21">
      <c r="T1477" s="8"/>
      <c r="U1477" s="8"/>
    </row>
    <row r="1478" spans="20:21">
      <c r="T1478" s="8"/>
      <c r="U1478" s="8"/>
    </row>
    <row r="1479" spans="20:21">
      <c r="T1479" s="8"/>
      <c r="U1479" s="8"/>
    </row>
    <row r="1480" spans="20:21">
      <c r="T1480" s="8"/>
      <c r="U1480" s="8"/>
    </row>
    <row r="1481" spans="20:21">
      <c r="T1481" s="8"/>
      <c r="U1481" s="8"/>
    </row>
    <row r="1482" spans="20:21">
      <c r="T1482" s="8"/>
      <c r="U1482" s="8"/>
    </row>
    <row r="1483" spans="20:21">
      <c r="T1483" s="8"/>
      <c r="U1483" s="8"/>
    </row>
    <row r="1484" spans="20:21">
      <c r="T1484" s="8"/>
      <c r="U1484" s="8"/>
    </row>
    <row r="1485" spans="20:21">
      <c r="T1485" s="8"/>
      <c r="U1485" s="8"/>
    </row>
    <row r="1486" spans="20:21">
      <c r="T1486" s="8"/>
      <c r="U1486" s="8"/>
    </row>
    <row r="1487" spans="20:21">
      <c r="T1487" s="8"/>
      <c r="U1487" s="8"/>
    </row>
    <row r="1488" spans="20:21">
      <c r="T1488" s="8"/>
      <c r="U1488" s="8"/>
    </row>
    <row r="1489" spans="20:21">
      <c r="T1489" s="8"/>
      <c r="U1489" s="8"/>
    </row>
    <row r="1490" spans="20:21">
      <c r="T1490" s="8"/>
      <c r="U1490" s="8"/>
    </row>
    <row r="1491" spans="20:21">
      <c r="T1491" s="8"/>
      <c r="U1491" s="8"/>
    </row>
    <row r="1492" spans="20:21">
      <c r="T1492" s="8"/>
      <c r="U1492" s="8"/>
    </row>
    <row r="1493" spans="20:21">
      <c r="T1493" s="8"/>
      <c r="U1493" s="8"/>
    </row>
    <row r="1494" spans="20:21">
      <c r="T1494" s="8"/>
      <c r="U1494" s="8"/>
    </row>
    <row r="1495" spans="20:21">
      <c r="T1495" s="8"/>
      <c r="U1495" s="8"/>
    </row>
    <row r="1496" spans="20:21">
      <c r="T1496" s="8"/>
      <c r="U1496" s="8"/>
    </row>
    <row r="1497" spans="20:21">
      <c r="T1497" s="8"/>
      <c r="U1497" s="8"/>
    </row>
    <row r="1498" spans="20:21">
      <c r="T1498" s="8"/>
      <c r="U1498" s="8"/>
    </row>
    <row r="1499" spans="20:21">
      <c r="T1499" s="8"/>
      <c r="U1499" s="8"/>
    </row>
    <row r="1500" spans="20:21">
      <c r="T1500" s="8"/>
      <c r="U1500" s="8"/>
    </row>
    <row r="1501" spans="20:21">
      <c r="T1501" s="8"/>
      <c r="U1501" s="8"/>
    </row>
    <row r="1502" spans="20:21">
      <c r="T1502" s="8"/>
      <c r="U1502" s="8"/>
    </row>
    <row r="1503" spans="20:21">
      <c r="T1503" s="8"/>
      <c r="U1503" s="8"/>
    </row>
    <row r="1504" spans="20:21">
      <c r="T1504" s="8"/>
      <c r="U1504" s="8"/>
    </row>
    <row r="1505" spans="20:21">
      <c r="T1505" s="8"/>
      <c r="U1505" s="8"/>
    </row>
    <row r="1506" spans="20:21">
      <c r="T1506" s="8"/>
      <c r="U1506" s="8"/>
    </row>
    <row r="1507" spans="20:21">
      <c r="T1507" s="8"/>
      <c r="U1507" s="8"/>
    </row>
    <row r="1508" spans="20:21">
      <c r="T1508" s="8"/>
      <c r="U1508" s="8"/>
    </row>
    <row r="1509" spans="20:21">
      <c r="T1509" s="8"/>
      <c r="U1509" s="8"/>
    </row>
    <row r="1510" spans="20:21">
      <c r="T1510" s="8"/>
      <c r="U1510" s="8"/>
    </row>
    <row r="1511" spans="20:21">
      <c r="T1511" s="8"/>
      <c r="U1511" s="8"/>
    </row>
    <row r="1512" spans="20:21">
      <c r="T1512" s="8"/>
      <c r="U1512" s="8"/>
    </row>
    <row r="1513" spans="20:21">
      <c r="T1513" s="8"/>
      <c r="U1513" s="8"/>
    </row>
    <row r="1514" spans="20:21">
      <c r="T1514" s="8"/>
      <c r="U1514" s="8"/>
    </row>
    <row r="1515" spans="20:21">
      <c r="T1515" s="8"/>
      <c r="U1515" s="8"/>
    </row>
    <row r="1516" spans="20:21">
      <c r="T1516" s="8"/>
      <c r="U1516" s="8"/>
    </row>
    <row r="1517" spans="20:21">
      <c r="T1517" s="8"/>
      <c r="U1517" s="8"/>
    </row>
    <row r="1518" spans="20:21">
      <c r="T1518" s="8"/>
      <c r="U1518" s="8"/>
    </row>
    <row r="1519" spans="20:21">
      <c r="T1519" s="8"/>
      <c r="U1519" s="8"/>
    </row>
    <row r="1520" spans="20:21">
      <c r="T1520" s="8"/>
      <c r="U1520" s="8"/>
    </row>
    <row r="1521" spans="20:21">
      <c r="T1521" s="8"/>
      <c r="U1521" s="8"/>
    </row>
    <row r="1522" spans="20:21">
      <c r="T1522" s="8"/>
      <c r="U1522" s="8"/>
    </row>
    <row r="1523" spans="20:21">
      <c r="T1523" s="8"/>
      <c r="U1523" s="8"/>
    </row>
    <row r="1524" spans="20:21">
      <c r="T1524" s="8"/>
      <c r="U1524" s="8"/>
    </row>
    <row r="1525" spans="20:21">
      <c r="T1525" s="8"/>
      <c r="U1525" s="8"/>
    </row>
    <row r="1526" spans="20:21">
      <c r="T1526" s="8"/>
      <c r="U1526" s="8"/>
    </row>
    <row r="1527" spans="20:21">
      <c r="T1527" s="8"/>
      <c r="U1527" s="8"/>
    </row>
    <row r="1528" spans="20:21">
      <c r="T1528" s="8"/>
      <c r="U1528" s="8"/>
    </row>
    <row r="1529" spans="20:21">
      <c r="T1529" s="8"/>
      <c r="U1529" s="8"/>
    </row>
    <row r="1530" spans="20:21">
      <c r="T1530" s="8"/>
      <c r="U1530" s="8"/>
    </row>
    <row r="1531" spans="20:21">
      <c r="T1531" s="8"/>
      <c r="U1531" s="8"/>
    </row>
    <row r="1532" spans="20:21">
      <c r="T1532" s="8"/>
      <c r="U1532" s="8"/>
    </row>
    <row r="1533" spans="20:21">
      <c r="T1533" s="8"/>
      <c r="U1533" s="8"/>
    </row>
    <row r="1534" spans="20:21">
      <c r="T1534" s="8"/>
      <c r="U1534" s="8"/>
    </row>
    <row r="1535" spans="20:21">
      <c r="T1535" s="8"/>
      <c r="U1535" s="8"/>
    </row>
    <row r="1536" spans="20:21">
      <c r="T1536" s="8"/>
      <c r="U1536" s="8"/>
    </row>
    <row r="1537" spans="20:21">
      <c r="T1537" s="8"/>
      <c r="U1537" s="8"/>
    </row>
    <row r="1538" spans="20:21">
      <c r="T1538" s="8"/>
      <c r="U1538" s="8"/>
    </row>
    <row r="1539" spans="20:21">
      <c r="T1539" s="8"/>
      <c r="U1539" s="8"/>
    </row>
    <row r="1540" spans="20:21">
      <c r="T1540" s="8"/>
      <c r="U1540" s="8"/>
    </row>
    <row r="1541" spans="20:21">
      <c r="T1541" s="8"/>
      <c r="U1541" s="8"/>
    </row>
    <row r="1542" spans="20:21">
      <c r="T1542" s="8"/>
      <c r="U1542" s="8"/>
    </row>
    <row r="1543" spans="20:21">
      <c r="T1543" s="8"/>
      <c r="U1543" s="8"/>
    </row>
    <row r="1544" spans="20:21">
      <c r="T1544" s="8"/>
      <c r="U1544" s="8"/>
    </row>
    <row r="1545" spans="20:21">
      <c r="T1545" s="8"/>
      <c r="U1545" s="8"/>
    </row>
    <row r="1546" spans="20:21">
      <c r="T1546" s="8"/>
      <c r="U1546" s="8"/>
    </row>
    <row r="1547" spans="20:21">
      <c r="T1547" s="8"/>
      <c r="U1547" s="8"/>
    </row>
    <row r="1548" spans="20:21">
      <c r="T1548" s="8"/>
      <c r="U1548" s="8"/>
    </row>
    <row r="1549" spans="20:21">
      <c r="T1549" s="8"/>
      <c r="U1549" s="8"/>
    </row>
    <row r="1550" spans="20:21">
      <c r="T1550" s="8"/>
      <c r="U1550" s="8"/>
    </row>
    <row r="1551" spans="20:21">
      <c r="T1551" s="8"/>
      <c r="U1551" s="8"/>
    </row>
    <row r="1552" spans="20:21">
      <c r="T1552" s="8"/>
      <c r="U1552" s="8"/>
    </row>
    <row r="1553" spans="20:21">
      <c r="T1553" s="8"/>
      <c r="U1553" s="8"/>
    </row>
    <row r="1554" spans="20:21">
      <c r="T1554" s="8"/>
      <c r="U1554" s="8"/>
    </row>
    <row r="1555" spans="20:21">
      <c r="T1555" s="8"/>
      <c r="U1555" s="8"/>
    </row>
    <row r="1556" spans="20:21">
      <c r="T1556" s="8"/>
      <c r="U1556" s="8"/>
    </row>
    <row r="1557" spans="20:21">
      <c r="T1557" s="8"/>
      <c r="U1557" s="8"/>
    </row>
    <row r="1558" spans="20:21">
      <c r="T1558" s="8"/>
      <c r="U1558" s="8"/>
    </row>
    <row r="1559" spans="20:21">
      <c r="T1559" s="8"/>
      <c r="U1559" s="8"/>
    </row>
    <row r="1560" spans="20:21">
      <c r="T1560" s="8"/>
      <c r="U1560" s="8"/>
    </row>
    <row r="1561" spans="20:21">
      <c r="T1561" s="8"/>
      <c r="U1561" s="8"/>
    </row>
    <row r="1562" spans="20:21">
      <c r="T1562" s="8"/>
      <c r="U1562" s="8"/>
    </row>
    <row r="1563" spans="20:21">
      <c r="T1563" s="8"/>
      <c r="U1563" s="8"/>
    </row>
    <row r="1564" spans="20:21">
      <c r="T1564" s="8"/>
      <c r="U1564" s="8"/>
    </row>
    <row r="1565" spans="20:21">
      <c r="T1565" s="8"/>
      <c r="U1565" s="8"/>
    </row>
    <row r="1566" spans="20:21">
      <c r="T1566" s="8"/>
      <c r="U1566" s="8"/>
    </row>
    <row r="1567" spans="20:21">
      <c r="T1567" s="8"/>
      <c r="U1567" s="8"/>
    </row>
    <row r="1568" spans="20:21">
      <c r="T1568" s="8"/>
      <c r="U1568" s="8"/>
    </row>
    <row r="1569" spans="20:21">
      <c r="T1569" s="8"/>
      <c r="U1569" s="8"/>
    </row>
    <row r="1570" spans="20:21">
      <c r="T1570" s="8"/>
      <c r="U1570" s="8"/>
    </row>
    <row r="1571" spans="20:21">
      <c r="T1571" s="8"/>
      <c r="U1571" s="8"/>
    </row>
    <row r="1572" spans="20:21">
      <c r="T1572" s="8"/>
      <c r="U1572" s="8"/>
    </row>
    <row r="1573" spans="20:21">
      <c r="T1573" s="8"/>
      <c r="U1573" s="8"/>
    </row>
    <row r="1574" spans="20:21">
      <c r="T1574" s="8"/>
      <c r="U1574" s="8"/>
    </row>
    <row r="1575" spans="20:21">
      <c r="T1575" s="8"/>
      <c r="U1575" s="8"/>
    </row>
    <row r="1576" spans="20:21">
      <c r="T1576" s="8"/>
      <c r="U1576" s="8"/>
    </row>
    <row r="1577" spans="20:21">
      <c r="T1577" s="8"/>
      <c r="U1577" s="8"/>
    </row>
    <row r="1578" spans="20:21">
      <c r="T1578" s="8"/>
      <c r="U1578" s="8"/>
    </row>
    <row r="1579" spans="20:21">
      <c r="T1579" s="8"/>
      <c r="U1579" s="8"/>
    </row>
    <row r="1580" spans="20:21">
      <c r="T1580" s="8"/>
      <c r="U1580" s="8"/>
    </row>
    <row r="1581" spans="20:21">
      <c r="T1581" s="8"/>
      <c r="U1581" s="8"/>
    </row>
    <row r="1582" spans="20:21">
      <c r="T1582" s="8"/>
      <c r="U1582" s="8"/>
    </row>
    <row r="1583" spans="20:21">
      <c r="T1583" s="8"/>
      <c r="U1583" s="8"/>
    </row>
    <row r="1584" spans="20:21">
      <c r="T1584" s="8"/>
      <c r="U1584" s="8"/>
    </row>
    <row r="1585" spans="20:21">
      <c r="T1585" s="8"/>
      <c r="U1585" s="8"/>
    </row>
    <row r="1586" spans="20:21">
      <c r="T1586" s="8"/>
      <c r="U1586" s="8"/>
    </row>
    <row r="1587" spans="20:21">
      <c r="T1587" s="8"/>
      <c r="U1587" s="8"/>
    </row>
    <row r="1588" spans="20:21">
      <c r="T1588" s="8"/>
      <c r="U1588" s="8"/>
    </row>
    <row r="1589" spans="20:21">
      <c r="T1589" s="8"/>
      <c r="U1589" s="8"/>
    </row>
    <row r="1590" spans="20:21">
      <c r="T1590" s="8"/>
      <c r="U1590" s="8"/>
    </row>
    <row r="1591" spans="20:21">
      <c r="T1591" s="8"/>
      <c r="U1591" s="8"/>
    </row>
    <row r="1592" spans="20:21">
      <c r="T1592" s="8"/>
      <c r="U1592" s="8"/>
    </row>
    <row r="1593" spans="20:21">
      <c r="T1593" s="8"/>
      <c r="U1593" s="8"/>
    </row>
    <row r="1594" spans="20:21">
      <c r="T1594" s="8"/>
      <c r="U1594" s="8"/>
    </row>
    <row r="1595" spans="20:21">
      <c r="T1595" s="8"/>
      <c r="U1595" s="8"/>
    </row>
    <row r="1596" spans="20:21">
      <c r="T1596" s="8"/>
      <c r="U1596" s="8"/>
    </row>
    <row r="1597" spans="20:21">
      <c r="T1597" s="8"/>
      <c r="U1597" s="8"/>
    </row>
    <row r="1598" spans="20:21">
      <c r="T1598" s="8"/>
      <c r="U1598" s="8"/>
    </row>
    <row r="1599" spans="20:21">
      <c r="T1599" s="8"/>
      <c r="U1599" s="8"/>
    </row>
    <row r="1600" spans="20:21">
      <c r="T1600" s="8"/>
      <c r="U1600" s="8"/>
    </row>
    <row r="1601" spans="20:21">
      <c r="T1601" s="8"/>
      <c r="U1601" s="8"/>
    </row>
    <row r="1602" spans="20:21">
      <c r="T1602" s="8"/>
      <c r="U1602" s="8"/>
    </row>
    <row r="1603" spans="20:21">
      <c r="T1603" s="8"/>
      <c r="U1603" s="8"/>
    </row>
    <row r="1604" spans="20:21">
      <c r="T1604" s="8"/>
      <c r="U1604" s="8"/>
    </row>
    <row r="1605" spans="20:21">
      <c r="T1605" s="8"/>
      <c r="U1605" s="8"/>
    </row>
    <row r="1606" spans="20:21">
      <c r="T1606" s="8"/>
      <c r="U1606" s="8"/>
    </row>
    <row r="1607" spans="20:21">
      <c r="T1607" s="8"/>
      <c r="U1607" s="8"/>
    </row>
    <row r="1608" spans="20:21">
      <c r="T1608" s="8"/>
      <c r="U1608" s="8"/>
    </row>
    <row r="1609" spans="20:21">
      <c r="T1609" s="8"/>
      <c r="U1609" s="8"/>
    </row>
    <row r="1610" spans="20:21">
      <c r="T1610" s="8"/>
      <c r="U1610" s="8"/>
    </row>
    <row r="1611" spans="20:21">
      <c r="T1611" s="8"/>
      <c r="U1611" s="8"/>
    </row>
    <row r="1612" spans="20:21">
      <c r="T1612" s="8"/>
      <c r="U1612" s="8"/>
    </row>
    <row r="1613" spans="20:21">
      <c r="T1613" s="8"/>
      <c r="U1613" s="8"/>
    </row>
    <row r="1614" spans="20:21">
      <c r="T1614" s="8"/>
      <c r="U1614" s="8"/>
    </row>
    <row r="1615" spans="20:21">
      <c r="T1615" s="8"/>
      <c r="U1615" s="8"/>
    </row>
    <row r="1616" spans="20:21">
      <c r="T1616" s="8"/>
      <c r="U1616" s="8"/>
    </row>
    <row r="1617" spans="20:21">
      <c r="T1617" s="8"/>
      <c r="U1617" s="8"/>
    </row>
    <row r="1618" spans="20:21">
      <c r="T1618" s="8"/>
      <c r="U1618" s="8"/>
    </row>
    <row r="1619" spans="20:21">
      <c r="T1619" s="8"/>
      <c r="U1619" s="8"/>
    </row>
    <row r="1620" spans="20:21">
      <c r="T1620" s="8"/>
      <c r="U1620" s="8"/>
    </row>
    <row r="1621" spans="20:21">
      <c r="T1621" s="8"/>
      <c r="U1621" s="8"/>
    </row>
    <row r="1622" spans="20:21">
      <c r="T1622" s="8"/>
      <c r="U1622" s="8"/>
    </row>
    <row r="1623" spans="20:21">
      <c r="T1623" s="8"/>
      <c r="U1623" s="8"/>
    </row>
    <row r="1624" spans="20:21">
      <c r="T1624" s="8"/>
      <c r="U1624" s="8"/>
    </row>
    <row r="1625" spans="20:21">
      <c r="T1625" s="8"/>
      <c r="U1625" s="8"/>
    </row>
    <row r="1626" spans="20:21">
      <c r="T1626" s="8"/>
      <c r="U1626" s="8"/>
    </row>
    <row r="1627" spans="20:21">
      <c r="T1627" s="8"/>
      <c r="U1627" s="8"/>
    </row>
    <row r="1628" spans="20:21">
      <c r="T1628" s="8"/>
      <c r="U1628" s="8"/>
    </row>
    <row r="1629" spans="20:21">
      <c r="T1629" s="8"/>
      <c r="U1629" s="8"/>
    </row>
    <row r="1630" spans="20:21">
      <c r="T1630" s="8"/>
      <c r="U1630" s="8"/>
    </row>
    <row r="1631" spans="20:21">
      <c r="T1631" s="8"/>
      <c r="U1631" s="8"/>
    </row>
    <row r="1632" spans="20:21">
      <c r="T1632" s="8"/>
      <c r="U1632" s="8"/>
    </row>
    <row r="1633" spans="20:21">
      <c r="T1633" s="8"/>
      <c r="U1633" s="8"/>
    </row>
    <row r="1634" spans="20:21">
      <c r="T1634" s="8"/>
      <c r="U1634" s="8"/>
    </row>
    <row r="1635" spans="20:21">
      <c r="T1635" s="8"/>
      <c r="U1635" s="8"/>
    </row>
    <row r="1636" spans="20:21">
      <c r="T1636" s="8"/>
      <c r="U1636" s="8"/>
    </row>
    <row r="1637" spans="20:21">
      <c r="T1637" s="8"/>
      <c r="U1637" s="8"/>
    </row>
    <row r="1638" spans="20:21">
      <c r="T1638" s="8"/>
      <c r="U1638" s="8"/>
    </row>
    <row r="1639" spans="20:21">
      <c r="T1639" s="8"/>
      <c r="U1639" s="8"/>
    </row>
    <row r="1640" spans="20:21">
      <c r="T1640" s="8"/>
      <c r="U1640" s="8"/>
    </row>
    <row r="1641" spans="20:21">
      <c r="T1641" s="8"/>
      <c r="U1641" s="8"/>
    </row>
    <row r="1642" spans="20:21">
      <c r="T1642" s="8"/>
      <c r="U1642" s="8"/>
    </row>
    <row r="1643" spans="20:21">
      <c r="T1643" s="8"/>
      <c r="U1643" s="8"/>
    </row>
    <row r="1644" spans="20:21">
      <c r="T1644" s="8"/>
      <c r="U1644" s="8"/>
    </row>
    <row r="1645" spans="20:21">
      <c r="T1645" s="8"/>
      <c r="U1645" s="8"/>
    </row>
    <row r="1646" spans="20:21">
      <c r="T1646" s="8"/>
      <c r="U1646" s="8"/>
    </row>
    <row r="1647" spans="20:21">
      <c r="T1647" s="8"/>
      <c r="U1647" s="8"/>
    </row>
    <row r="1648" spans="20:21">
      <c r="T1648" s="8"/>
      <c r="U1648" s="8"/>
    </row>
    <row r="1649" spans="20:21">
      <c r="T1649" s="8"/>
      <c r="U1649" s="8"/>
    </row>
    <row r="1650" spans="20:21">
      <c r="T1650" s="8"/>
      <c r="U1650" s="8"/>
    </row>
    <row r="1651" spans="20:21">
      <c r="T1651" s="8"/>
      <c r="U1651" s="8"/>
    </row>
    <row r="1652" spans="20:21">
      <c r="T1652" s="8"/>
      <c r="U1652" s="8"/>
    </row>
    <row r="1653" spans="20:21">
      <c r="T1653" s="8"/>
      <c r="U1653" s="8"/>
    </row>
    <row r="1654" spans="20:21">
      <c r="T1654" s="8"/>
      <c r="U1654" s="8"/>
    </row>
    <row r="1655" spans="20:21">
      <c r="T1655" s="8"/>
      <c r="U1655" s="8"/>
    </row>
    <row r="1656" spans="20:21">
      <c r="T1656" s="8"/>
      <c r="U1656" s="8"/>
    </row>
    <row r="1657" spans="20:21">
      <c r="T1657" s="8"/>
      <c r="U1657" s="8"/>
    </row>
    <row r="1658" spans="20:21">
      <c r="T1658" s="8"/>
      <c r="U1658" s="8"/>
    </row>
    <row r="1659" spans="20:21">
      <c r="T1659" s="8"/>
      <c r="U1659" s="8"/>
    </row>
    <row r="1660" spans="20:21">
      <c r="T1660" s="8"/>
      <c r="U1660" s="8"/>
    </row>
    <row r="1661" spans="20:21">
      <c r="T1661" s="8"/>
      <c r="U1661" s="8"/>
    </row>
    <row r="1662" spans="20:21">
      <c r="T1662" s="8"/>
      <c r="U1662" s="8"/>
    </row>
    <row r="1663" spans="20:21">
      <c r="T1663" s="8"/>
      <c r="U1663" s="8"/>
    </row>
    <row r="1664" spans="20:21">
      <c r="T1664" s="8"/>
      <c r="U1664" s="8"/>
    </row>
    <row r="1665" spans="20:21">
      <c r="T1665" s="8"/>
      <c r="U1665" s="8"/>
    </row>
    <row r="1666" spans="20:21">
      <c r="T1666" s="8"/>
      <c r="U1666" s="8"/>
    </row>
    <row r="1667" spans="20:21">
      <c r="T1667" s="8"/>
      <c r="U1667" s="8"/>
    </row>
    <row r="1668" spans="20:21">
      <c r="T1668" s="8"/>
      <c r="U1668" s="8"/>
    </row>
    <row r="1669" spans="20:21">
      <c r="T1669" s="8"/>
      <c r="U1669" s="8"/>
    </row>
    <row r="1670" spans="20:21">
      <c r="T1670" s="8"/>
      <c r="U1670" s="8"/>
    </row>
    <row r="1671" spans="20:21">
      <c r="T1671" s="8"/>
      <c r="U1671" s="8"/>
    </row>
    <row r="1672" spans="20:21">
      <c r="T1672" s="8"/>
      <c r="U1672" s="8"/>
    </row>
    <row r="1673" spans="20:21">
      <c r="T1673" s="8"/>
      <c r="U1673" s="8"/>
    </row>
    <row r="1674" spans="20:21">
      <c r="T1674" s="8"/>
      <c r="U1674" s="8"/>
    </row>
    <row r="1675" spans="20:21">
      <c r="T1675" s="8"/>
      <c r="U1675" s="8"/>
    </row>
    <row r="1676" spans="20:21">
      <c r="T1676" s="8"/>
      <c r="U1676" s="8"/>
    </row>
    <row r="1677" spans="20:21">
      <c r="T1677" s="8"/>
      <c r="U1677" s="8"/>
    </row>
    <row r="1678" spans="20:21">
      <c r="T1678" s="8"/>
      <c r="U1678" s="8"/>
    </row>
    <row r="1679" spans="20:21">
      <c r="T1679" s="8"/>
      <c r="U1679" s="8"/>
    </row>
    <row r="1680" spans="20:21">
      <c r="T1680" s="8"/>
      <c r="U1680" s="8"/>
    </row>
    <row r="1681" spans="20:21">
      <c r="T1681" s="8"/>
      <c r="U1681" s="8"/>
    </row>
    <row r="1682" spans="20:21">
      <c r="T1682" s="8"/>
      <c r="U1682" s="8"/>
    </row>
    <row r="1683" spans="20:21">
      <c r="T1683" s="8"/>
      <c r="U1683" s="8"/>
    </row>
    <row r="1684" spans="20:21">
      <c r="T1684" s="8"/>
      <c r="U1684" s="8"/>
    </row>
    <row r="1685" spans="20:21">
      <c r="T1685" s="8"/>
      <c r="U1685" s="8"/>
    </row>
    <row r="1686" spans="20:21">
      <c r="T1686" s="8"/>
      <c r="U1686" s="8"/>
    </row>
    <row r="1687" spans="20:21">
      <c r="T1687" s="8"/>
      <c r="U1687" s="8"/>
    </row>
    <row r="1688" spans="20:21">
      <c r="T1688" s="8"/>
      <c r="U1688" s="8"/>
    </row>
    <row r="1689" spans="20:21">
      <c r="T1689" s="8"/>
      <c r="U1689" s="8"/>
    </row>
    <row r="1690" spans="20:21">
      <c r="T1690" s="8"/>
      <c r="U1690" s="8"/>
    </row>
    <row r="1691" spans="20:21">
      <c r="T1691" s="8"/>
      <c r="U1691" s="8"/>
    </row>
    <row r="1692" spans="20:21">
      <c r="T1692" s="8"/>
      <c r="U1692" s="8"/>
    </row>
    <row r="1693" spans="20:21">
      <c r="T1693" s="8"/>
      <c r="U1693" s="8"/>
    </row>
    <row r="1694" spans="20:21">
      <c r="T1694" s="8"/>
      <c r="U1694" s="8"/>
    </row>
    <row r="1695" spans="20:21">
      <c r="T1695" s="8"/>
      <c r="U1695" s="8"/>
    </row>
    <row r="1696" spans="20:21">
      <c r="T1696" s="8"/>
      <c r="U1696" s="8"/>
    </row>
    <row r="1697" spans="20:21">
      <c r="T1697" s="8"/>
      <c r="U1697" s="8"/>
    </row>
    <row r="1698" spans="20:21">
      <c r="T1698" s="8"/>
      <c r="U1698" s="8"/>
    </row>
    <row r="1699" spans="20:21">
      <c r="T1699" s="8"/>
      <c r="U1699" s="8"/>
    </row>
    <row r="1700" spans="20:21">
      <c r="T1700" s="8"/>
      <c r="U1700" s="8"/>
    </row>
    <row r="1701" spans="20:21">
      <c r="T1701" s="8"/>
      <c r="U1701" s="8"/>
    </row>
    <row r="1702" spans="20:21">
      <c r="T1702" s="8"/>
      <c r="U1702" s="8"/>
    </row>
    <row r="1703" spans="20:21">
      <c r="T1703" s="8"/>
      <c r="U1703" s="8"/>
    </row>
    <row r="1704" spans="20:21">
      <c r="T1704" s="8"/>
      <c r="U1704" s="8"/>
    </row>
    <row r="1705" spans="20:21">
      <c r="T1705" s="8"/>
      <c r="U1705" s="8"/>
    </row>
    <row r="1706" spans="20:21">
      <c r="T1706" s="8"/>
      <c r="U1706" s="8"/>
    </row>
    <row r="1707" spans="20:21">
      <c r="T1707" s="8"/>
      <c r="U1707" s="8"/>
    </row>
    <row r="1708" spans="20:21">
      <c r="T1708" s="8"/>
      <c r="U1708" s="8"/>
    </row>
    <row r="1709" spans="20:21">
      <c r="T1709" s="8"/>
      <c r="U1709" s="8"/>
    </row>
    <row r="1710" spans="20:21">
      <c r="T1710" s="8"/>
      <c r="U1710" s="8"/>
    </row>
    <row r="1711" spans="20:21">
      <c r="T1711" s="8"/>
      <c r="U1711" s="8"/>
    </row>
    <row r="1712" spans="20:21">
      <c r="T1712" s="8"/>
      <c r="U1712" s="8"/>
    </row>
    <row r="1713" spans="20:21">
      <c r="T1713" s="8"/>
      <c r="U1713" s="8"/>
    </row>
    <row r="1714" spans="20:21">
      <c r="T1714" s="8"/>
      <c r="U1714" s="8"/>
    </row>
    <row r="1715" spans="20:21">
      <c r="T1715" s="8"/>
      <c r="U1715" s="8"/>
    </row>
    <row r="1716" spans="20:21">
      <c r="T1716" s="8"/>
      <c r="U1716" s="8"/>
    </row>
    <row r="1717" spans="20:21">
      <c r="T1717" s="8"/>
      <c r="U1717" s="8"/>
    </row>
    <row r="1718" spans="20:21">
      <c r="T1718" s="8"/>
      <c r="U1718" s="8"/>
    </row>
    <row r="1719" spans="20:21">
      <c r="T1719" s="8"/>
      <c r="U1719" s="8"/>
    </row>
    <row r="1720" spans="20:21">
      <c r="T1720" s="8"/>
      <c r="U1720" s="8"/>
    </row>
    <row r="1721" spans="20:21">
      <c r="T1721" s="8"/>
      <c r="U1721" s="8"/>
    </row>
    <row r="1722" spans="20:21">
      <c r="T1722" s="8"/>
      <c r="U1722" s="8"/>
    </row>
    <row r="1723" spans="20:21">
      <c r="T1723" s="8"/>
      <c r="U1723" s="8"/>
    </row>
    <row r="1724" spans="20:21">
      <c r="T1724" s="8"/>
      <c r="U1724" s="8"/>
    </row>
    <row r="1725" spans="20:21">
      <c r="T1725" s="8"/>
      <c r="U1725" s="8"/>
    </row>
    <row r="1726" spans="20:21">
      <c r="T1726" s="8"/>
      <c r="U1726" s="8"/>
    </row>
    <row r="1727" spans="20:21">
      <c r="T1727" s="8"/>
      <c r="U1727" s="8"/>
    </row>
    <row r="1728" spans="20:21">
      <c r="T1728" s="8"/>
      <c r="U1728" s="8"/>
    </row>
    <row r="1729" spans="20:21">
      <c r="T1729" s="8"/>
      <c r="U1729" s="8"/>
    </row>
    <row r="1730" spans="20:21">
      <c r="T1730" s="8"/>
      <c r="U1730" s="8"/>
    </row>
    <row r="1731" spans="20:21">
      <c r="T1731" s="8"/>
      <c r="U1731" s="8"/>
    </row>
    <row r="1732" spans="20:21">
      <c r="T1732" s="8"/>
      <c r="U1732" s="8"/>
    </row>
    <row r="1733" spans="20:21">
      <c r="T1733" s="8"/>
      <c r="U1733" s="8"/>
    </row>
    <row r="1734" spans="20:21">
      <c r="T1734" s="8"/>
      <c r="U1734" s="8"/>
    </row>
    <row r="1735" spans="20:21">
      <c r="T1735" s="8"/>
      <c r="U1735" s="8"/>
    </row>
    <row r="1736" spans="20:21">
      <c r="T1736" s="8"/>
      <c r="U1736" s="8"/>
    </row>
    <row r="1737" spans="20:21">
      <c r="T1737" s="8"/>
      <c r="U1737" s="8"/>
    </row>
    <row r="1738" spans="20:21">
      <c r="T1738" s="8"/>
      <c r="U1738" s="8"/>
    </row>
    <row r="1739" spans="20:21">
      <c r="T1739" s="8"/>
      <c r="U1739" s="8"/>
    </row>
    <row r="1740" spans="20:21">
      <c r="T1740" s="8"/>
      <c r="U1740" s="8"/>
    </row>
    <row r="1741" spans="20:21">
      <c r="T1741" s="8"/>
      <c r="U1741" s="8"/>
    </row>
    <row r="1742" spans="20:21">
      <c r="T1742" s="8"/>
      <c r="U1742" s="8"/>
    </row>
    <row r="1743" spans="20:21">
      <c r="T1743" s="8"/>
      <c r="U1743" s="8"/>
    </row>
    <row r="1744" spans="20:21">
      <c r="T1744" s="8"/>
      <c r="U1744" s="8"/>
    </row>
    <row r="1745" spans="20:21">
      <c r="T1745" s="8"/>
      <c r="U1745" s="8"/>
    </row>
    <row r="1746" spans="20:21">
      <c r="T1746" s="8"/>
      <c r="U1746" s="8"/>
    </row>
    <row r="1747" spans="20:21">
      <c r="T1747" s="8"/>
      <c r="U1747" s="8"/>
    </row>
    <row r="1748" spans="20:21">
      <c r="T1748" s="8"/>
      <c r="U1748" s="8"/>
    </row>
    <row r="1749" spans="20:21">
      <c r="T1749" s="8"/>
      <c r="U1749" s="8"/>
    </row>
    <row r="1750" spans="20:21">
      <c r="T1750" s="8"/>
      <c r="U1750" s="8"/>
    </row>
    <row r="1751" spans="20:21">
      <c r="T1751" s="8"/>
      <c r="U1751" s="8"/>
    </row>
    <row r="1752" spans="20:21">
      <c r="T1752" s="8"/>
      <c r="U1752" s="8"/>
    </row>
    <row r="1753" spans="20:21">
      <c r="T1753" s="8"/>
      <c r="U1753" s="8"/>
    </row>
    <row r="1754" spans="20:21">
      <c r="T1754" s="8"/>
      <c r="U1754" s="8"/>
    </row>
    <row r="1755" spans="20:21">
      <c r="T1755" s="8"/>
      <c r="U1755" s="8"/>
    </row>
    <row r="1756" spans="20:21">
      <c r="T1756" s="8"/>
      <c r="U1756" s="8"/>
    </row>
    <row r="1757" spans="20:21">
      <c r="T1757" s="8"/>
      <c r="U1757" s="8"/>
    </row>
    <row r="1758" spans="20:21">
      <c r="T1758" s="8"/>
      <c r="U1758" s="8"/>
    </row>
    <row r="1759" spans="20:21">
      <c r="T1759" s="8"/>
      <c r="U1759" s="8"/>
    </row>
    <row r="1760" spans="20:21">
      <c r="T1760" s="8"/>
      <c r="U1760" s="8"/>
    </row>
    <row r="1761" spans="20:21">
      <c r="T1761" s="8"/>
      <c r="U1761" s="8"/>
    </row>
    <row r="1762" spans="20:21">
      <c r="T1762" s="8"/>
      <c r="U1762" s="8"/>
    </row>
    <row r="1763" spans="20:21">
      <c r="T1763" s="8"/>
      <c r="U1763" s="8"/>
    </row>
    <row r="1764" spans="20:21">
      <c r="T1764" s="8"/>
      <c r="U1764" s="8"/>
    </row>
    <row r="1765" spans="20:21">
      <c r="T1765" s="8"/>
      <c r="U1765" s="8"/>
    </row>
    <row r="1766" spans="20:21">
      <c r="T1766" s="8"/>
      <c r="U1766" s="8"/>
    </row>
    <row r="1767" spans="20:21">
      <c r="T1767" s="8"/>
      <c r="U1767" s="8"/>
    </row>
    <row r="1768" spans="20:21">
      <c r="T1768" s="8"/>
      <c r="U1768" s="8"/>
    </row>
    <row r="1769" spans="20:21">
      <c r="T1769" s="8"/>
      <c r="U1769" s="8"/>
    </row>
    <row r="1770" spans="20:21">
      <c r="T1770" s="8"/>
      <c r="U1770" s="8"/>
    </row>
    <row r="1771" spans="20:21">
      <c r="T1771" s="8"/>
      <c r="U1771" s="8"/>
    </row>
    <row r="1772" spans="20:21">
      <c r="T1772" s="8"/>
      <c r="U1772" s="8"/>
    </row>
    <row r="1773" spans="20:21">
      <c r="T1773" s="8"/>
      <c r="U1773" s="8"/>
    </row>
    <row r="1774" spans="20:21">
      <c r="T1774" s="8"/>
      <c r="U1774" s="8"/>
    </row>
    <row r="1775" spans="20:21">
      <c r="T1775" s="8"/>
      <c r="U1775" s="8"/>
    </row>
    <row r="1776" spans="20:21">
      <c r="T1776" s="8"/>
      <c r="U1776" s="8"/>
    </row>
    <row r="1777" spans="20:21">
      <c r="T1777" s="8"/>
      <c r="U1777" s="8"/>
    </row>
    <row r="1778" spans="20:21">
      <c r="T1778" s="8"/>
      <c r="U1778" s="8"/>
    </row>
    <row r="1779" spans="20:21">
      <c r="T1779" s="8"/>
      <c r="U1779" s="8"/>
    </row>
    <row r="1780" spans="20:21">
      <c r="T1780" s="8"/>
      <c r="U1780" s="8"/>
    </row>
    <row r="1781" spans="20:21">
      <c r="T1781" s="8"/>
      <c r="U1781" s="8"/>
    </row>
    <row r="1782" spans="20:21">
      <c r="T1782" s="8"/>
      <c r="U1782" s="8"/>
    </row>
    <row r="1783" spans="20:21">
      <c r="T1783" s="8"/>
      <c r="U1783" s="8"/>
    </row>
    <row r="1784" spans="20:21">
      <c r="T1784" s="8"/>
      <c r="U1784" s="8"/>
    </row>
    <row r="1785" spans="20:21">
      <c r="T1785" s="8"/>
      <c r="U1785" s="8"/>
    </row>
    <row r="1786" spans="20:21">
      <c r="T1786" s="8"/>
      <c r="U1786" s="8"/>
    </row>
    <row r="1787" spans="20:21">
      <c r="T1787" s="8"/>
      <c r="U1787" s="8"/>
    </row>
    <row r="1788" spans="20:21">
      <c r="T1788" s="8"/>
      <c r="U1788" s="8"/>
    </row>
    <row r="1789" spans="20:21">
      <c r="T1789" s="8"/>
      <c r="U1789" s="8"/>
    </row>
    <row r="1790" spans="20:21">
      <c r="T1790" s="8"/>
      <c r="U1790" s="8"/>
    </row>
    <row r="1791" spans="20:21">
      <c r="T1791" s="8"/>
      <c r="U1791" s="8"/>
    </row>
    <row r="1792" spans="20:21">
      <c r="T1792" s="8"/>
      <c r="U1792" s="8"/>
    </row>
    <row r="1793" spans="20:21">
      <c r="T1793" s="8"/>
      <c r="U1793" s="8"/>
    </row>
    <row r="1794" spans="20:21">
      <c r="T1794" s="8"/>
      <c r="U1794" s="8"/>
    </row>
    <row r="1795" spans="20:21">
      <c r="T1795" s="8"/>
      <c r="U1795" s="8"/>
    </row>
    <row r="1796" spans="20:21">
      <c r="T1796" s="8"/>
      <c r="U1796" s="8"/>
    </row>
    <row r="1797" spans="20:21">
      <c r="T1797" s="8"/>
      <c r="U1797" s="8"/>
    </row>
    <row r="1798" spans="20:21">
      <c r="T1798" s="8"/>
      <c r="U1798" s="8"/>
    </row>
    <row r="1799" spans="20:21">
      <c r="T1799" s="8"/>
      <c r="U1799" s="8"/>
    </row>
    <row r="1800" spans="20:21">
      <c r="T1800" s="8"/>
      <c r="U1800" s="8"/>
    </row>
    <row r="1801" spans="20:21">
      <c r="T1801" s="8"/>
      <c r="U1801" s="8"/>
    </row>
    <row r="1802" spans="20:21">
      <c r="T1802" s="8"/>
      <c r="U1802" s="8"/>
    </row>
    <row r="1803" spans="20:21">
      <c r="T1803" s="8"/>
      <c r="U1803" s="8"/>
    </row>
    <row r="1804" spans="20:21">
      <c r="T1804" s="8"/>
      <c r="U1804" s="8"/>
    </row>
    <row r="1805" spans="20:21">
      <c r="T1805" s="8"/>
      <c r="U1805" s="8"/>
    </row>
    <row r="1806" spans="20:21">
      <c r="T1806" s="8"/>
      <c r="U1806" s="8"/>
    </row>
    <row r="1807" spans="20:21">
      <c r="T1807" s="8"/>
      <c r="U1807" s="8"/>
    </row>
    <row r="1808" spans="20:21">
      <c r="T1808" s="8"/>
      <c r="U1808" s="8"/>
    </row>
    <row r="1809" spans="20:21">
      <c r="T1809" s="8"/>
      <c r="U1809" s="8"/>
    </row>
    <row r="1810" spans="20:21">
      <c r="T1810" s="8"/>
      <c r="U1810" s="8"/>
    </row>
    <row r="1811" spans="20:21">
      <c r="T1811" s="8"/>
      <c r="U1811" s="8"/>
    </row>
    <row r="1812" spans="20:21">
      <c r="T1812" s="8"/>
      <c r="U1812" s="8"/>
    </row>
    <row r="1813" spans="20:21">
      <c r="T1813" s="8"/>
      <c r="U1813" s="8"/>
    </row>
    <row r="1814" spans="20:21">
      <c r="T1814" s="8"/>
      <c r="U1814" s="8"/>
    </row>
    <row r="1815" spans="20:21">
      <c r="T1815" s="8"/>
      <c r="U1815" s="8"/>
    </row>
    <row r="1816" spans="20:21">
      <c r="T1816" s="8"/>
      <c r="U1816" s="8"/>
    </row>
    <row r="1817" spans="20:21">
      <c r="T1817" s="8"/>
      <c r="U1817" s="8"/>
    </row>
    <row r="1818" spans="20:21">
      <c r="T1818" s="8"/>
      <c r="U1818" s="8"/>
    </row>
    <row r="1819" spans="20:21">
      <c r="T1819" s="8"/>
      <c r="U1819" s="8"/>
    </row>
    <row r="1820" spans="20:21">
      <c r="T1820" s="8"/>
      <c r="U1820" s="8"/>
    </row>
    <row r="1821" spans="20:21">
      <c r="T1821" s="8"/>
      <c r="U1821" s="8"/>
    </row>
    <row r="1822" spans="20:21">
      <c r="T1822" s="8"/>
      <c r="U1822" s="8"/>
    </row>
    <row r="1823" spans="20:21">
      <c r="T1823" s="8"/>
      <c r="U1823" s="8"/>
    </row>
    <row r="1824" spans="20:21">
      <c r="T1824" s="8"/>
      <c r="U1824" s="8"/>
    </row>
    <row r="1825" spans="20:21">
      <c r="T1825" s="8"/>
      <c r="U1825" s="8"/>
    </row>
    <row r="1826" spans="20:21">
      <c r="T1826" s="8"/>
      <c r="U1826" s="8"/>
    </row>
    <row r="1827" spans="20:21">
      <c r="T1827" s="8"/>
      <c r="U1827" s="8"/>
    </row>
    <row r="1828" spans="20:21">
      <c r="T1828" s="8"/>
      <c r="U1828" s="8"/>
    </row>
    <row r="1829" spans="20:21">
      <c r="T1829" s="8"/>
      <c r="U1829" s="8"/>
    </row>
    <row r="1830" spans="20:21">
      <c r="T1830" s="8"/>
      <c r="U1830" s="8"/>
    </row>
    <row r="1831" spans="20:21">
      <c r="T1831" s="8"/>
      <c r="U1831" s="8"/>
    </row>
    <row r="1832" spans="20:21">
      <c r="T1832" s="8"/>
      <c r="U1832" s="8"/>
    </row>
    <row r="1833" spans="20:21">
      <c r="T1833" s="8"/>
      <c r="U1833" s="8"/>
    </row>
    <row r="1834" spans="20:21">
      <c r="T1834" s="8"/>
      <c r="U1834" s="8"/>
    </row>
    <row r="1835" spans="20:21">
      <c r="T1835" s="8"/>
      <c r="U1835" s="8"/>
    </row>
    <row r="1836" spans="20:21">
      <c r="T1836" s="8"/>
      <c r="U1836" s="8"/>
    </row>
    <row r="1837" spans="20:21">
      <c r="T1837" s="8"/>
      <c r="U1837" s="8"/>
    </row>
    <row r="1838" spans="20:21">
      <c r="T1838" s="8"/>
      <c r="U1838" s="8"/>
    </row>
    <row r="1839" spans="20:21">
      <c r="T1839" s="8"/>
      <c r="U1839" s="8"/>
    </row>
    <row r="1840" spans="20:21">
      <c r="T1840" s="8"/>
      <c r="U1840" s="8"/>
    </row>
    <row r="1841" spans="20:21">
      <c r="T1841" s="8"/>
      <c r="U1841" s="8"/>
    </row>
    <row r="1842" spans="20:21">
      <c r="T1842" s="8"/>
      <c r="U1842" s="8"/>
    </row>
    <row r="1843" spans="20:21">
      <c r="T1843" s="8"/>
      <c r="U1843" s="8"/>
    </row>
    <row r="1844" spans="20:21">
      <c r="T1844" s="8"/>
      <c r="U1844" s="8"/>
    </row>
    <row r="1845" spans="20:21">
      <c r="T1845" s="8"/>
      <c r="U1845" s="8"/>
    </row>
    <row r="1846" spans="20:21">
      <c r="T1846" s="8"/>
      <c r="U1846" s="8"/>
    </row>
    <row r="1847" spans="20:21">
      <c r="T1847" s="8"/>
      <c r="U1847" s="8"/>
    </row>
    <row r="1848" spans="20:21">
      <c r="T1848" s="8"/>
      <c r="U1848" s="8"/>
    </row>
    <row r="1849" spans="20:21">
      <c r="T1849" s="8"/>
      <c r="U1849" s="8"/>
    </row>
    <row r="1850" spans="20:21">
      <c r="T1850" s="8"/>
      <c r="U1850" s="8"/>
    </row>
    <row r="1851" spans="20:21">
      <c r="T1851" s="8"/>
      <c r="U1851" s="8"/>
    </row>
    <row r="1852" spans="20:21">
      <c r="T1852" s="8"/>
      <c r="U1852" s="8"/>
    </row>
    <row r="1853" spans="20:21">
      <c r="T1853" s="8"/>
      <c r="U1853" s="8"/>
    </row>
    <row r="1854" spans="20:21">
      <c r="T1854" s="8"/>
      <c r="U1854" s="8"/>
    </row>
    <row r="1855" spans="20:21">
      <c r="T1855" s="8"/>
      <c r="U1855" s="8"/>
    </row>
    <row r="1856" spans="20:21">
      <c r="T1856" s="8"/>
      <c r="U1856" s="8"/>
    </row>
    <row r="1857" spans="20:21">
      <c r="T1857" s="8"/>
      <c r="U1857" s="8"/>
    </row>
    <row r="1858" spans="20:21">
      <c r="T1858" s="8"/>
      <c r="U1858" s="8"/>
    </row>
    <row r="1859" spans="20:21">
      <c r="T1859" s="8"/>
      <c r="U1859" s="8"/>
    </row>
    <row r="1860" spans="20:21">
      <c r="T1860" s="8"/>
      <c r="U1860" s="8"/>
    </row>
    <row r="1861" spans="20:21">
      <c r="T1861" s="8"/>
      <c r="U1861" s="8"/>
    </row>
    <row r="1862" spans="20:21">
      <c r="T1862" s="8"/>
      <c r="U1862" s="8"/>
    </row>
    <row r="1863" spans="20:21">
      <c r="T1863" s="8"/>
      <c r="U1863" s="8"/>
    </row>
    <row r="1864" spans="20:21">
      <c r="T1864" s="8"/>
      <c r="U1864" s="8"/>
    </row>
    <row r="1865" spans="20:21">
      <c r="T1865" s="8"/>
      <c r="U1865" s="8"/>
    </row>
    <row r="1866" spans="20:21">
      <c r="T1866" s="8"/>
      <c r="U1866" s="8"/>
    </row>
    <row r="1867" spans="20:21">
      <c r="T1867" s="8"/>
      <c r="U1867" s="8"/>
    </row>
    <row r="1868" spans="20:21">
      <c r="T1868" s="8"/>
      <c r="U1868" s="8"/>
    </row>
    <row r="1869" spans="20:21">
      <c r="T1869" s="8"/>
      <c r="U1869" s="8"/>
    </row>
    <row r="1870" spans="20:21">
      <c r="T1870" s="8"/>
      <c r="U1870" s="8"/>
    </row>
    <row r="1871" spans="20:21">
      <c r="T1871" s="8"/>
      <c r="U1871" s="8"/>
    </row>
    <row r="1872" spans="20:21">
      <c r="T1872" s="8"/>
      <c r="U1872" s="8"/>
    </row>
    <row r="1873" spans="20:21">
      <c r="T1873" s="8"/>
      <c r="U1873" s="8"/>
    </row>
    <row r="1874" spans="20:21">
      <c r="T1874" s="8"/>
      <c r="U1874" s="8"/>
    </row>
    <row r="1875" spans="20:21">
      <c r="T1875" s="8"/>
      <c r="U1875" s="8"/>
    </row>
    <row r="1876" spans="20:21">
      <c r="T1876" s="8"/>
      <c r="U1876" s="8"/>
    </row>
    <row r="1877" spans="20:21">
      <c r="T1877" s="8"/>
      <c r="U1877" s="8"/>
    </row>
    <row r="1878" spans="20:21">
      <c r="T1878" s="8"/>
      <c r="U1878" s="8"/>
    </row>
    <row r="1879" spans="20:21">
      <c r="T1879" s="8"/>
      <c r="U1879" s="8"/>
    </row>
    <row r="1880" spans="20:21">
      <c r="T1880" s="8"/>
      <c r="U1880" s="8"/>
    </row>
    <row r="1881" spans="20:21">
      <c r="T1881" s="8"/>
      <c r="U1881" s="8"/>
    </row>
    <row r="1882" spans="20:21">
      <c r="T1882" s="8"/>
      <c r="U1882" s="8"/>
    </row>
    <row r="1883" spans="20:21">
      <c r="T1883" s="8"/>
      <c r="U1883" s="8"/>
    </row>
    <row r="1884" spans="20:21">
      <c r="T1884" s="8"/>
      <c r="U1884" s="8"/>
    </row>
    <row r="1885" spans="20:21">
      <c r="T1885" s="8"/>
      <c r="U1885" s="8"/>
    </row>
    <row r="1886" spans="20:21">
      <c r="T1886" s="8"/>
      <c r="U1886" s="8"/>
    </row>
    <row r="1887" spans="20:21">
      <c r="T1887" s="8"/>
      <c r="U1887" s="8"/>
    </row>
    <row r="1888" spans="20:21">
      <c r="T1888" s="8"/>
      <c r="U1888" s="8"/>
    </row>
    <row r="1889" spans="20:21">
      <c r="T1889" s="8"/>
      <c r="U1889" s="8"/>
    </row>
    <row r="1890" spans="20:21">
      <c r="T1890" s="8"/>
      <c r="U1890" s="8"/>
    </row>
    <row r="1891" spans="20:21">
      <c r="T1891" s="8"/>
      <c r="U1891" s="8"/>
    </row>
    <row r="1892" spans="20:21">
      <c r="T1892" s="8"/>
      <c r="U1892" s="8"/>
    </row>
    <row r="1893" spans="20:21">
      <c r="T1893" s="8"/>
      <c r="U1893" s="8"/>
    </row>
    <row r="1894" spans="20:21">
      <c r="T1894" s="8"/>
      <c r="U1894" s="8"/>
    </row>
    <row r="1895" spans="20:21">
      <c r="T1895" s="8"/>
      <c r="U1895" s="8"/>
    </row>
    <row r="1896" spans="20:21">
      <c r="T1896" s="8"/>
      <c r="U1896" s="8"/>
    </row>
    <row r="1897" spans="20:21">
      <c r="T1897" s="8"/>
      <c r="U1897" s="8"/>
    </row>
    <row r="1898" spans="20:21">
      <c r="T1898" s="8"/>
      <c r="U1898" s="8"/>
    </row>
    <row r="1899" spans="20:21">
      <c r="T1899" s="8"/>
      <c r="U1899" s="8"/>
    </row>
    <row r="1900" spans="20:21">
      <c r="T1900" s="8"/>
      <c r="U1900" s="8"/>
    </row>
    <row r="1901" spans="20:21">
      <c r="T1901" s="8"/>
      <c r="U1901" s="8"/>
    </row>
    <row r="1902" spans="20:21">
      <c r="T1902" s="8"/>
      <c r="U1902" s="8"/>
    </row>
    <row r="1903" spans="20:21">
      <c r="T1903" s="8"/>
      <c r="U1903" s="8"/>
    </row>
    <row r="1904" spans="20:21">
      <c r="T1904" s="8"/>
      <c r="U1904" s="8"/>
    </row>
    <row r="1905" spans="20:21">
      <c r="T1905" s="8"/>
      <c r="U1905" s="8"/>
    </row>
    <row r="1906" spans="20:21">
      <c r="T1906" s="8"/>
      <c r="U1906" s="8"/>
    </row>
    <row r="1907" spans="20:21">
      <c r="T1907" s="8"/>
      <c r="U1907" s="8"/>
    </row>
    <row r="1908" spans="20:21">
      <c r="T1908" s="8"/>
      <c r="U1908" s="8"/>
    </row>
    <row r="1909" spans="20:21">
      <c r="T1909" s="8"/>
      <c r="U1909" s="8"/>
    </row>
    <row r="1910" spans="20:21">
      <c r="T1910" s="8"/>
      <c r="U1910" s="8"/>
    </row>
    <row r="1911" spans="20:21">
      <c r="T1911" s="8"/>
      <c r="U1911" s="8"/>
    </row>
    <row r="1912" spans="20:21">
      <c r="T1912" s="8"/>
      <c r="U1912" s="8"/>
    </row>
    <row r="1913" spans="20:21">
      <c r="T1913" s="8"/>
      <c r="U1913" s="8"/>
    </row>
    <row r="1914" spans="20:21">
      <c r="T1914" s="8"/>
      <c r="U1914" s="8"/>
    </row>
    <row r="1915" spans="20:21">
      <c r="T1915" s="8"/>
      <c r="U1915" s="8"/>
    </row>
    <row r="1916" spans="20:21">
      <c r="T1916" s="8"/>
      <c r="U1916" s="8"/>
    </row>
    <row r="1917" spans="20:21">
      <c r="T1917" s="8"/>
      <c r="U1917" s="8"/>
    </row>
    <row r="1918" spans="20:21">
      <c r="T1918" s="8"/>
      <c r="U1918" s="8"/>
    </row>
    <row r="1919" spans="20:21">
      <c r="T1919" s="8"/>
      <c r="U1919" s="8"/>
    </row>
    <row r="1920" spans="20:21">
      <c r="T1920" s="8"/>
      <c r="U1920" s="8"/>
    </row>
    <row r="1921" spans="20:21">
      <c r="T1921" s="8"/>
      <c r="U1921" s="8"/>
    </row>
    <row r="1922" spans="20:21">
      <c r="T1922" s="8"/>
      <c r="U1922" s="8"/>
    </row>
    <row r="1923" spans="20:21">
      <c r="T1923" s="8"/>
      <c r="U1923" s="8"/>
    </row>
    <row r="1924" spans="20:21">
      <c r="T1924" s="8"/>
      <c r="U1924" s="8"/>
    </row>
    <row r="1925" spans="20:21">
      <c r="T1925" s="8"/>
      <c r="U1925" s="8"/>
    </row>
    <row r="1926" spans="20:21">
      <c r="T1926" s="8"/>
      <c r="U1926" s="8"/>
    </row>
    <row r="1927" spans="20:21">
      <c r="T1927" s="8"/>
      <c r="U1927" s="8"/>
    </row>
    <row r="1928" spans="20:21">
      <c r="T1928" s="8"/>
      <c r="U1928" s="8"/>
    </row>
    <row r="1929" spans="20:21">
      <c r="T1929" s="8"/>
      <c r="U1929" s="8"/>
    </row>
    <row r="1930" spans="20:21">
      <c r="T1930" s="8"/>
      <c r="U1930" s="8"/>
    </row>
    <row r="1931" spans="20:21">
      <c r="T1931" s="8"/>
      <c r="U1931" s="8"/>
    </row>
    <row r="1932" spans="20:21">
      <c r="T1932" s="8"/>
      <c r="U1932" s="8"/>
    </row>
    <row r="1933" spans="20:21">
      <c r="T1933" s="8"/>
      <c r="U1933" s="8"/>
    </row>
    <row r="1934" spans="20:21">
      <c r="T1934" s="8"/>
      <c r="U1934" s="8"/>
    </row>
    <row r="1935" spans="20:21">
      <c r="T1935" s="8"/>
      <c r="U1935" s="8"/>
    </row>
    <row r="1936" spans="20:21">
      <c r="T1936" s="8"/>
      <c r="U1936" s="8"/>
    </row>
    <row r="1937" spans="20:21">
      <c r="T1937" s="8"/>
      <c r="U1937" s="8"/>
    </row>
    <row r="1938" spans="20:21">
      <c r="T1938" s="8"/>
      <c r="U1938" s="8"/>
    </row>
    <row r="1939" spans="20:21">
      <c r="T1939" s="8"/>
      <c r="U1939" s="8"/>
    </row>
    <row r="1940" spans="20:21">
      <c r="T1940" s="8"/>
      <c r="U1940" s="8"/>
    </row>
    <row r="1941" spans="20:21">
      <c r="T1941" s="8"/>
      <c r="U1941" s="8"/>
    </row>
    <row r="1942" spans="20:21">
      <c r="T1942" s="8"/>
      <c r="U1942" s="8"/>
    </row>
    <row r="1943" spans="20:21">
      <c r="T1943" s="8"/>
      <c r="U1943" s="8"/>
    </row>
    <row r="1944" spans="20:21">
      <c r="T1944" s="8"/>
      <c r="U1944" s="8"/>
    </row>
    <row r="1945" spans="20:21">
      <c r="T1945" s="8"/>
      <c r="U1945" s="8"/>
    </row>
    <row r="1946" spans="20:21">
      <c r="T1946" s="8"/>
      <c r="U1946" s="8"/>
    </row>
    <row r="1947" spans="20:21">
      <c r="T1947" s="8"/>
      <c r="U1947" s="8"/>
    </row>
    <row r="1948" spans="20:21">
      <c r="T1948" s="8"/>
      <c r="U1948" s="8"/>
    </row>
    <row r="1949" spans="20:21">
      <c r="T1949" s="8"/>
      <c r="U1949" s="8"/>
    </row>
    <row r="1950" spans="20:21">
      <c r="T1950" s="8"/>
      <c r="U1950" s="8"/>
    </row>
    <row r="1951" spans="20:21">
      <c r="T1951" s="8"/>
      <c r="U1951" s="8"/>
    </row>
    <row r="1952" spans="20:21">
      <c r="T1952" s="8"/>
      <c r="U1952" s="8"/>
    </row>
    <row r="1953" spans="20:21">
      <c r="T1953" s="8"/>
      <c r="U1953" s="8"/>
    </row>
    <row r="1954" spans="20:21">
      <c r="T1954" s="8"/>
      <c r="U1954" s="8"/>
    </row>
    <row r="1955" spans="20:21">
      <c r="T1955" s="8"/>
      <c r="U1955" s="8"/>
    </row>
    <row r="1956" spans="20:21">
      <c r="T1956" s="8"/>
      <c r="U1956" s="8"/>
    </row>
    <row r="1957" spans="20:21">
      <c r="T1957" s="8"/>
      <c r="U1957" s="8"/>
    </row>
    <row r="1958" spans="20:21">
      <c r="T1958" s="8"/>
      <c r="U1958" s="8"/>
    </row>
    <row r="1959" spans="20:21">
      <c r="T1959" s="8"/>
      <c r="U1959" s="8"/>
    </row>
    <row r="1960" spans="20:21">
      <c r="T1960" s="8"/>
      <c r="U1960" s="8"/>
    </row>
    <row r="1961" spans="20:21">
      <c r="T1961" s="8"/>
      <c r="U1961" s="8"/>
    </row>
    <row r="1962" spans="20:21">
      <c r="T1962" s="8"/>
      <c r="U1962" s="8"/>
    </row>
    <row r="1963" spans="20:21">
      <c r="T1963" s="8"/>
      <c r="U1963" s="8"/>
    </row>
    <row r="1964" spans="20:21">
      <c r="T1964" s="8"/>
      <c r="U1964" s="8"/>
    </row>
    <row r="1965" spans="20:21">
      <c r="T1965" s="8"/>
      <c r="U1965" s="8"/>
    </row>
    <row r="1966" spans="20:21">
      <c r="T1966" s="8"/>
      <c r="U1966" s="8"/>
    </row>
    <row r="1967" spans="20:21">
      <c r="T1967" s="8"/>
      <c r="U1967" s="8"/>
    </row>
    <row r="1968" spans="20:21">
      <c r="T1968" s="8"/>
      <c r="U1968" s="8"/>
    </row>
    <row r="1969" spans="20:21">
      <c r="T1969" s="8"/>
      <c r="U1969" s="8"/>
    </row>
    <row r="1970" spans="20:21">
      <c r="T1970" s="8"/>
      <c r="U1970" s="8"/>
    </row>
    <row r="1971" spans="20:21">
      <c r="T1971" s="8"/>
      <c r="U1971" s="8"/>
    </row>
    <row r="1972" spans="20:21">
      <c r="T1972" s="8"/>
      <c r="U1972" s="8"/>
    </row>
    <row r="1973" spans="20:21">
      <c r="T1973" s="8"/>
      <c r="U1973" s="8"/>
    </row>
    <row r="1974" spans="20:21">
      <c r="T1974" s="8"/>
      <c r="U1974" s="8"/>
    </row>
    <row r="1975" spans="20:21">
      <c r="T1975" s="8"/>
      <c r="U1975" s="8"/>
    </row>
    <row r="1976" spans="20:21">
      <c r="T1976" s="8"/>
      <c r="U1976" s="8"/>
    </row>
    <row r="1977" spans="20:21">
      <c r="T1977" s="8"/>
      <c r="U1977" s="8"/>
    </row>
    <row r="1978" spans="20:21">
      <c r="T1978" s="8"/>
      <c r="U1978" s="8"/>
    </row>
    <row r="1979" spans="20:21">
      <c r="T1979" s="8"/>
      <c r="U1979" s="8"/>
    </row>
    <row r="1980" spans="20:21">
      <c r="T1980" s="8"/>
      <c r="U1980" s="8"/>
    </row>
    <row r="1981" spans="20:21">
      <c r="T1981" s="8"/>
      <c r="U1981" s="8"/>
    </row>
    <row r="1982" spans="20:21">
      <c r="T1982" s="8"/>
      <c r="U1982" s="8"/>
    </row>
    <row r="1983" spans="20:21">
      <c r="T1983" s="8"/>
      <c r="U1983" s="8"/>
    </row>
    <row r="1984" spans="20:21">
      <c r="T1984" s="8"/>
      <c r="U1984" s="8"/>
    </row>
    <row r="1985" spans="20:21">
      <c r="T1985" s="8"/>
      <c r="U1985" s="8"/>
    </row>
    <row r="1986" spans="20:21">
      <c r="T1986" s="8"/>
      <c r="U1986" s="8"/>
    </row>
    <row r="1987" spans="20:21">
      <c r="T1987" s="8"/>
      <c r="U1987" s="8"/>
    </row>
    <row r="1988" spans="20:21">
      <c r="T1988" s="8"/>
      <c r="U1988" s="8"/>
    </row>
    <row r="1989" spans="20:21">
      <c r="T1989" s="8"/>
      <c r="U1989" s="8"/>
    </row>
    <row r="1990" spans="20:21">
      <c r="T1990" s="8"/>
      <c r="U1990" s="8"/>
    </row>
    <row r="1991" spans="20:21">
      <c r="T1991" s="8"/>
      <c r="U1991" s="8"/>
    </row>
    <row r="1992" spans="20:21">
      <c r="T1992" s="8"/>
      <c r="U1992" s="8"/>
    </row>
    <row r="1993" spans="20:21">
      <c r="T1993" s="8"/>
      <c r="U1993" s="8"/>
    </row>
    <row r="1994" spans="20:21">
      <c r="T1994" s="8"/>
      <c r="U1994" s="8"/>
    </row>
    <row r="1995" spans="20:21">
      <c r="T1995" s="8"/>
      <c r="U1995" s="8"/>
    </row>
    <row r="1996" spans="20:21">
      <c r="T1996" s="8"/>
      <c r="U1996" s="8"/>
    </row>
    <row r="1997" spans="20:21">
      <c r="T1997" s="8"/>
      <c r="U1997" s="8"/>
    </row>
    <row r="1998" spans="20:21">
      <c r="T1998" s="8"/>
      <c r="U1998" s="8"/>
    </row>
    <row r="1999" spans="20:21">
      <c r="T1999" s="8"/>
      <c r="U1999" s="8"/>
    </row>
    <row r="2000" spans="20:21">
      <c r="T2000" s="8"/>
      <c r="U2000" s="8"/>
    </row>
    <row r="2001" spans="20:21">
      <c r="T2001" s="8"/>
      <c r="U2001" s="8"/>
    </row>
    <row r="2002" spans="20:21">
      <c r="T2002" s="8"/>
      <c r="U2002" s="8"/>
    </row>
    <row r="2003" spans="20:21">
      <c r="T2003" s="8"/>
      <c r="U2003" s="8"/>
    </row>
    <row r="2004" spans="20:21">
      <c r="T2004" s="8"/>
      <c r="U2004" s="8"/>
    </row>
    <row r="2005" spans="20:21">
      <c r="T2005" s="8"/>
      <c r="U2005" s="8"/>
    </row>
    <row r="2006" spans="20:21">
      <c r="T2006" s="8"/>
      <c r="U2006" s="8"/>
    </row>
    <row r="2007" spans="20:21">
      <c r="T2007" s="8"/>
      <c r="U2007" s="8"/>
    </row>
    <row r="2008" spans="20:21">
      <c r="T2008" s="8"/>
      <c r="U2008" s="8"/>
    </row>
    <row r="2009" spans="20:21">
      <c r="T2009" s="8"/>
      <c r="U2009" s="8"/>
    </row>
    <row r="2010" spans="20:21">
      <c r="T2010" s="8"/>
      <c r="U2010" s="8"/>
    </row>
    <row r="2011" spans="20:21">
      <c r="T2011" s="8"/>
      <c r="U2011" s="8"/>
    </row>
    <row r="2012" spans="20:21">
      <c r="T2012" s="8"/>
      <c r="U2012" s="8"/>
    </row>
    <row r="2013" spans="20:21">
      <c r="T2013" s="8"/>
      <c r="U2013" s="8"/>
    </row>
    <row r="2014" spans="20:21">
      <c r="T2014" s="8"/>
      <c r="U2014" s="8"/>
    </row>
    <row r="2015" spans="20:21">
      <c r="T2015" s="8"/>
      <c r="U2015" s="8"/>
    </row>
    <row r="2016" spans="20:21">
      <c r="T2016" s="8"/>
      <c r="U2016" s="8"/>
    </row>
    <row r="2017" spans="20:21">
      <c r="T2017" s="8"/>
      <c r="U2017" s="8"/>
    </row>
    <row r="2018" spans="20:21">
      <c r="T2018" s="8"/>
      <c r="U2018" s="8"/>
    </row>
    <row r="2019" spans="20:21">
      <c r="T2019" s="8"/>
      <c r="U2019" s="8"/>
    </row>
    <row r="2020" spans="20:21">
      <c r="T2020" s="8"/>
      <c r="U2020" s="8"/>
    </row>
    <row r="2021" spans="20:21">
      <c r="T2021" s="8"/>
      <c r="U2021" s="8"/>
    </row>
    <row r="2022" spans="20:21">
      <c r="T2022" s="8"/>
      <c r="U2022" s="8"/>
    </row>
    <row r="2023" spans="20:21">
      <c r="T2023" s="8"/>
      <c r="U2023" s="8"/>
    </row>
    <row r="2024" spans="20:21">
      <c r="T2024" s="8"/>
      <c r="U2024" s="8"/>
    </row>
    <row r="2025" spans="20:21">
      <c r="T2025" s="8"/>
      <c r="U2025" s="8"/>
    </row>
    <row r="2026" spans="20:21">
      <c r="T2026" s="8"/>
      <c r="U2026" s="8"/>
    </row>
    <row r="2027" spans="20:21">
      <c r="T2027" s="8"/>
      <c r="U2027" s="8"/>
    </row>
    <row r="2028" spans="20:21">
      <c r="T2028" s="8"/>
      <c r="U2028" s="8"/>
    </row>
    <row r="2029" spans="20:21">
      <c r="T2029" s="8"/>
      <c r="U2029" s="8"/>
    </row>
    <row r="2030" spans="20:21">
      <c r="T2030" s="8"/>
      <c r="U2030" s="8"/>
    </row>
    <row r="2031" spans="20:21">
      <c r="T2031" s="8"/>
      <c r="U2031" s="8"/>
    </row>
    <row r="2032" spans="20:21">
      <c r="T2032" s="8"/>
      <c r="U2032" s="8"/>
    </row>
    <row r="2033" spans="20:21">
      <c r="T2033" s="8"/>
      <c r="U2033" s="8"/>
    </row>
    <row r="2034" spans="20:21">
      <c r="T2034" s="8"/>
      <c r="U2034" s="8"/>
    </row>
    <row r="2035" spans="20:21">
      <c r="T2035" s="8"/>
      <c r="U2035" s="8"/>
    </row>
    <row r="2036" spans="20:21">
      <c r="T2036" s="8"/>
      <c r="U2036" s="8"/>
    </row>
    <row r="2037" spans="20:21">
      <c r="T2037" s="8"/>
      <c r="U2037" s="8"/>
    </row>
    <row r="2038" spans="20:21">
      <c r="T2038" s="8"/>
      <c r="U2038" s="8"/>
    </row>
    <row r="2039" spans="20:21">
      <c r="T2039" s="8"/>
      <c r="U2039" s="8"/>
    </row>
    <row r="2040" spans="20:21">
      <c r="T2040" s="8"/>
      <c r="U2040" s="8"/>
    </row>
    <row r="2041" spans="20:21">
      <c r="T2041" s="8"/>
      <c r="U2041" s="8"/>
    </row>
    <row r="2042" spans="20:21">
      <c r="T2042" s="8"/>
      <c r="U2042" s="8"/>
    </row>
    <row r="2043" spans="20:21">
      <c r="T2043" s="8"/>
      <c r="U2043" s="8"/>
    </row>
    <row r="2044" spans="20:21">
      <c r="T2044" s="8"/>
      <c r="U2044" s="8"/>
    </row>
    <row r="2045" spans="20:21">
      <c r="T2045" s="8"/>
      <c r="U2045" s="8"/>
    </row>
    <row r="2046" spans="20:21">
      <c r="T2046" s="8"/>
      <c r="U2046" s="8"/>
    </row>
    <row r="2047" spans="20:21">
      <c r="T2047" s="8"/>
      <c r="U2047" s="8"/>
    </row>
    <row r="2048" spans="20:21">
      <c r="T2048" s="8"/>
      <c r="U2048" s="8"/>
    </row>
    <row r="2049" spans="20:21">
      <c r="T2049" s="8"/>
      <c r="U2049" s="8"/>
    </row>
    <row r="2050" spans="20:21">
      <c r="T2050" s="8"/>
      <c r="U2050" s="8"/>
    </row>
    <row r="2051" spans="20:21">
      <c r="T2051" s="8"/>
      <c r="U2051" s="8"/>
    </row>
    <row r="2052" spans="20:21">
      <c r="T2052" s="8"/>
      <c r="U2052" s="8"/>
    </row>
    <row r="2053" spans="20:21">
      <c r="T2053" s="8"/>
      <c r="U2053" s="8"/>
    </row>
    <row r="2054" spans="20:21">
      <c r="T2054" s="8"/>
      <c r="U2054" s="8"/>
    </row>
    <row r="2055" spans="20:21">
      <c r="T2055" s="8"/>
      <c r="U2055" s="8"/>
    </row>
    <row r="2056" spans="20:21">
      <c r="T2056" s="8"/>
      <c r="U2056" s="8"/>
    </row>
    <row r="2057" spans="20:21">
      <c r="T2057" s="8"/>
      <c r="U2057" s="8"/>
    </row>
    <row r="2058" spans="20:21">
      <c r="T2058" s="8"/>
      <c r="U2058" s="8"/>
    </row>
    <row r="2059" spans="20:21">
      <c r="T2059" s="8"/>
      <c r="U2059" s="8"/>
    </row>
    <row r="2060" spans="20:21">
      <c r="T2060" s="8"/>
      <c r="U2060" s="8"/>
    </row>
    <row r="2061" spans="20:21">
      <c r="T2061" s="8"/>
      <c r="U2061" s="8"/>
    </row>
    <row r="2062" spans="20:21">
      <c r="T2062" s="8"/>
      <c r="U2062" s="8"/>
    </row>
    <row r="2063" spans="20:21">
      <c r="T2063" s="8"/>
      <c r="U2063" s="8"/>
    </row>
    <row r="2064" spans="20:21">
      <c r="T2064" s="8"/>
      <c r="U2064" s="8"/>
    </row>
    <row r="2065" spans="20:21">
      <c r="T2065" s="8"/>
      <c r="U2065" s="8"/>
    </row>
    <row r="2066" spans="20:21">
      <c r="T2066" s="8"/>
      <c r="U2066" s="8"/>
    </row>
    <row r="2067" spans="20:21">
      <c r="T2067" s="8"/>
      <c r="U2067" s="8"/>
    </row>
    <row r="2068" spans="20:21">
      <c r="T2068" s="8"/>
      <c r="U2068" s="8"/>
    </row>
    <row r="2069" spans="20:21">
      <c r="T2069" s="8"/>
      <c r="U2069" s="8"/>
    </row>
    <row r="2070" spans="20:21">
      <c r="T2070" s="8"/>
      <c r="U2070" s="8"/>
    </row>
    <row r="2071" spans="20:21">
      <c r="T2071" s="8"/>
      <c r="U2071" s="8"/>
    </row>
    <row r="2072" spans="20:21">
      <c r="T2072" s="8"/>
      <c r="U2072" s="8"/>
    </row>
    <row r="2073" spans="20:21">
      <c r="T2073" s="8"/>
      <c r="U2073" s="8"/>
    </row>
    <row r="2074" spans="20:21">
      <c r="T2074" s="8"/>
      <c r="U2074" s="8"/>
    </row>
    <row r="2075" spans="20:21">
      <c r="T2075" s="8"/>
      <c r="U2075" s="8"/>
    </row>
    <row r="2076" spans="20:21">
      <c r="T2076" s="8"/>
      <c r="U2076" s="8"/>
    </row>
    <row r="2077" spans="20:21">
      <c r="T2077" s="8"/>
      <c r="U2077" s="8"/>
    </row>
    <row r="2078" spans="20:21">
      <c r="T2078" s="8"/>
      <c r="U2078" s="8"/>
    </row>
    <row r="2079" spans="20:21">
      <c r="T2079" s="8"/>
      <c r="U2079" s="8"/>
    </row>
    <row r="2080" spans="20:21">
      <c r="T2080" s="8"/>
      <c r="U2080" s="8"/>
    </row>
    <row r="2081" spans="20:21">
      <c r="T2081" s="8"/>
      <c r="U2081" s="8"/>
    </row>
    <row r="2082" spans="20:21">
      <c r="T2082" s="8"/>
      <c r="U2082" s="8"/>
    </row>
    <row r="2083" spans="20:21">
      <c r="T2083" s="8"/>
      <c r="U2083" s="8"/>
    </row>
    <row r="2084" spans="20:21">
      <c r="T2084" s="8"/>
      <c r="U2084" s="8"/>
    </row>
    <row r="2085" spans="20:21">
      <c r="T2085" s="8"/>
      <c r="U2085" s="8"/>
    </row>
    <row r="2086" spans="20:21">
      <c r="T2086" s="8"/>
      <c r="U2086" s="8"/>
    </row>
    <row r="2087" spans="20:21">
      <c r="T2087" s="8"/>
      <c r="U2087" s="8"/>
    </row>
    <row r="2088" spans="20:21">
      <c r="T2088" s="8"/>
      <c r="U2088" s="8"/>
    </row>
    <row r="2089" spans="20:21">
      <c r="T2089" s="8"/>
      <c r="U2089" s="8"/>
    </row>
    <row r="2090" spans="20:21">
      <c r="T2090" s="8"/>
      <c r="U2090" s="8"/>
    </row>
    <row r="2091" spans="20:21">
      <c r="T2091" s="8"/>
      <c r="U2091" s="8"/>
    </row>
    <row r="2092" spans="20:21">
      <c r="T2092" s="8"/>
      <c r="U2092" s="8"/>
    </row>
    <row r="2093" spans="20:21">
      <c r="T2093" s="8"/>
      <c r="U2093" s="8"/>
    </row>
    <row r="2094" spans="20:21">
      <c r="T2094" s="8"/>
      <c r="U2094" s="8"/>
    </row>
    <row r="2095" spans="20:21">
      <c r="T2095" s="8"/>
      <c r="U2095" s="8"/>
    </row>
    <row r="2096" spans="20:21">
      <c r="T2096" s="8"/>
      <c r="U2096" s="8"/>
    </row>
    <row r="2097" spans="20:21">
      <c r="T2097" s="8"/>
      <c r="U2097" s="8"/>
    </row>
    <row r="2098" spans="20:21">
      <c r="T2098" s="8"/>
      <c r="U2098" s="8"/>
    </row>
    <row r="2099" spans="20:21">
      <c r="T2099" s="8"/>
      <c r="U2099" s="8"/>
    </row>
    <row r="2100" spans="20:21">
      <c r="T2100" s="8"/>
      <c r="U2100" s="8"/>
    </row>
    <row r="2101" spans="20:21">
      <c r="T2101" s="8"/>
      <c r="U2101" s="8"/>
    </row>
    <row r="2102" spans="20:21">
      <c r="T2102" s="8"/>
      <c r="U2102" s="8"/>
    </row>
    <row r="2103" spans="20:21">
      <c r="T2103" s="8"/>
      <c r="U2103" s="8"/>
    </row>
    <row r="2104" spans="20:21">
      <c r="T2104" s="8"/>
      <c r="U2104" s="8"/>
    </row>
    <row r="2105" spans="20:21">
      <c r="T2105" s="8"/>
      <c r="U2105" s="8"/>
    </row>
    <row r="2106" spans="20:21">
      <c r="T2106" s="8"/>
      <c r="U2106" s="8"/>
    </row>
    <row r="2107" spans="20:21">
      <c r="T2107" s="8"/>
      <c r="U2107" s="8"/>
    </row>
    <row r="2108" spans="20:21">
      <c r="T2108" s="8"/>
      <c r="U2108" s="8"/>
    </row>
    <row r="2109" spans="20:21">
      <c r="T2109" s="8"/>
      <c r="U2109" s="8"/>
    </row>
    <row r="2110" spans="20:21">
      <c r="T2110" s="8"/>
      <c r="U2110" s="8"/>
    </row>
    <row r="2111" spans="20:21">
      <c r="T2111" s="8"/>
      <c r="U2111" s="8"/>
    </row>
    <row r="2112" spans="20:21">
      <c r="T2112" s="8"/>
      <c r="U2112" s="8"/>
    </row>
    <row r="2113" spans="20:21">
      <c r="T2113" s="8"/>
      <c r="U2113" s="8"/>
    </row>
    <row r="2114" spans="20:21">
      <c r="T2114" s="8"/>
      <c r="U2114" s="8"/>
    </row>
    <row r="2115" spans="20:21">
      <c r="T2115" s="8"/>
      <c r="U2115" s="8"/>
    </row>
    <row r="2116" spans="20:21">
      <c r="T2116" s="8"/>
      <c r="U2116" s="8"/>
    </row>
    <row r="2117" spans="20:21">
      <c r="T2117" s="8"/>
      <c r="U2117" s="8"/>
    </row>
    <row r="2118" spans="20:21">
      <c r="T2118" s="8"/>
      <c r="U2118" s="8"/>
    </row>
    <row r="2119" spans="20:21">
      <c r="T2119" s="8"/>
      <c r="U2119" s="8"/>
    </row>
    <row r="2120" spans="20:21">
      <c r="T2120" s="8"/>
      <c r="U2120" s="8"/>
    </row>
    <row r="2121" spans="20:21">
      <c r="T2121" s="8"/>
      <c r="U2121" s="8"/>
    </row>
    <row r="2122" spans="20:21">
      <c r="T2122" s="8"/>
      <c r="U2122" s="8"/>
    </row>
    <row r="2123" spans="20:21">
      <c r="T2123" s="8"/>
      <c r="U2123" s="8"/>
    </row>
    <row r="2124" spans="20:21">
      <c r="T2124" s="8"/>
      <c r="U2124" s="8"/>
    </row>
    <row r="2125" spans="20:21">
      <c r="T2125" s="8"/>
      <c r="U2125" s="8"/>
    </row>
    <row r="2126" spans="20:21">
      <c r="T2126" s="8"/>
      <c r="U2126" s="8"/>
    </row>
    <row r="2127" spans="20:21">
      <c r="T2127" s="8"/>
      <c r="U2127" s="8"/>
    </row>
    <row r="2128" spans="20:21">
      <c r="T2128" s="8"/>
      <c r="U2128" s="8"/>
    </row>
    <row r="2129" spans="20:21">
      <c r="T2129" s="8"/>
      <c r="U2129" s="8"/>
    </row>
    <row r="2130" spans="20:21">
      <c r="T2130" s="8"/>
      <c r="U2130" s="8"/>
    </row>
    <row r="2131" spans="20:21">
      <c r="T2131" s="8"/>
      <c r="U2131" s="8"/>
    </row>
    <row r="2132" spans="20:21">
      <c r="T2132" s="8"/>
      <c r="U2132" s="8"/>
    </row>
    <row r="2133" spans="20:21">
      <c r="T2133" s="8"/>
      <c r="U2133" s="8"/>
    </row>
    <row r="2134" spans="20:21">
      <c r="T2134" s="8"/>
      <c r="U2134" s="8"/>
    </row>
    <row r="2135" spans="20:21">
      <c r="T2135" s="8"/>
      <c r="U2135" s="8"/>
    </row>
    <row r="2136" spans="20:21">
      <c r="T2136" s="8"/>
      <c r="U2136" s="8"/>
    </row>
    <row r="2137" spans="20:21">
      <c r="T2137" s="8"/>
      <c r="U2137" s="8"/>
    </row>
    <row r="2138" spans="20:21">
      <c r="T2138" s="8"/>
      <c r="U2138" s="8"/>
    </row>
    <row r="2139" spans="20:21">
      <c r="T2139" s="8"/>
      <c r="U2139" s="8"/>
    </row>
    <row r="2140" spans="20:21">
      <c r="T2140" s="8"/>
      <c r="U2140" s="8"/>
    </row>
    <row r="2141" spans="20:21">
      <c r="T2141" s="8"/>
      <c r="U2141" s="8"/>
    </row>
    <row r="2142" spans="20:21">
      <c r="T2142" s="8"/>
      <c r="U2142" s="8"/>
    </row>
    <row r="2143" spans="20:21">
      <c r="T2143" s="8"/>
      <c r="U2143" s="8"/>
    </row>
    <row r="2144" spans="20:21">
      <c r="T2144" s="8"/>
      <c r="U2144" s="8"/>
    </row>
    <row r="2145" spans="20:21">
      <c r="T2145" s="8"/>
      <c r="U2145" s="8"/>
    </row>
    <row r="2146" spans="20:21">
      <c r="T2146" s="8"/>
      <c r="U2146" s="8"/>
    </row>
    <row r="2147" spans="20:21">
      <c r="T2147" s="8"/>
      <c r="U2147" s="8"/>
    </row>
    <row r="2148" spans="20:21">
      <c r="T2148" s="8"/>
      <c r="U2148" s="8"/>
    </row>
    <row r="2149" spans="20:21">
      <c r="T2149" s="8"/>
      <c r="U2149" s="8"/>
    </row>
    <row r="2150" spans="20:21">
      <c r="T2150" s="8"/>
      <c r="U2150" s="8"/>
    </row>
    <row r="2151" spans="20:21">
      <c r="T2151" s="8"/>
      <c r="U2151" s="8"/>
    </row>
    <row r="2152" spans="20:21">
      <c r="T2152" s="8"/>
      <c r="U2152" s="8"/>
    </row>
    <row r="2153" spans="20:21">
      <c r="T2153" s="8"/>
      <c r="U2153" s="8"/>
    </row>
    <row r="2154" spans="20:21">
      <c r="T2154" s="8"/>
      <c r="U2154" s="8"/>
    </row>
    <row r="2155" spans="20:21">
      <c r="T2155" s="8"/>
      <c r="U2155" s="8"/>
    </row>
    <row r="2156" spans="20:21">
      <c r="T2156" s="8"/>
      <c r="U2156" s="8"/>
    </row>
    <row r="2157" spans="20:21">
      <c r="T2157" s="8"/>
      <c r="U2157" s="8"/>
    </row>
    <row r="2158" spans="20:21">
      <c r="T2158" s="8"/>
      <c r="U2158" s="8"/>
    </row>
    <row r="2159" spans="20:21">
      <c r="T2159" s="8"/>
      <c r="U2159" s="8"/>
    </row>
    <row r="2160" spans="20:21">
      <c r="T2160" s="8"/>
      <c r="U2160" s="8"/>
    </row>
    <row r="2161" spans="20:21">
      <c r="T2161" s="8"/>
      <c r="U2161" s="8"/>
    </row>
    <row r="2162" spans="20:21">
      <c r="T2162" s="8"/>
      <c r="U2162" s="8"/>
    </row>
    <row r="2163" spans="20:21">
      <c r="T2163" s="8"/>
      <c r="U2163" s="8"/>
    </row>
    <row r="2164" spans="20:21">
      <c r="T2164" s="8"/>
      <c r="U2164" s="8"/>
    </row>
    <row r="2165" spans="20:21">
      <c r="T2165" s="8"/>
      <c r="U2165" s="8"/>
    </row>
    <row r="2166" spans="20:21">
      <c r="T2166" s="8"/>
      <c r="U2166" s="8"/>
    </row>
    <row r="2167" spans="20:21">
      <c r="T2167" s="8"/>
      <c r="U2167" s="8"/>
    </row>
    <row r="2168" spans="20:21">
      <c r="T2168" s="8"/>
      <c r="U2168" s="8"/>
    </row>
    <row r="2169" spans="20:21">
      <c r="T2169" s="8"/>
      <c r="U2169" s="8"/>
    </row>
    <row r="2170" spans="20:21">
      <c r="T2170" s="8"/>
      <c r="U2170" s="8"/>
    </row>
    <row r="2171" spans="20:21">
      <c r="T2171" s="8"/>
      <c r="U2171" s="8"/>
    </row>
    <row r="2172" spans="20:21">
      <c r="T2172" s="8"/>
      <c r="U2172" s="8"/>
    </row>
    <row r="2173" spans="20:21">
      <c r="T2173" s="8"/>
      <c r="U2173" s="8"/>
    </row>
    <row r="2174" spans="20:21">
      <c r="T2174" s="8"/>
      <c r="U2174" s="8"/>
    </row>
    <row r="2175" spans="20:21">
      <c r="T2175" s="8"/>
      <c r="U2175" s="8"/>
    </row>
    <row r="2176" spans="20:21">
      <c r="T2176" s="8"/>
      <c r="U2176" s="8"/>
    </row>
    <row r="2177" spans="20:21">
      <c r="T2177" s="8"/>
      <c r="U2177" s="8"/>
    </row>
    <row r="2178" spans="20:21">
      <c r="T2178" s="8"/>
      <c r="U2178" s="8"/>
    </row>
    <row r="2179" spans="20:21">
      <c r="T2179" s="8"/>
      <c r="U2179" s="8"/>
    </row>
    <row r="2180" spans="20:21">
      <c r="T2180" s="8"/>
      <c r="U2180" s="8"/>
    </row>
    <row r="2181" spans="20:21">
      <c r="T2181" s="8"/>
      <c r="U2181" s="8"/>
    </row>
    <row r="2182" spans="20:21">
      <c r="T2182" s="8"/>
      <c r="U2182" s="8"/>
    </row>
    <row r="2183" spans="20:21">
      <c r="T2183" s="8"/>
      <c r="U2183" s="8"/>
    </row>
    <row r="2184" spans="20:21">
      <c r="T2184" s="8"/>
      <c r="U2184" s="8"/>
    </row>
    <row r="2185" spans="20:21">
      <c r="T2185" s="8"/>
      <c r="U2185" s="8"/>
    </row>
    <row r="2186" spans="20:21">
      <c r="T2186" s="8"/>
      <c r="U2186" s="8"/>
    </row>
    <row r="2187" spans="20:21">
      <c r="T2187" s="8"/>
      <c r="U2187" s="8"/>
    </row>
    <row r="2188" spans="20:21">
      <c r="T2188" s="8"/>
      <c r="U2188" s="8"/>
    </row>
    <row r="2189" spans="20:21">
      <c r="T2189" s="8"/>
      <c r="U2189" s="8"/>
    </row>
    <row r="2190" spans="20:21">
      <c r="T2190" s="8"/>
      <c r="U2190" s="8"/>
    </row>
    <row r="2191" spans="20:21">
      <c r="T2191" s="8"/>
      <c r="U2191" s="8"/>
    </row>
    <row r="2192" spans="20:21">
      <c r="T2192" s="8"/>
      <c r="U2192" s="8"/>
    </row>
    <row r="2193" spans="20:21">
      <c r="T2193" s="8"/>
      <c r="U2193" s="8"/>
    </row>
    <row r="2194" spans="20:21">
      <c r="T2194" s="8"/>
      <c r="U2194" s="8"/>
    </row>
    <row r="2195" spans="20:21">
      <c r="T2195" s="8"/>
      <c r="U2195" s="8"/>
    </row>
    <row r="2196" spans="20:21">
      <c r="T2196" s="8"/>
      <c r="U2196" s="8"/>
    </row>
    <row r="2197" spans="20:21">
      <c r="T2197" s="8"/>
      <c r="U2197" s="8"/>
    </row>
    <row r="2198" spans="20:21">
      <c r="T2198" s="8"/>
      <c r="U2198" s="8"/>
    </row>
    <row r="2199" spans="20:21">
      <c r="T2199" s="8"/>
      <c r="U2199" s="8"/>
    </row>
    <row r="2200" spans="20:21">
      <c r="T2200" s="8"/>
      <c r="U2200" s="8"/>
    </row>
    <row r="2201" spans="20:21">
      <c r="T2201" s="8"/>
      <c r="U2201" s="8"/>
    </row>
    <row r="2202" spans="20:21">
      <c r="T2202" s="8"/>
      <c r="U2202" s="8"/>
    </row>
    <row r="2203" spans="20:21">
      <c r="T2203" s="8"/>
      <c r="U2203" s="8"/>
    </row>
    <row r="2204" spans="20:21">
      <c r="T2204" s="8"/>
      <c r="U2204" s="8"/>
    </row>
    <row r="2205" spans="20:21">
      <c r="T2205" s="8"/>
      <c r="U2205" s="8"/>
    </row>
    <row r="2206" spans="20:21">
      <c r="T2206" s="8"/>
      <c r="U2206" s="8"/>
    </row>
    <row r="2207" spans="20:21">
      <c r="T2207" s="8"/>
      <c r="U2207" s="8"/>
    </row>
    <row r="2208" spans="20:21">
      <c r="T2208" s="8"/>
      <c r="U2208" s="8"/>
    </row>
    <row r="2209" spans="20:21">
      <c r="T2209" s="8"/>
      <c r="U2209" s="8"/>
    </row>
    <row r="2210" spans="20:21">
      <c r="T2210" s="8"/>
      <c r="U2210" s="8"/>
    </row>
    <row r="2211" spans="20:21">
      <c r="T2211" s="8"/>
      <c r="U2211" s="8"/>
    </row>
    <row r="2212" spans="20:21">
      <c r="T2212" s="8"/>
      <c r="U2212" s="8"/>
    </row>
    <row r="2213" spans="20:21">
      <c r="T2213" s="8"/>
      <c r="U2213" s="8"/>
    </row>
    <row r="2214" spans="20:21">
      <c r="T2214" s="8"/>
      <c r="U2214" s="8"/>
    </row>
    <row r="2215" spans="20:21">
      <c r="T2215" s="8"/>
      <c r="U2215" s="8"/>
    </row>
    <row r="2216" spans="20:21">
      <c r="T2216" s="8"/>
      <c r="U2216" s="8"/>
    </row>
    <row r="2217" spans="20:21">
      <c r="T2217" s="8"/>
      <c r="U2217" s="8"/>
    </row>
    <row r="2218" spans="20:21">
      <c r="T2218" s="8"/>
      <c r="U2218" s="8"/>
    </row>
    <row r="2219" spans="20:21">
      <c r="T2219" s="8"/>
      <c r="U2219" s="8"/>
    </row>
    <row r="2220" spans="20:21">
      <c r="T2220" s="8"/>
      <c r="U2220" s="8"/>
    </row>
    <row r="2221" spans="20:21">
      <c r="T2221" s="8"/>
      <c r="U2221" s="8"/>
    </row>
    <row r="2222" spans="20:21">
      <c r="T2222" s="8"/>
      <c r="U2222" s="8"/>
    </row>
    <row r="2223" spans="20:21">
      <c r="T2223" s="8"/>
      <c r="U2223" s="8"/>
    </row>
    <row r="2224" spans="20:21">
      <c r="T2224" s="8"/>
      <c r="U2224" s="8"/>
    </row>
    <row r="2225" spans="20:21">
      <c r="T2225" s="8"/>
      <c r="U2225" s="8"/>
    </row>
    <row r="2226" spans="20:21">
      <c r="T2226" s="8"/>
      <c r="U2226" s="8"/>
    </row>
    <row r="2227" spans="20:21">
      <c r="T2227" s="8"/>
      <c r="U2227" s="8"/>
    </row>
    <row r="2228" spans="20:21">
      <c r="T2228" s="8"/>
      <c r="U2228" s="8"/>
    </row>
    <row r="2229" spans="20:21">
      <c r="T2229" s="8"/>
      <c r="U2229" s="8"/>
    </row>
    <row r="2230" spans="20:21">
      <c r="T2230" s="8"/>
      <c r="U2230" s="8"/>
    </row>
    <row r="2231" spans="20:21">
      <c r="T2231" s="8"/>
      <c r="U2231" s="8"/>
    </row>
    <row r="2232" spans="20:21">
      <c r="T2232" s="8"/>
      <c r="U2232" s="8"/>
    </row>
    <row r="2233" spans="20:21">
      <c r="T2233" s="8"/>
      <c r="U2233" s="8"/>
    </row>
    <row r="2234" spans="20:21">
      <c r="T2234" s="8"/>
      <c r="U2234" s="8"/>
    </row>
    <row r="2235" spans="20:21">
      <c r="T2235" s="8"/>
      <c r="U2235" s="8"/>
    </row>
    <row r="2236" spans="20:21">
      <c r="T2236" s="8"/>
      <c r="U2236" s="8"/>
    </row>
    <row r="2237" spans="20:21">
      <c r="T2237" s="8"/>
      <c r="U2237" s="8"/>
    </row>
    <row r="2238" spans="20:21">
      <c r="T2238" s="8"/>
      <c r="U2238" s="8"/>
    </row>
    <row r="2239" spans="20:21">
      <c r="T2239" s="8"/>
      <c r="U2239" s="8"/>
    </row>
    <row r="2240" spans="20:21">
      <c r="T2240" s="8"/>
      <c r="U2240" s="8"/>
    </row>
    <row r="2241" spans="20:21">
      <c r="T2241" s="8"/>
      <c r="U2241" s="8"/>
    </row>
    <row r="2242" spans="20:21">
      <c r="T2242" s="8"/>
      <c r="U2242" s="8"/>
    </row>
    <row r="2243" spans="20:21">
      <c r="T2243" s="8"/>
      <c r="U2243" s="8"/>
    </row>
    <row r="2244" spans="20:21">
      <c r="T2244" s="8"/>
      <c r="U2244" s="8"/>
    </row>
    <row r="2245" spans="20:21">
      <c r="T2245" s="8"/>
      <c r="U2245" s="8"/>
    </row>
    <row r="2246" spans="20:21">
      <c r="T2246" s="8"/>
      <c r="U2246" s="8"/>
    </row>
    <row r="2247" spans="20:21">
      <c r="T2247" s="8"/>
      <c r="U2247" s="8"/>
    </row>
    <row r="2248" spans="20:21">
      <c r="T2248" s="8"/>
      <c r="U2248" s="8"/>
    </row>
    <row r="2249" spans="20:21">
      <c r="T2249" s="8"/>
      <c r="U2249" s="8"/>
    </row>
    <row r="2250" spans="20:21">
      <c r="T2250" s="8"/>
      <c r="U2250" s="8"/>
    </row>
    <row r="2251" spans="20:21">
      <c r="T2251" s="8"/>
      <c r="U2251" s="8"/>
    </row>
    <row r="2252" spans="20:21">
      <c r="T2252" s="8"/>
      <c r="U2252" s="8"/>
    </row>
    <row r="2253" spans="20:21">
      <c r="T2253" s="8"/>
      <c r="U2253" s="8"/>
    </row>
    <row r="2254" spans="20:21">
      <c r="T2254" s="8"/>
      <c r="U2254" s="8"/>
    </row>
    <row r="2255" spans="20:21">
      <c r="T2255" s="8"/>
      <c r="U2255" s="8"/>
    </row>
    <row r="2256" spans="20:21">
      <c r="T2256" s="8"/>
      <c r="U2256" s="8"/>
    </row>
    <row r="2257" spans="20:21">
      <c r="T2257" s="8"/>
      <c r="U2257" s="8"/>
    </row>
    <row r="2258" spans="20:21">
      <c r="T2258" s="8"/>
      <c r="U2258" s="8"/>
    </row>
    <row r="2259" spans="20:21">
      <c r="T2259" s="8"/>
      <c r="U2259" s="8"/>
    </row>
    <row r="2260" spans="20:21">
      <c r="T2260" s="8"/>
      <c r="U2260" s="8"/>
    </row>
    <row r="2261" spans="20:21">
      <c r="T2261" s="8"/>
      <c r="U2261" s="8"/>
    </row>
    <row r="2262" spans="20:21">
      <c r="T2262" s="8"/>
      <c r="U2262" s="8"/>
    </row>
    <row r="2263" spans="20:21">
      <c r="T2263" s="8"/>
      <c r="U2263" s="8"/>
    </row>
    <row r="2264" spans="20:21">
      <c r="T2264" s="8"/>
      <c r="U2264" s="8"/>
    </row>
    <row r="2265" spans="20:21">
      <c r="T2265" s="8"/>
      <c r="U2265" s="8"/>
    </row>
    <row r="2266" spans="20:21">
      <c r="T2266" s="8"/>
      <c r="U2266" s="8"/>
    </row>
    <row r="2267" spans="20:21">
      <c r="T2267" s="8"/>
      <c r="U2267" s="8"/>
    </row>
    <row r="2268" spans="20:21">
      <c r="T2268" s="8"/>
      <c r="U2268" s="8"/>
    </row>
    <row r="2269" spans="20:21">
      <c r="T2269" s="8"/>
      <c r="U2269" s="8"/>
    </row>
    <row r="2270" spans="20:21">
      <c r="T2270" s="8"/>
      <c r="U2270" s="8"/>
    </row>
    <row r="2271" spans="20:21">
      <c r="T2271" s="8"/>
      <c r="U2271" s="8"/>
    </row>
    <row r="2272" spans="20:21">
      <c r="T2272" s="8"/>
      <c r="U2272" s="8"/>
    </row>
    <row r="2273" spans="20:21">
      <c r="T2273" s="8"/>
      <c r="U2273" s="8"/>
    </row>
    <row r="2274" spans="20:21">
      <c r="T2274" s="8"/>
      <c r="U2274" s="8"/>
    </row>
    <row r="2275" spans="20:21">
      <c r="T2275" s="8"/>
      <c r="U2275" s="8"/>
    </row>
    <row r="2276" spans="20:21">
      <c r="T2276" s="8"/>
      <c r="U2276" s="8"/>
    </row>
    <row r="2277" spans="20:21">
      <c r="T2277" s="8"/>
      <c r="U2277" s="8"/>
    </row>
    <row r="2278" spans="20:21">
      <c r="T2278" s="8"/>
      <c r="U2278" s="8"/>
    </row>
    <row r="2279" spans="20:21">
      <c r="T2279" s="8"/>
      <c r="U2279" s="8"/>
    </row>
    <row r="2280" spans="20:21">
      <c r="T2280" s="8"/>
      <c r="U2280" s="8"/>
    </row>
    <row r="2281" spans="20:21">
      <c r="T2281" s="8"/>
      <c r="U2281" s="8"/>
    </row>
    <row r="2282" spans="20:21">
      <c r="T2282" s="8"/>
      <c r="U2282" s="8"/>
    </row>
    <row r="2283" spans="20:21">
      <c r="T2283" s="8"/>
      <c r="U2283" s="8"/>
    </row>
    <row r="2284" spans="20:21">
      <c r="T2284" s="8"/>
      <c r="U2284" s="8"/>
    </row>
    <row r="2285" spans="20:21">
      <c r="T2285" s="8"/>
      <c r="U2285" s="8"/>
    </row>
    <row r="2286" spans="20:21">
      <c r="T2286" s="8"/>
      <c r="U2286" s="8"/>
    </row>
    <row r="2287" spans="20:21">
      <c r="T2287" s="8"/>
      <c r="U2287" s="8"/>
    </row>
    <row r="2288" spans="20:21">
      <c r="T2288" s="8"/>
      <c r="U2288" s="8"/>
    </row>
    <row r="2289" spans="20:21">
      <c r="T2289" s="8"/>
      <c r="U2289" s="8"/>
    </row>
    <row r="2290" spans="20:21">
      <c r="T2290" s="8"/>
      <c r="U2290" s="8"/>
    </row>
    <row r="2291" spans="20:21">
      <c r="T2291" s="8"/>
      <c r="U2291" s="8"/>
    </row>
    <row r="2292" spans="20:21">
      <c r="T2292" s="8"/>
      <c r="U2292" s="8"/>
    </row>
    <row r="2293" spans="20:21">
      <c r="T2293" s="8"/>
      <c r="U2293" s="8"/>
    </row>
    <row r="2294" spans="20:21">
      <c r="T2294" s="8"/>
      <c r="U2294" s="8"/>
    </row>
    <row r="2295" spans="20:21">
      <c r="T2295" s="8"/>
      <c r="U2295" s="8"/>
    </row>
    <row r="2296" spans="20:21">
      <c r="T2296" s="8"/>
      <c r="U2296" s="8"/>
    </row>
    <row r="2297" spans="20:21">
      <c r="T2297" s="8"/>
      <c r="U2297" s="8"/>
    </row>
    <row r="2298" spans="20:21">
      <c r="T2298" s="8"/>
      <c r="U2298" s="8"/>
    </row>
    <row r="2299" spans="20:21">
      <c r="T2299" s="8"/>
      <c r="U2299" s="8"/>
    </row>
    <row r="2300" spans="20:21">
      <c r="T2300" s="8"/>
      <c r="U2300" s="8"/>
    </row>
    <row r="2301" spans="20:21">
      <c r="T2301" s="8"/>
      <c r="U2301" s="8"/>
    </row>
    <row r="2302" spans="20:21">
      <c r="T2302" s="8"/>
      <c r="U2302" s="8"/>
    </row>
    <row r="2303" spans="20:21">
      <c r="T2303" s="8"/>
      <c r="U2303" s="8"/>
    </row>
    <row r="2304" spans="20:21">
      <c r="T2304" s="8"/>
      <c r="U2304" s="8"/>
    </row>
    <row r="2305" spans="20:21">
      <c r="T2305" s="8"/>
      <c r="U2305" s="8"/>
    </row>
    <row r="2306" spans="20:21">
      <c r="T2306" s="8"/>
      <c r="U2306" s="8"/>
    </row>
  </sheetData>
  <sheetProtection sheet="1" selectLockedCells="1"/>
  <mergeCells count="1">
    <mergeCell ref="B16:B17"/>
  </mergeCells>
  <pageMargins left="0.78740157499999996" right="0.78740157499999996" top="1.24" bottom="0.984251969" header="0.74" footer="0.4921259845"/>
  <pageSetup paperSize="9" scale="42" orientation="landscape" horizontalDpi="300" verticalDpi="300" r:id="rId1"/>
  <headerFooter alignWithMargins="0">
    <oddHeader>&amp;F</oddHeader>
    <oddFooter>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2">
    <tabColor indexed="9"/>
    <pageSetUpPr fitToPage="1"/>
  </sheetPr>
  <dimension ref="A1:P33"/>
  <sheetViews>
    <sheetView zoomScaleNormal="100" workbookViewId="0">
      <selection activeCell="E14" sqref="E14"/>
    </sheetView>
  </sheetViews>
  <sheetFormatPr baseColWidth="10" defaultRowHeight="12"/>
  <cols>
    <col min="1" max="1" width="3.5703125" style="8" customWidth="1"/>
    <col min="2" max="2" width="11.42578125" style="8"/>
    <col min="3" max="3" width="19" style="8" customWidth="1"/>
    <col min="4" max="4" width="19.140625" style="8" customWidth="1"/>
    <col min="5" max="6" width="14.85546875" style="8" customWidth="1"/>
    <col min="7" max="7" width="14.28515625" style="8" customWidth="1"/>
    <col min="8" max="8" width="9.42578125" style="8" customWidth="1"/>
    <col min="9" max="9" width="12" style="8" bestFit="1" customWidth="1"/>
    <col min="10" max="16384" width="11.42578125" style="8"/>
  </cols>
  <sheetData>
    <row r="1" spans="1:16" ht="12.75">
      <c r="B1" s="173" t="s">
        <v>223</v>
      </c>
      <c r="F1" s="4"/>
    </row>
    <row r="2" spans="1:16">
      <c r="B2" s="9"/>
      <c r="E2" s="229"/>
      <c r="F2" s="4"/>
    </row>
    <row r="3" spans="1:16">
      <c r="B3" s="230" t="s">
        <v>163</v>
      </c>
      <c r="E3" s="238">
        <f>'Amortissement crédit'!C2</f>
        <v>0.04</v>
      </c>
      <c r="F3" s="4"/>
    </row>
    <row r="4" spans="1:16" s="21" customFormat="1">
      <c r="A4" s="25"/>
      <c r="B4" s="191" t="s">
        <v>7</v>
      </c>
      <c r="C4" s="147" t="s">
        <v>5</v>
      </c>
      <c r="D4" s="147" t="s">
        <v>6</v>
      </c>
      <c r="E4" s="147" t="s">
        <v>8</v>
      </c>
      <c r="F4" s="146" t="s">
        <v>30</v>
      </c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>
      <c r="B5" s="87">
        <v>1</v>
      </c>
      <c r="C5" s="8">
        <f>'Amortissement crédit'!C1</f>
        <v>0</v>
      </c>
      <c r="D5" s="8">
        <f>'Amortissement crédit'!G2</f>
        <v>0</v>
      </c>
      <c r="E5" s="8">
        <f>'Amortissement crédit'!H2</f>
        <v>0</v>
      </c>
      <c r="F5" s="23">
        <f>'Amortissement crédit'!$C$6</f>
        <v>0</v>
      </c>
    </row>
    <row r="6" spans="1:16">
      <c r="B6" s="87">
        <v>2</v>
      </c>
      <c r="C6" s="8">
        <f>C5-D5</f>
        <v>0</v>
      </c>
      <c r="D6" s="8">
        <f>'Amortissement crédit'!G3</f>
        <v>0</v>
      </c>
      <c r="E6" s="8">
        <f>'Amortissement crédit'!H3</f>
        <v>0</v>
      </c>
      <c r="F6" s="23">
        <f>'Amortissement crédit'!$C$6</f>
        <v>0</v>
      </c>
    </row>
    <row r="7" spans="1:16">
      <c r="B7" s="87">
        <v>3</v>
      </c>
      <c r="C7" s="8">
        <f>C6-D6</f>
        <v>0</v>
      </c>
      <c r="D7" s="8">
        <f>'Amortissement crédit'!G4</f>
        <v>0</v>
      </c>
      <c r="E7" s="8">
        <f>'Amortissement crédit'!H4</f>
        <v>0</v>
      </c>
      <c r="F7" s="23">
        <f>'Amortissement crédit'!$C$6</f>
        <v>0</v>
      </c>
    </row>
    <row r="8" spans="1:16">
      <c r="A8" s="23"/>
      <c r="B8" s="87"/>
      <c r="F8" s="23"/>
    </row>
    <row r="9" spans="1:16" s="3" customFormat="1">
      <c r="A9" s="26"/>
      <c r="B9" s="88"/>
      <c r="F9" s="10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>
      <c r="B10" s="22"/>
      <c r="F10" s="23"/>
    </row>
    <row r="11" spans="1:16">
      <c r="A11" s="23"/>
      <c r="B11" s="144" t="s">
        <v>133</v>
      </c>
      <c r="E11" s="237">
        <v>0.04</v>
      </c>
      <c r="F11" s="23"/>
    </row>
    <row r="12" spans="1:16" s="20" customFormat="1">
      <c r="A12" s="25"/>
      <c r="B12" s="191" t="s">
        <v>7</v>
      </c>
      <c r="C12" s="147" t="s">
        <v>5</v>
      </c>
      <c r="D12" s="147" t="s">
        <v>6</v>
      </c>
      <c r="E12" s="147" t="s">
        <v>8</v>
      </c>
      <c r="F12" s="146" t="s">
        <v>30</v>
      </c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>
      <c r="B13" s="22">
        <v>1</v>
      </c>
      <c r="C13" s="8">
        <v>0</v>
      </c>
      <c r="D13" s="8">
        <f>C13/5</f>
        <v>0</v>
      </c>
      <c r="E13" s="8">
        <f>$E$11*$C13</f>
        <v>0</v>
      </c>
      <c r="F13" s="23">
        <f>(D13+E13)/12</f>
        <v>0</v>
      </c>
    </row>
    <row r="14" spans="1:16">
      <c r="B14" s="22">
        <v>2</v>
      </c>
      <c r="C14" s="8">
        <f>C13-D13</f>
        <v>0</v>
      </c>
      <c r="D14" s="8">
        <f>C14/5</f>
        <v>0</v>
      </c>
      <c r="E14" s="8">
        <f>$E$11*$C14</f>
        <v>0</v>
      </c>
      <c r="F14" s="23">
        <f>(D14+E14)/12</f>
        <v>0</v>
      </c>
    </row>
    <row r="15" spans="1:16">
      <c r="A15" s="23"/>
      <c r="B15" s="22">
        <v>3</v>
      </c>
      <c r="C15" s="8">
        <f>C14-D14</f>
        <v>0</v>
      </c>
      <c r="D15" s="8">
        <f>C15/5</f>
        <v>0</v>
      </c>
      <c r="E15" s="8">
        <f>$E$11*$C15</f>
        <v>0</v>
      </c>
      <c r="F15" s="23">
        <f>(D15+E15)/12</f>
        <v>0</v>
      </c>
    </row>
    <row r="16" spans="1:16" s="3" customFormat="1">
      <c r="A16" s="26"/>
      <c r="B16" s="88"/>
      <c r="D16" s="3">
        <f>SUM(D13:D15)</f>
        <v>0</v>
      </c>
      <c r="E16" s="3">
        <f>SUM(E13:E15)</f>
        <v>0</v>
      </c>
      <c r="F16" s="10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 s="26" customFormat="1">
      <c r="B17" s="32"/>
      <c r="F17" s="28"/>
    </row>
    <row r="18" spans="1:16">
      <c r="A18" s="23"/>
      <c r="B18" s="191" t="s">
        <v>159</v>
      </c>
      <c r="C18" s="100"/>
      <c r="E18" s="237">
        <f>'Amortissement leasing'!C2</f>
        <v>0.04</v>
      </c>
      <c r="F18" s="23"/>
    </row>
    <row r="19" spans="1:16" s="20" customFormat="1">
      <c r="A19" s="25"/>
      <c r="B19" s="191" t="s">
        <v>7</v>
      </c>
      <c r="C19" s="147" t="s">
        <v>5</v>
      </c>
      <c r="D19" s="147" t="s">
        <v>6</v>
      </c>
      <c r="E19" s="147" t="s">
        <v>8</v>
      </c>
      <c r="F19" s="146" t="s">
        <v>30</v>
      </c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1:16">
      <c r="B20" s="22">
        <v>1</v>
      </c>
      <c r="C20" s="8">
        <f>'Amortissement leasing'!C1</f>
        <v>0</v>
      </c>
      <c r="D20" s="8">
        <f>'Amortissement leasing'!G2</f>
        <v>0</v>
      </c>
      <c r="E20" s="8">
        <f>'Amortissement leasing'!H2</f>
        <v>0</v>
      </c>
      <c r="F20" s="23">
        <f>'Amortissement leasing'!$C$6</f>
        <v>0</v>
      </c>
    </row>
    <row r="21" spans="1:16">
      <c r="B21" s="22">
        <v>2</v>
      </c>
      <c r="C21" s="8">
        <f>C20-D20</f>
        <v>0</v>
      </c>
      <c r="D21" s="8">
        <f>'Amortissement leasing'!G3</f>
        <v>0</v>
      </c>
      <c r="E21" s="8">
        <f>'Amortissement leasing'!H3</f>
        <v>0</v>
      </c>
      <c r="F21" s="23">
        <f>'Amortissement leasing'!$C$6</f>
        <v>0</v>
      </c>
    </row>
    <row r="22" spans="1:16">
      <c r="B22" s="22">
        <v>3</v>
      </c>
      <c r="C22" s="8">
        <f>C21-D21</f>
        <v>0</v>
      </c>
      <c r="D22" s="8">
        <f>'Amortissement leasing'!G4</f>
        <v>0</v>
      </c>
      <c r="E22" s="8">
        <f>'Amortissement leasing'!H4</f>
        <v>0</v>
      </c>
      <c r="F22" s="23">
        <f>'Amortissement leasing'!$C$6</f>
        <v>0</v>
      </c>
    </row>
    <row r="23" spans="1:16">
      <c r="A23" s="23"/>
      <c r="B23" s="22"/>
      <c r="F23" s="23"/>
    </row>
    <row r="24" spans="1:16" s="3" customFormat="1">
      <c r="A24" s="26"/>
      <c r="B24" s="88"/>
      <c r="F24" s="10"/>
      <c r="G24" s="26"/>
      <c r="H24" s="26"/>
      <c r="I24" s="26"/>
      <c r="J24" s="26"/>
      <c r="K24" s="26"/>
      <c r="L24" s="26"/>
      <c r="M24" s="26"/>
      <c r="N24" s="26"/>
      <c r="O24" s="26"/>
      <c r="P24" s="26"/>
    </row>
    <row r="25" spans="1:16" s="26" customFormat="1">
      <c r="A25" s="28"/>
      <c r="B25" s="231" t="s">
        <v>33</v>
      </c>
      <c r="C25" s="232"/>
      <c r="D25" s="232"/>
      <c r="E25" s="232"/>
      <c r="F25" s="233"/>
    </row>
    <row r="26" spans="1:16" s="27" customFormat="1">
      <c r="A26" s="28"/>
      <c r="B26" s="234" t="s">
        <v>7</v>
      </c>
      <c r="C26" s="235" t="s">
        <v>5</v>
      </c>
      <c r="D26" s="235" t="s">
        <v>6</v>
      </c>
      <c r="E26" s="235" t="s">
        <v>8</v>
      </c>
      <c r="F26" s="236" t="s">
        <v>30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 s="26" customFormat="1">
      <c r="B27" s="224">
        <v>1</v>
      </c>
      <c r="C27" s="225">
        <f t="shared" ref="C27:F29" si="0">C5+C13+C20</f>
        <v>0</v>
      </c>
      <c r="D27" s="225">
        <f t="shared" si="0"/>
        <v>0</v>
      </c>
      <c r="E27" s="225">
        <f t="shared" si="0"/>
        <v>0</v>
      </c>
      <c r="F27" s="226">
        <f t="shared" si="0"/>
        <v>0</v>
      </c>
    </row>
    <row r="28" spans="1:16" s="26" customFormat="1">
      <c r="B28" s="224">
        <v>2</v>
      </c>
      <c r="C28" s="225">
        <f t="shared" si="0"/>
        <v>0</v>
      </c>
      <c r="D28" s="225">
        <f t="shared" si="0"/>
        <v>0</v>
      </c>
      <c r="E28" s="225">
        <f t="shared" si="0"/>
        <v>0</v>
      </c>
      <c r="F28" s="226">
        <f t="shared" si="0"/>
        <v>0</v>
      </c>
    </row>
    <row r="29" spans="1:16" s="26" customFormat="1">
      <c r="A29" s="28"/>
      <c r="B29" s="227">
        <v>3</v>
      </c>
      <c r="C29" s="228">
        <f t="shared" si="0"/>
        <v>0</v>
      </c>
      <c r="D29" s="228">
        <f t="shared" si="0"/>
        <v>0</v>
      </c>
      <c r="E29" s="228">
        <f t="shared" si="0"/>
        <v>0</v>
      </c>
      <c r="F29" s="228">
        <f t="shared" si="0"/>
        <v>0</v>
      </c>
    </row>
    <row r="30" spans="1:16" s="3" customFormat="1">
      <c r="A30" s="26"/>
      <c r="G30" s="26"/>
      <c r="H30" s="26"/>
      <c r="I30" s="26"/>
      <c r="J30" s="26"/>
      <c r="K30" s="26"/>
      <c r="L30" s="26"/>
      <c r="M30" s="26"/>
      <c r="N30" s="26"/>
      <c r="O30" s="26"/>
      <c r="P30" s="26"/>
    </row>
    <row r="33" spans="2:4">
      <c r="B33" s="4"/>
      <c r="C33" s="4"/>
      <c r="D33" s="4"/>
    </row>
  </sheetData>
  <sheetProtection sheet="1" selectLockedCells="1"/>
  <phoneticPr fontId="0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>
    <oddHeader>&amp;F</oddHeader>
    <oddFooter>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tabColor indexed="9"/>
  </sheetPr>
  <dimension ref="A1:I57"/>
  <sheetViews>
    <sheetView zoomScale="130" zoomScaleNormal="130" workbookViewId="0">
      <selection activeCell="C1" sqref="C1"/>
    </sheetView>
  </sheetViews>
  <sheetFormatPr baseColWidth="10" defaultRowHeight="12.75"/>
  <cols>
    <col min="1" max="1" width="0.28515625" customWidth="1"/>
    <col min="2" max="2" width="16.5703125" customWidth="1"/>
    <col min="3" max="3" width="16.140625" style="66" customWidth="1"/>
    <col min="4" max="4" width="12.28515625" customWidth="1"/>
    <col min="5" max="5" width="14.42578125" customWidth="1"/>
    <col min="6" max="6" width="16.140625" customWidth="1"/>
    <col min="7" max="7" width="13.85546875" customWidth="1"/>
    <col min="8" max="8" width="15.85546875" customWidth="1"/>
    <col min="9" max="9" width="15.7109375" customWidth="1"/>
  </cols>
  <sheetData>
    <row r="1" spans="1:9">
      <c r="A1" s="413" t="s">
        <v>118</v>
      </c>
      <c r="B1" s="413"/>
      <c r="C1" s="262"/>
      <c r="D1" s="240">
        <f>(1/(1+$C2))^$C4</f>
        <v>0.82192710675935132</v>
      </c>
      <c r="E1" s="59"/>
      <c r="F1" s="89" t="s">
        <v>119</v>
      </c>
      <c r="G1" s="85"/>
      <c r="H1" s="90" t="s">
        <v>120</v>
      </c>
      <c r="I1" s="60"/>
    </row>
    <row r="2" spans="1:9">
      <c r="A2" s="413" t="s">
        <v>121</v>
      </c>
      <c r="B2" s="413"/>
      <c r="C2" s="263">
        <v>0.04</v>
      </c>
      <c r="D2" s="240">
        <f>(1+$C2)^(1/12)</f>
        <v>1.0032737397821989</v>
      </c>
      <c r="E2" s="61"/>
      <c r="F2" s="91">
        <v>1</v>
      </c>
      <c r="G2" s="58">
        <f>SUM(E10:E21)</f>
        <v>0</v>
      </c>
      <c r="H2" s="92">
        <f>SUM(D10:D21)</f>
        <v>0</v>
      </c>
    </row>
    <row r="3" spans="1:9">
      <c r="A3" s="413" t="s">
        <v>122</v>
      </c>
      <c r="B3" s="413"/>
      <c r="C3" s="60">
        <f>POWER(1+C2,1/12)-1</f>
        <v>3.2737397821989145E-3</v>
      </c>
      <c r="D3" s="240">
        <f>((1-$D1))/(($D2-1))</f>
        <v>54.394333419206639</v>
      </c>
      <c r="E3" s="59"/>
      <c r="F3" s="91">
        <v>2</v>
      </c>
      <c r="G3" s="58">
        <f>F33-G2</f>
        <v>0</v>
      </c>
      <c r="H3" s="92">
        <f>SUM(D22:D33)</f>
        <v>0</v>
      </c>
    </row>
    <row r="4" spans="1:9">
      <c r="A4" s="414" t="s">
        <v>123</v>
      </c>
      <c r="B4" s="414"/>
      <c r="C4" s="264">
        <v>5</v>
      </c>
      <c r="D4" s="59"/>
      <c r="E4" s="63"/>
      <c r="F4" s="93">
        <v>3</v>
      </c>
      <c r="G4" s="94">
        <f>F45-G3-G2</f>
        <v>0</v>
      </c>
      <c r="H4" s="95">
        <f>SUM(D34:D45)</f>
        <v>0</v>
      </c>
    </row>
    <row r="5" spans="1:9">
      <c r="A5" s="413" t="s">
        <v>124</v>
      </c>
      <c r="B5" s="413"/>
      <c r="C5" s="58">
        <f>C1*C3</f>
        <v>0</v>
      </c>
      <c r="D5" s="64"/>
      <c r="E5" s="65"/>
      <c r="F5" s="62"/>
      <c r="G5" s="58"/>
      <c r="H5" s="58"/>
    </row>
    <row r="6" spans="1:9">
      <c r="A6" s="413" t="s">
        <v>30</v>
      </c>
      <c r="B6" s="413"/>
      <c r="C6" s="82">
        <f>$C$1/$D$3</f>
        <v>0</v>
      </c>
      <c r="D6" s="65"/>
      <c r="E6" s="58"/>
      <c r="F6" s="62"/>
      <c r="G6" s="58"/>
      <c r="H6" s="58"/>
    </row>
    <row r="7" spans="1:9" ht="9.75" customHeight="1" thickBot="1">
      <c r="E7" s="65"/>
      <c r="F7" s="67"/>
    </row>
    <row r="8" spans="1:9" ht="38.25">
      <c r="B8" s="68" t="s">
        <v>125</v>
      </c>
      <c r="C8" s="69" t="s">
        <v>30</v>
      </c>
      <c r="D8" s="69" t="s">
        <v>126</v>
      </c>
      <c r="E8" s="70" t="s">
        <v>127</v>
      </c>
      <c r="F8" s="71" t="s">
        <v>128</v>
      </c>
      <c r="G8" s="72" t="s">
        <v>129</v>
      </c>
      <c r="H8" s="72" t="s">
        <v>130</v>
      </c>
      <c r="I8" s="73" t="s">
        <v>131</v>
      </c>
    </row>
    <row r="9" spans="1:9">
      <c r="B9" s="74">
        <v>0</v>
      </c>
      <c r="C9" s="75"/>
      <c r="D9" s="75"/>
      <c r="E9" s="75"/>
      <c r="F9" s="76"/>
      <c r="G9" s="75">
        <f>C1</f>
        <v>0</v>
      </c>
      <c r="H9" s="75"/>
      <c r="I9" s="77"/>
    </row>
    <row r="10" spans="1:9">
      <c r="B10" s="78">
        <v>38718</v>
      </c>
      <c r="C10" s="75">
        <f t="shared" ref="C10:C57" si="0">$C$1/$D$3</f>
        <v>0</v>
      </c>
      <c r="D10" s="75">
        <f>$C$3*$C$1</f>
        <v>0</v>
      </c>
      <c r="E10" s="75">
        <f>C10-D10</f>
        <v>0</v>
      </c>
      <c r="F10" s="75">
        <f>E10+E9</f>
        <v>0</v>
      </c>
      <c r="G10" s="75">
        <f t="shared" ref="G10:G41" si="1">$G$9-F10</f>
        <v>0</v>
      </c>
      <c r="H10" s="75">
        <f>D10+D11+D12</f>
        <v>0</v>
      </c>
      <c r="I10" s="77">
        <f>G10+H10</f>
        <v>0</v>
      </c>
    </row>
    <row r="11" spans="1:9">
      <c r="B11" s="78">
        <v>38749</v>
      </c>
      <c r="C11" s="75">
        <f t="shared" si="0"/>
        <v>0</v>
      </c>
      <c r="D11" s="75">
        <f>G10*$C$3</f>
        <v>0</v>
      </c>
      <c r="E11" s="75">
        <f t="shared" ref="E11:E45" si="2">C11-D11</f>
        <v>0</v>
      </c>
      <c r="F11" s="75">
        <f>F10+E11</f>
        <v>0</v>
      </c>
      <c r="G11" s="75">
        <f t="shared" si="1"/>
        <v>0</v>
      </c>
      <c r="H11" s="75">
        <f t="shared" ref="H11:H56" si="3">D11+D12+D13</f>
        <v>0</v>
      </c>
      <c r="I11" s="77">
        <f t="shared" ref="I11:I45" si="4">G11+H11</f>
        <v>0</v>
      </c>
    </row>
    <row r="12" spans="1:9">
      <c r="B12" s="78">
        <v>38777</v>
      </c>
      <c r="C12" s="75">
        <f t="shared" si="0"/>
        <v>0</v>
      </c>
      <c r="D12" s="75">
        <f t="shared" ref="D12:D45" si="5">G11*$C$3</f>
        <v>0</v>
      </c>
      <c r="E12" s="75">
        <f t="shared" si="2"/>
        <v>0</v>
      </c>
      <c r="F12" s="75">
        <f t="shared" ref="F12:F45" si="6">F11+E12</f>
        <v>0</v>
      </c>
      <c r="G12" s="75">
        <f t="shared" si="1"/>
        <v>0</v>
      </c>
      <c r="H12" s="75">
        <f t="shared" si="3"/>
        <v>0</v>
      </c>
      <c r="I12" s="77">
        <f t="shared" si="4"/>
        <v>0</v>
      </c>
    </row>
    <row r="13" spans="1:9">
      <c r="B13" s="78">
        <v>38808</v>
      </c>
      <c r="C13" s="75">
        <f t="shared" si="0"/>
        <v>0</v>
      </c>
      <c r="D13" s="75">
        <f t="shared" si="5"/>
        <v>0</v>
      </c>
      <c r="E13" s="75">
        <f t="shared" si="2"/>
        <v>0</v>
      </c>
      <c r="F13" s="75">
        <f t="shared" si="6"/>
        <v>0</v>
      </c>
      <c r="G13" s="75">
        <f t="shared" si="1"/>
        <v>0</v>
      </c>
      <c r="H13" s="75">
        <f t="shared" si="3"/>
        <v>0</v>
      </c>
      <c r="I13" s="77">
        <f t="shared" si="4"/>
        <v>0</v>
      </c>
    </row>
    <row r="14" spans="1:9">
      <c r="B14" s="78">
        <v>38838</v>
      </c>
      <c r="C14" s="75">
        <f t="shared" si="0"/>
        <v>0</v>
      </c>
      <c r="D14" s="75">
        <f t="shared" si="5"/>
        <v>0</v>
      </c>
      <c r="E14" s="75">
        <f t="shared" si="2"/>
        <v>0</v>
      </c>
      <c r="F14" s="75">
        <f t="shared" si="6"/>
        <v>0</v>
      </c>
      <c r="G14" s="75">
        <f t="shared" si="1"/>
        <v>0</v>
      </c>
      <c r="H14" s="75">
        <f t="shared" si="3"/>
        <v>0</v>
      </c>
      <c r="I14" s="77">
        <f t="shared" si="4"/>
        <v>0</v>
      </c>
    </row>
    <row r="15" spans="1:9">
      <c r="B15" s="78">
        <v>38869</v>
      </c>
      <c r="C15" s="75">
        <f t="shared" si="0"/>
        <v>0</v>
      </c>
      <c r="D15" s="75">
        <f t="shared" si="5"/>
        <v>0</v>
      </c>
      <c r="E15" s="75">
        <f t="shared" si="2"/>
        <v>0</v>
      </c>
      <c r="F15" s="75">
        <f t="shared" si="6"/>
        <v>0</v>
      </c>
      <c r="G15" s="75">
        <f t="shared" si="1"/>
        <v>0</v>
      </c>
      <c r="H15" s="75">
        <f t="shared" si="3"/>
        <v>0</v>
      </c>
      <c r="I15" s="77">
        <f t="shared" si="4"/>
        <v>0</v>
      </c>
    </row>
    <row r="16" spans="1:9">
      <c r="B16" s="78">
        <v>38899</v>
      </c>
      <c r="C16" s="75">
        <f t="shared" si="0"/>
        <v>0</v>
      </c>
      <c r="D16" s="75">
        <f t="shared" si="5"/>
        <v>0</v>
      </c>
      <c r="E16" s="75">
        <f t="shared" si="2"/>
        <v>0</v>
      </c>
      <c r="F16" s="75">
        <f t="shared" si="6"/>
        <v>0</v>
      </c>
      <c r="G16" s="75">
        <f t="shared" si="1"/>
        <v>0</v>
      </c>
      <c r="H16" s="75">
        <f t="shared" si="3"/>
        <v>0</v>
      </c>
      <c r="I16" s="77">
        <f t="shared" si="4"/>
        <v>0</v>
      </c>
    </row>
    <row r="17" spans="2:9">
      <c r="B17" s="78">
        <v>38930</v>
      </c>
      <c r="C17" s="75">
        <f t="shared" si="0"/>
        <v>0</v>
      </c>
      <c r="D17" s="75">
        <f t="shared" si="5"/>
        <v>0</v>
      </c>
      <c r="E17" s="75">
        <f t="shared" si="2"/>
        <v>0</v>
      </c>
      <c r="F17" s="75">
        <f t="shared" si="6"/>
        <v>0</v>
      </c>
      <c r="G17" s="75">
        <f t="shared" si="1"/>
        <v>0</v>
      </c>
      <c r="H17" s="75">
        <f t="shared" si="3"/>
        <v>0</v>
      </c>
      <c r="I17" s="77">
        <f t="shared" si="4"/>
        <v>0</v>
      </c>
    </row>
    <row r="18" spans="2:9">
      <c r="B18" s="78">
        <v>38961</v>
      </c>
      <c r="C18" s="75">
        <f t="shared" si="0"/>
        <v>0</v>
      </c>
      <c r="D18" s="75">
        <f t="shared" si="5"/>
        <v>0</v>
      </c>
      <c r="E18" s="75">
        <f t="shared" si="2"/>
        <v>0</v>
      </c>
      <c r="F18" s="75">
        <f t="shared" si="6"/>
        <v>0</v>
      </c>
      <c r="G18" s="75">
        <f t="shared" si="1"/>
        <v>0</v>
      </c>
      <c r="H18" s="75">
        <f t="shared" si="3"/>
        <v>0</v>
      </c>
      <c r="I18" s="77">
        <f t="shared" si="4"/>
        <v>0</v>
      </c>
    </row>
    <row r="19" spans="2:9">
      <c r="B19" s="78">
        <v>38991</v>
      </c>
      <c r="C19" s="75">
        <f t="shared" si="0"/>
        <v>0</v>
      </c>
      <c r="D19" s="75">
        <f t="shared" si="5"/>
        <v>0</v>
      </c>
      <c r="E19" s="75">
        <f t="shared" si="2"/>
        <v>0</v>
      </c>
      <c r="F19" s="75">
        <f t="shared" si="6"/>
        <v>0</v>
      </c>
      <c r="G19" s="75">
        <f t="shared" si="1"/>
        <v>0</v>
      </c>
      <c r="H19" s="75">
        <f t="shared" si="3"/>
        <v>0</v>
      </c>
      <c r="I19" s="77">
        <f t="shared" si="4"/>
        <v>0</v>
      </c>
    </row>
    <row r="20" spans="2:9">
      <c r="B20" s="78">
        <v>39022</v>
      </c>
      <c r="C20" s="75">
        <f t="shared" si="0"/>
        <v>0</v>
      </c>
      <c r="D20" s="75">
        <f t="shared" si="5"/>
        <v>0</v>
      </c>
      <c r="E20" s="75">
        <f t="shared" si="2"/>
        <v>0</v>
      </c>
      <c r="F20" s="75">
        <f t="shared" si="6"/>
        <v>0</v>
      </c>
      <c r="G20" s="75">
        <f t="shared" si="1"/>
        <v>0</v>
      </c>
      <c r="H20" s="75">
        <f t="shared" si="3"/>
        <v>0</v>
      </c>
      <c r="I20" s="77">
        <f t="shared" si="4"/>
        <v>0</v>
      </c>
    </row>
    <row r="21" spans="2:9">
      <c r="B21" s="78">
        <v>39052</v>
      </c>
      <c r="C21" s="75">
        <f t="shared" si="0"/>
        <v>0</v>
      </c>
      <c r="D21" s="75">
        <f t="shared" si="5"/>
        <v>0</v>
      </c>
      <c r="E21" s="75">
        <f t="shared" si="2"/>
        <v>0</v>
      </c>
      <c r="F21" s="75">
        <f t="shared" si="6"/>
        <v>0</v>
      </c>
      <c r="G21" s="75">
        <f t="shared" si="1"/>
        <v>0</v>
      </c>
      <c r="H21" s="75">
        <f t="shared" si="3"/>
        <v>0</v>
      </c>
      <c r="I21" s="77">
        <f t="shared" si="4"/>
        <v>0</v>
      </c>
    </row>
    <row r="22" spans="2:9">
      <c r="B22" s="78">
        <v>39083</v>
      </c>
      <c r="C22" s="75">
        <f t="shared" si="0"/>
        <v>0</v>
      </c>
      <c r="D22" s="75">
        <f t="shared" si="5"/>
        <v>0</v>
      </c>
      <c r="E22" s="75">
        <f t="shared" si="2"/>
        <v>0</v>
      </c>
      <c r="F22" s="75">
        <f t="shared" si="6"/>
        <v>0</v>
      </c>
      <c r="G22" s="75">
        <f t="shared" si="1"/>
        <v>0</v>
      </c>
      <c r="H22" s="75">
        <f t="shared" si="3"/>
        <v>0</v>
      </c>
      <c r="I22" s="77">
        <f t="shared" si="4"/>
        <v>0</v>
      </c>
    </row>
    <row r="23" spans="2:9">
      <c r="B23" s="78">
        <v>39114</v>
      </c>
      <c r="C23" s="75">
        <f t="shared" si="0"/>
        <v>0</v>
      </c>
      <c r="D23" s="75">
        <f t="shared" si="5"/>
        <v>0</v>
      </c>
      <c r="E23" s="75">
        <f t="shared" si="2"/>
        <v>0</v>
      </c>
      <c r="F23" s="75">
        <f t="shared" si="6"/>
        <v>0</v>
      </c>
      <c r="G23" s="75">
        <f t="shared" si="1"/>
        <v>0</v>
      </c>
      <c r="H23" s="75">
        <f t="shared" si="3"/>
        <v>0</v>
      </c>
      <c r="I23" s="77">
        <f t="shared" si="4"/>
        <v>0</v>
      </c>
    </row>
    <row r="24" spans="2:9">
      <c r="B24" s="78">
        <v>39142</v>
      </c>
      <c r="C24" s="75">
        <f t="shared" si="0"/>
        <v>0</v>
      </c>
      <c r="D24" s="75">
        <f t="shared" si="5"/>
        <v>0</v>
      </c>
      <c r="E24" s="75">
        <f t="shared" si="2"/>
        <v>0</v>
      </c>
      <c r="F24" s="75">
        <f t="shared" si="6"/>
        <v>0</v>
      </c>
      <c r="G24" s="75">
        <f t="shared" si="1"/>
        <v>0</v>
      </c>
      <c r="H24" s="75">
        <f t="shared" si="3"/>
        <v>0</v>
      </c>
      <c r="I24" s="77">
        <f t="shared" si="4"/>
        <v>0</v>
      </c>
    </row>
    <row r="25" spans="2:9">
      <c r="B25" s="78">
        <v>39173</v>
      </c>
      <c r="C25" s="75">
        <f t="shared" si="0"/>
        <v>0</v>
      </c>
      <c r="D25" s="75">
        <f t="shared" si="5"/>
        <v>0</v>
      </c>
      <c r="E25" s="75">
        <f t="shared" si="2"/>
        <v>0</v>
      </c>
      <c r="F25" s="75">
        <f t="shared" si="6"/>
        <v>0</v>
      </c>
      <c r="G25" s="75">
        <f t="shared" si="1"/>
        <v>0</v>
      </c>
      <c r="H25" s="75">
        <f t="shared" si="3"/>
        <v>0</v>
      </c>
      <c r="I25" s="77">
        <f t="shared" si="4"/>
        <v>0</v>
      </c>
    </row>
    <row r="26" spans="2:9">
      <c r="B26" s="78">
        <v>39203</v>
      </c>
      <c r="C26" s="75">
        <f t="shared" si="0"/>
        <v>0</v>
      </c>
      <c r="D26" s="75">
        <f t="shared" si="5"/>
        <v>0</v>
      </c>
      <c r="E26" s="75">
        <f t="shared" si="2"/>
        <v>0</v>
      </c>
      <c r="F26" s="75">
        <f t="shared" si="6"/>
        <v>0</v>
      </c>
      <c r="G26" s="75">
        <f t="shared" si="1"/>
        <v>0</v>
      </c>
      <c r="H26" s="75">
        <f t="shared" si="3"/>
        <v>0</v>
      </c>
      <c r="I26" s="77">
        <f t="shared" si="4"/>
        <v>0</v>
      </c>
    </row>
    <row r="27" spans="2:9">
      <c r="B27" s="78">
        <v>39234</v>
      </c>
      <c r="C27" s="75">
        <f t="shared" si="0"/>
        <v>0</v>
      </c>
      <c r="D27" s="75">
        <f t="shared" si="5"/>
        <v>0</v>
      </c>
      <c r="E27" s="75">
        <f t="shared" si="2"/>
        <v>0</v>
      </c>
      <c r="F27" s="75">
        <f t="shared" si="6"/>
        <v>0</v>
      </c>
      <c r="G27" s="75">
        <f t="shared" si="1"/>
        <v>0</v>
      </c>
      <c r="H27" s="75">
        <f t="shared" si="3"/>
        <v>0</v>
      </c>
      <c r="I27" s="77">
        <f t="shared" si="4"/>
        <v>0</v>
      </c>
    </row>
    <row r="28" spans="2:9">
      <c r="B28" s="78">
        <v>39264</v>
      </c>
      <c r="C28" s="75">
        <f t="shared" si="0"/>
        <v>0</v>
      </c>
      <c r="D28" s="75">
        <f t="shared" si="5"/>
        <v>0</v>
      </c>
      <c r="E28" s="75">
        <f t="shared" si="2"/>
        <v>0</v>
      </c>
      <c r="F28" s="75">
        <f t="shared" si="6"/>
        <v>0</v>
      </c>
      <c r="G28" s="75">
        <f t="shared" si="1"/>
        <v>0</v>
      </c>
      <c r="H28" s="75">
        <f t="shared" si="3"/>
        <v>0</v>
      </c>
      <c r="I28" s="77">
        <f t="shared" si="4"/>
        <v>0</v>
      </c>
    </row>
    <row r="29" spans="2:9">
      <c r="B29" s="78">
        <v>39295</v>
      </c>
      <c r="C29" s="75">
        <f t="shared" si="0"/>
        <v>0</v>
      </c>
      <c r="D29" s="75">
        <f t="shared" si="5"/>
        <v>0</v>
      </c>
      <c r="E29" s="75">
        <f t="shared" si="2"/>
        <v>0</v>
      </c>
      <c r="F29" s="75">
        <f t="shared" si="6"/>
        <v>0</v>
      </c>
      <c r="G29" s="75">
        <f t="shared" si="1"/>
        <v>0</v>
      </c>
      <c r="H29" s="75">
        <f t="shared" si="3"/>
        <v>0</v>
      </c>
      <c r="I29" s="77">
        <f t="shared" si="4"/>
        <v>0</v>
      </c>
    </row>
    <row r="30" spans="2:9">
      <c r="B30" s="78">
        <v>39326</v>
      </c>
      <c r="C30" s="75">
        <f t="shared" si="0"/>
        <v>0</v>
      </c>
      <c r="D30" s="75">
        <f t="shared" si="5"/>
        <v>0</v>
      </c>
      <c r="E30" s="75">
        <f t="shared" si="2"/>
        <v>0</v>
      </c>
      <c r="F30" s="75">
        <f t="shared" si="6"/>
        <v>0</v>
      </c>
      <c r="G30" s="75">
        <f t="shared" si="1"/>
        <v>0</v>
      </c>
      <c r="H30" s="75">
        <f t="shared" si="3"/>
        <v>0</v>
      </c>
      <c r="I30" s="77">
        <f t="shared" si="4"/>
        <v>0</v>
      </c>
    </row>
    <row r="31" spans="2:9">
      <c r="B31" s="78">
        <v>39356</v>
      </c>
      <c r="C31" s="75">
        <f t="shared" si="0"/>
        <v>0</v>
      </c>
      <c r="D31" s="75">
        <f t="shared" si="5"/>
        <v>0</v>
      </c>
      <c r="E31" s="75">
        <f t="shared" si="2"/>
        <v>0</v>
      </c>
      <c r="F31" s="75">
        <f t="shared" si="6"/>
        <v>0</v>
      </c>
      <c r="G31" s="75">
        <f t="shared" si="1"/>
        <v>0</v>
      </c>
      <c r="H31" s="75">
        <f t="shared" si="3"/>
        <v>0</v>
      </c>
      <c r="I31" s="77">
        <f t="shared" si="4"/>
        <v>0</v>
      </c>
    </row>
    <row r="32" spans="2:9">
      <c r="B32" s="78">
        <v>39387</v>
      </c>
      <c r="C32" s="75">
        <f t="shared" si="0"/>
        <v>0</v>
      </c>
      <c r="D32" s="75">
        <f t="shared" si="5"/>
        <v>0</v>
      </c>
      <c r="E32" s="75">
        <f t="shared" si="2"/>
        <v>0</v>
      </c>
      <c r="F32" s="75">
        <f t="shared" si="6"/>
        <v>0</v>
      </c>
      <c r="G32" s="75">
        <f t="shared" si="1"/>
        <v>0</v>
      </c>
      <c r="H32" s="75">
        <f t="shared" si="3"/>
        <v>0</v>
      </c>
      <c r="I32" s="77">
        <f t="shared" si="4"/>
        <v>0</v>
      </c>
    </row>
    <row r="33" spans="2:9">
      <c r="B33" s="78">
        <v>39417</v>
      </c>
      <c r="C33" s="75">
        <f t="shared" si="0"/>
        <v>0</v>
      </c>
      <c r="D33" s="75">
        <f t="shared" si="5"/>
        <v>0</v>
      </c>
      <c r="E33" s="75">
        <f t="shared" si="2"/>
        <v>0</v>
      </c>
      <c r="F33" s="75">
        <f t="shared" si="6"/>
        <v>0</v>
      </c>
      <c r="G33" s="75">
        <f t="shared" si="1"/>
        <v>0</v>
      </c>
      <c r="H33" s="75">
        <f t="shared" si="3"/>
        <v>0</v>
      </c>
      <c r="I33" s="77">
        <f t="shared" si="4"/>
        <v>0</v>
      </c>
    </row>
    <row r="34" spans="2:9">
      <c r="B34" s="78">
        <v>39448</v>
      </c>
      <c r="C34" s="75">
        <f t="shared" si="0"/>
        <v>0</v>
      </c>
      <c r="D34" s="75">
        <f t="shared" si="5"/>
        <v>0</v>
      </c>
      <c r="E34" s="75">
        <f t="shared" si="2"/>
        <v>0</v>
      </c>
      <c r="F34" s="75">
        <f t="shared" si="6"/>
        <v>0</v>
      </c>
      <c r="G34" s="75">
        <f t="shared" si="1"/>
        <v>0</v>
      </c>
      <c r="H34" s="75">
        <f t="shared" si="3"/>
        <v>0</v>
      </c>
      <c r="I34" s="77">
        <f t="shared" si="4"/>
        <v>0</v>
      </c>
    </row>
    <row r="35" spans="2:9">
      <c r="B35" s="78">
        <v>39479</v>
      </c>
      <c r="C35" s="75">
        <f t="shared" si="0"/>
        <v>0</v>
      </c>
      <c r="D35" s="75">
        <f t="shared" si="5"/>
        <v>0</v>
      </c>
      <c r="E35" s="75">
        <f t="shared" si="2"/>
        <v>0</v>
      </c>
      <c r="F35" s="75">
        <f t="shared" si="6"/>
        <v>0</v>
      </c>
      <c r="G35" s="75">
        <f t="shared" si="1"/>
        <v>0</v>
      </c>
      <c r="H35" s="75">
        <f t="shared" si="3"/>
        <v>0</v>
      </c>
      <c r="I35" s="77">
        <f t="shared" si="4"/>
        <v>0</v>
      </c>
    </row>
    <row r="36" spans="2:9">
      <c r="B36" s="78">
        <v>39508</v>
      </c>
      <c r="C36" s="75">
        <f t="shared" si="0"/>
        <v>0</v>
      </c>
      <c r="D36" s="75">
        <f t="shared" si="5"/>
        <v>0</v>
      </c>
      <c r="E36" s="75">
        <f t="shared" si="2"/>
        <v>0</v>
      </c>
      <c r="F36" s="75">
        <f t="shared" si="6"/>
        <v>0</v>
      </c>
      <c r="G36" s="75">
        <f t="shared" si="1"/>
        <v>0</v>
      </c>
      <c r="H36" s="75">
        <f t="shared" si="3"/>
        <v>0</v>
      </c>
      <c r="I36" s="77">
        <f t="shared" si="4"/>
        <v>0</v>
      </c>
    </row>
    <row r="37" spans="2:9">
      <c r="B37" s="78">
        <v>39539</v>
      </c>
      <c r="C37" s="75">
        <f t="shared" si="0"/>
        <v>0</v>
      </c>
      <c r="D37" s="75">
        <f t="shared" si="5"/>
        <v>0</v>
      </c>
      <c r="E37" s="75">
        <f t="shared" si="2"/>
        <v>0</v>
      </c>
      <c r="F37" s="75">
        <f t="shared" si="6"/>
        <v>0</v>
      </c>
      <c r="G37" s="75">
        <f t="shared" si="1"/>
        <v>0</v>
      </c>
      <c r="H37" s="75">
        <f t="shared" si="3"/>
        <v>0</v>
      </c>
      <c r="I37" s="77">
        <f t="shared" si="4"/>
        <v>0</v>
      </c>
    </row>
    <row r="38" spans="2:9">
      <c r="B38" s="78">
        <v>39569</v>
      </c>
      <c r="C38" s="75">
        <f t="shared" si="0"/>
        <v>0</v>
      </c>
      <c r="D38" s="75">
        <f t="shared" si="5"/>
        <v>0</v>
      </c>
      <c r="E38" s="75">
        <f t="shared" si="2"/>
        <v>0</v>
      </c>
      <c r="F38" s="75">
        <f t="shared" si="6"/>
        <v>0</v>
      </c>
      <c r="G38" s="75">
        <f t="shared" si="1"/>
        <v>0</v>
      </c>
      <c r="H38" s="75">
        <f t="shared" si="3"/>
        <v>0</v>
      </c>
      <c r="I38" s="77">
        <f t="shared" si="4"/>
        <v>0</v>
      </c>
    </row>
    <row r="39" spans="2:9">
      <c r="B39" s="78">
        <v>39600</v>
      </c>
      <c r="C39" s="75">
        <f t="shared" si="0"/>
        <v>0</v>
      </c>
      <c r="D39" s="75">
        <f t="shared" si="5"/>
        <v>0</v>
      </c>
      <c r="E39" s="75">
        <f t="shared" si="2"/>
        <v>0</v>
      </c>
      <c r="F39" s="75">
        <f t="shared" si="6"/>
        <v>0</v>
      </c>
      <c r="G39" s="75">
        <f t="shared" si="1"/>
        <v>0</v>
      </c>
      <c r="H39" s="75">
        <f t="shared" si="3"/>
        <v>0</v>
      </c>
      <c r="I39" s="77">
        <f t="shared" si="4"/>
        <v>0</v>
      </c>
    </row>
    <row r="40" spans="2:9">
      <c r="B40" s="78">
        <v>39630</v>
      </c>
      <c r="C40" s="75">
        <f t="shared" si="0"/>
        <v>0</v>
      </c>
      <c r="D40" s="75">
        <f t="shared" si="5"/>
        <v>0</v>
      </c>
      <c r="E40" s="75">
        <f t="shared" si="2"/>
        <v>0</v>
      </c>
      <c r="F40" s="75">
        <f t="shared" si="6"/>
        <v>0</v>
      </c>
      <c r="G40" s="75">
        <f t="shared" si="1"/>
        <v>0</v>
      </c>
      <c r="H40" s="75">
        <f t="shared" si="3"/>
        <v>0</v>
      </c>
      <c r="I40" s="77">
        <f t="shared" si="4"/>
        <v>0</v>
      </c>
    </row>
    <row r="41" spans="2:9">
      <c r="B41" s="78">
        <v>39661</v>
      </c>
      <c r="C41" s="75">
        <f t="shared" si="0"/>
        <v>0</v>
      </c>
      <c r="D41" s="75">
        <f t="shared" si="5"/>
        <v>0</v>
      </c>
      <c r="E41" s="75">
        <f t="shared" si="2"/>
        <v>0</v>
      </c>
      <c r="F41" s="75">
        <f t="shared" si="6"/>
        <v>0</v>
      </c>
      <c r="G41" s="75">
        <f t="shared" si="1"/>
        <v>0</v>
      </c>
      <c r="H41" s="75">
        <f t="shared" si="3"/>
        <v>0</v>
      </c>
      <c r="I41" s="77">
        <f t="shared" si="4"/>
        <v>0</v>
      </c>
    </row>
    <row r="42" spans="2:9">
      <c r="B42" s="78">
        <v>39692</v>
      </c>
      <c r="C42" s="75">
        <f t="shared" si="0"/>
        <v>0</v>
      </c>
      <c r="D42" s="75">
        <f t="shared" si="5"/>
        <v>0</v>
      </c>
      <c r="E42" s="75">
        <f t="shared" si="2"/>
        <v>0</v>
      </c>
      <c r="F42" s="75">
        <f t="shared" si="6"/>
        <v>0</v>
      </c>
      <c r="G42" s="75">
        <f>$G$9-F42</f>
        <v>0</v>
      </c>
      <c r="H42" s="75">
        <f t="shared" si="3"/>
        <v>0</v>
      </c>
      <c r="I42" s="77">
        <f t="shared" si="4"/>
        <v>0</v>
      </c>
    </row>
    <row r="43" spans="2:9">
      <c r="B43" s="78">
        <v>39722</v>
      </c>
      <c r="C43" s="75">
        <f t="shared" si="0"/>
        <v>0</v>
      </c>
      <c r="D43" s="75">
        <f t="shared" si="5"/>
        <v>0</v>
      </c>
      <c r="E43" s="75">
        <f t="shared" si="2"/>
        <v>0</v>
      </c>
      <c r="F43" s="75">
        <f t="shared" si="6"/>
        <v>0</v>
      </c>
      <c r="G43" s="75">
        <f>$G$9-F43</f>
        <v>0</v>
      </c>
      <c r="H43" s="75">
        <f t="shared" si="3"/>
        <v>0</v>
      </c>
      <c r="I43" s="77">
        <f t="shared" si="4"/>
        <v>0</v>
      </c>
    </row>
    <row r="44" spans="2:9">
      <c r="B44" s="78">
        <v>39753</v>
      </c>
      <c r="C44" s="75">
        <f t="shared" si="0"/>
        <v>0</v>
      </c>
      <c r="D44" s="75">
        <f t="shared" si="5"/>
        <v>0</v>
      </c>
      <c r="E44" s="75">
        <f t="shared" si="2"/>
        <v>0</v>
      </c>
      <c r="F44" s="75">
        <f t="shared" si="6"/>
        <v>0</v>
      </c>
      <c r="G44" s="75">
        <f>$G$9-F44</f>
        <v>0</v>
      </c>
      <c r="H44" s="75">
        <f t="shared" si="3"/>
        <v>0</v>
      </c>
      <c r="I44" s="77">
        <f t="shared" si="4"/>
        <v>0</v>
      </c>
    </row>
    <row r="45" spans="2:9">
      <c r="B45" s="78">
        <v>39783</v>
      </c>
      <c r="C45" s="75">
        <f t="shared" si="0"/>
        <v>0</v>
      </c>
      <c r="D45" s="75">
        <f t="shared" si="5"/>
        <v>0</v>
      </c>
      <c r="E45" s="75">
        <f t="shared" si="2"/>
        <v>0</v>
      </c>
      <c r="F45" s="75">
        <f t="shared" si="6"/>
        <v>0</v>
      </c>
      <c r="G45" s="75">
        <f>$G$9-F45</f>
        <v>0</v>
      </c>
      <c r="H45" s="75">
        <f t="shared" si="3"/>
        <v>0</v>
      </c>
      <c r="I45" s="77">
        <f t="shared" si="4"/>
        <v>0</v>
      </c>
    </row>
    <row r="46" spans="2:9">
      <c r="B46" s="78">
        <v>39814</v>
      </c>
      <c r="C46" s="75">
        <f t="shared" si="0"/>
        <v>0</v>
      </c>
      <c r="D46" s="75">
        <f t="shared" ref="D46:D57" si="7">G45*$C$3</f>
        <v>0</v>
      </c>
      <c r="E46" s="75">
        <f t="shared" ref="E46:E57" si="8">C46-D46</f>
        <v>0</v>
      </c>
      <c r="F46" s="75">
        <f t="shared" ref="F46:F57" si="9">F45+E46</f>
        <v>0</v>
      </c>
      <c r="G46" s="75">
        <f t="shared" ref="G46:G57" si="10">$G$9-F46</f>
        <v>0</v>
      </c>
      <c r="H46" s="75">
        <f t="shared" si="3"/>
        <v>0</v>
      </c>
      <c r="I46" s="77">
        <f t="shared" ref="I46:I56" si="11">G46+H46</f>
        <v>0</v>
      </c>
    </row>
    <row r="47" spans="2:9">
      <c r="B47" s="78">
        <v>39845</v>
      </c>
      <c r="C47" s="75">
        <f t="shared" si="0"/>
        <v>0</v>
      </c>
      <c r="D47" s="75">
        <f t="shared" si="7"/>
        <v>0</v>
      </c>
      <c r="E47" s="75">
        <f t="shared" si="8"/>
        <v>0</v>
      </c>
      <c r="F47" s="75">
        <f t="shared" si="9"/>
        <v>0</v>
      </c>
      <c r="G47" s="75">
        <f t="shared" si="10"/>
        <v>0</v>
      </c>
      <c r="H47" s="75">
        <f t="shared" si="3"/>
        <v>0</v>
      </c>
      <c r="I47" s="77">
        <f t="shared" si="11"/>
        <v>0</v>
      </c>
    </row>
    <row r="48" spans="2:9">
      <c r="B48" s="78">
        <v>39873</v>
      </c>
      <c r="C48" s="75">
        <f t="shared" si="0"/>
        <v>0</v>
      </c>
      <c r="D48" s="75">
        <f t="shared" si="7"/>
        <v>0</v>
      </c>
      <c r="E48" s="75">
        <f t="shared" si="8"/>
        <v>0</v>
      </c>
      <c r="F48" s="75">
        <f t="shared" si="9"/>
        <v>0</v>
      </c>
      <c r="G48" s="75">
        <f t="shared" si="10"/>
        <v>0</v>
      </c>
      <c r="H48" s="75">
        <f t="shared" si="3"/>
        <v>0</v>
      </c>
      <c r="I48" s="77">
        <f t="shared" si="11"/>
        <v>0</v>
      </c>
    </row>
    <row r="49" spans="2:9">
      <c r="B49" s="78">
        <v>39904</v>
      </c>
      <c r="C49" s="75">
        <f t="shared" si="0"/>
        <v>0</v>
      </c>
      <c r="D49" s="75">
        <f t="shared" si="7"/>
        <v>0</v>
      </c>
      <c r="E49" s="75">
        <f t="shared" si="8"/>
        <v>0</v>
      </c>
      <c r="F49" s="75">
        <f t="shared" si="9"/>
        <v>0</v>
      </c>
      <c r="G49" s="75">
        <f t="shared" si="10"/>
        <v>0</v>
      </c>
      <c r="H49" s="75">
        <f t="shared" si="3"/>
        <v>0</v>
      </c>
      <c r="I49" s="77">
        <f t="shared" si="11"/>
        <v>0</v>
      </c>
    </row>
    <row r="50" spans="2:9">
      <c r="B50" s="78">
        <v>39934</v>
      </c>
      <c r="C50" s="75">
        <f t="shared" si="0"/>
        <v>0</v>
      </c>
      <c r="D50" s="75">
        <f t="shared" si="7"/>
        <v>0</v>
      </c>
      <c r="E50" s="75">
        <f t="shared" si="8"/>
        <v>0</v>
      </c>
      <c r="F50" s="75">
        <f t="shared" si="9"/>
        <v>0</v>
      </c>
      <c r="G50" s="75">
        <f t="shared" si="10"/>
        <v>0</v>
      </c>
      <c r="H50" s="75">
        <f t="shared" si="3"/>
        <v>0</v>
      </c>
      <c r="I50" s="77">
        <f t="shared" si="11"/>
        <v>0</v>
      </c>
    </row>
    <row r="51" spans="2:9">
      <c r="B51" s="78">
        <v>39965</v>
      </c>
      <c r="C51" s="75">
        <f t="shared" si="0"/>
        <v>0</v>
      </c>
      <c r="D51" s="75">
        <f t="shared" si="7"/>
        <v>0</v>
      </c>
      <c r="E51" s="75">
        <f t="shared" si="8"/>
        <v>0</v>
      </c>
      <c r="F51" s="75">
        <f t="shared" si="9"/>
        <v>0</v>
      </c>
      <c r="G51" s="75">
        <f t="shared" si="10"/>
        <v>0</v>
      </c>
      <c r="H51" s="75">
        <f t="shared" si="3"/>
        <v>0</v>
      </c>
      <c r="I51" s="77">
        <f t="shared" si="11"/>
        <v>0</v>
      </c>
    </row>
    <row r="52" spans="2:9">
      <c r="B52" s="78">
        <v>39995</v>
      </c>
      <c r="C52" s="75">
        <f t="shared" si="0"/>
        <v>0</v>
      </c>
      <c r="D52" s="75">
        <f t="shared" si="7"/>
        <v>0</v>
      </c>
      <c r="E52" s="75">
        <f t="shared" si="8"/>
        <v>0</v>
      </c>
      <c r="F52" s="75">
        <f t="shared" si="9"/>
        <v>0</v>
      </c>
      <c r="G52" s="75">
        <f t="shared" si="10"/>
        <v>0</v>
      </c>
      <c r="H52" s="75">
        <f t="shared" si="3"/>
        <v>0</v>
      </c>
      <c r="I52" s="77">
        <f t="shared" si="11"/>
        <v>0</v>
      </c>
    </row>
    <row r="53" spans="2:9">
      <c r="B53" s="78">
        <v>40026</v>
      </c>
      <c r="C53" s="75">
        <f t="shared" si="0"/>
        <v>0</v>
      </c>
      <c r="D53" s="75">
        <f t="shared" si="7"/>
        <v>0</v>
      </c>
      <c r="E53" s="75">
        <f t="shared" si="8"/>
        <v>0</v>
      </c>
      <c r="F53" s="75">
        <f t="shared" si="9"/>
        <v>0</v>
      </c>
      <c r="G53" s="75">
        <f t="shared" si="10"/>
        <v>0</v>
      </c>
      <c r="H53" s="75">
        <f t="shared" si="3"/>
        <v>0</v>
      </c>
      <c r="I53" s="77">
        <f t="shared" si="11"/>
        <v>0</v>
      </c>
    </row>
    <row r="54" spans="2:9">
      <c r="B54" s="78">
        <v>40057</v>
      </c>
      <c r="C54" s="75">
        <f t="shared" si="0"/>
        <v>0</v>
      </c>
      <c r="D54" s="75">
        <f t="shared" si="7"/>
        <v>0</v>
      </c>
      <c r="E54" s="75">
        <f t="shared" si="8"/>
        <v>0</v>
      </c>
      <c r="F54" s="75">
        <f t="shared" si="9"/>
        <v>0</v>
      </c>
      <c r="G54" s="75">
        <f t="shared" si="10"/>
        <v>0</v>
      </c>
      <c r="H54" s="75">
        <f t="shared" si="3"/>
        <v>0</v>
      </c>
      <c r="I54" s="77">
        <f t="shared" si="11"/>
        <v>0</v>
      </c>
    </row>
    <row r="55" spans="2:9">
      <c r="B55" s="78">
        <v>40087</v>
      </c>
      <c r="C55" s="75">
        <f t="shared" si="0"/>
        <v>0</v>
      </c>
      <c r="D55" s="75">
        <f t="shared" si="7"/>
        <v>0</v>
      </c>
      <c r="E55" s="75">
        <f t="shared" si="8"/>
        <v>0</v>
      </c>
      <c r="F55" s="75">
        <f t="shared" si="9"/>
        <v>0</v>
      </c>
      <c r="G55" s="75">
        <f t="shared" si="10"/>
        <v>0</v>
      </c>
      <c r="H55" s="75">
        <f t="shared" si="3"/>
        <v>0</v>
      </c>
      <c r="I55" s="77">
        <f t="shared" si="11"/>
        <v>0</v>
      </c>
    </row>
    <row r="56" spans="2:9">
      <c r="B56" s="78">
        <v>40118</v>
      </c>
      <c r="C56" s="75">
        <f t="shared" si="0"/>
        <v>0</v>
      </c>
      <c r="D56" s="75">
        <f t="shared" si="7"/>
        <v>0</v>
      </c>
      <c r="E56" s="75">
        <f t="shared" si="8"/>
        <v>0</v>
      </c>
      <c r="F56" s="75">
        <f t="shared" si="9"/>
        <v>0</v>
      </c>
      <c r="G56" s="75">
        <f t="shared" si="10"/>
        <v>0</v>
      </c>
      <c r="H56" s="75">
        <f t="shared" si="3"/>
        <v>0</v>
      </c>
      <c r="I56" s="77">
        <f t="shared" si="11"/>
        <v>0</v>
      </c>
    </row>
    <row r="57" spans="2:9">
      <c r="B57" s="78">
        <v>40148</v>
      </c>
      <c r="C57" s="75">
        <f t="shared" si="0"/>
        <v>0</v>
      </c>
      <c r="D57" s="75">
        <f t="shared" si="7"/>
        <v>0</v>
      </c>
      <c r="E57" s="75">
        <f t="shared" si="8"/>
        <v>0</v>
      </c>
      <c r="F57" s="75">
        <f t="shared" si="9"/>
        <v>0</v>
      </c>
      <c r="G57" s="75">
        <f t="shared" si="10"/>
        <v>0</v>
      </c>
      <c r="H57" s="75"/>
      <c r="I57" s="77"/>
    </row>
  </sheetData>
  <sheetProtection sheet="1" selectLockedCells="1"/>
  <mergeCells count="6">
    <mergeCell ref="A5:B5"/>
    <mergeCell ref="A6:B6"/>
    <mergeCell ref="A1:B1"/>
    <mergeCell ref="A2:B2"/>
    <mergeCell ref="A3:B3"/>
    <mergeCell ref="A4:B4"/>
  </mergeCells>
  <phoneticPr fontId="17" type="noConversion"/>
  <pageMargins left="0.78740157499999996" right="0.78740157499999996" top="0.984251969" bottom="0.984251969" header="0.4921259845" footer="0.4921259845"/>
  <pageSetup paperSize="9" scale="61" orientation="landscape" copies="6" r:id="rId1"/>
  <headerFooter alignWithMargins="0">
    <oddHeader>&amp;F</oddHeader>
    <oddFooter>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9"/>
  </sheetPr>
  <dimension ref="A1:I57"/>
  <sheetViews>
    <sheetView zoomScaleNormal="100" workbookViewId="0">
      <selection activeCell="C1" sqref="C1"/>
    </sheetView>
  </sheetViews>
  <sheetFormatPr baseColWidth="10" defaultRowHeight="12.75"/>
  <cols>
    <col min="1" max="1" width="0.28515625" customWidth="1"/>
    <col min="2" max="2" width="16.5703125" customWidth="1"/>
    <col min="3" max="3" width="16.140625" style="66" customWidth="1"/>
    <col min="4" max="4" width="12.28515625" customWidth="1"/>
    <col min="5" max="5" width="14.42578125" customWidth="1"/>
    <col min="6" max="6" width="16.140625" customWidth="1"/>
    <col min="7" max="7" width="13.85546875" customWidth="1"/>
    <col min="8" max="8" width="15.85546875" customWidth="1"/>
    <col min="9" max="9" width="15.7109375" customWidth="1"/>
  </cols>
  <sheetData>
    <row r="1" spans="1:9">
      <c r="A1" s="413" t="s">
        <v>118</v>
      </c>
      <c r="B1" s="413"/>
      <c r="C1" s="262"/>
      <c r="D1" s="239">
        <f>(1/(1+$C2))^$C4</f>
        <v>0.82192710675935132</v>
      </c>
      <c r="E1" s="59"/>
      <c r="F1" s="89" t="s">
        <v>119</v>
      </c>
      <c r="G1" s="85"/>
      <c r="H1" s="90" t="s">
        <v>120</v>
      </c>
      <c r="I1" s="109"/>
    </row>
    <row r="2" spans="1:9">
      <c r="A2" s="413" t="s">
        <v>121</v>
      </c>
      <c r="B2" s="413"/>
      <c r="C2" s="265">
        <v>0.04</v>
      </c>
      <c r="D2" s="239">
        <f>(1+$C2)^(1/12)</f>
        <v>1.0032737397821989</v>
      </c>
      <c r="E2" s="61"/>
      <c r="F2" s="91">
        <v>1</v>
      </c>
      <c r="G2" s="58">
        <f>SUM(E10:E21)</f>
        <v>0</v>
      </c>
      <c r="H2" s="92">
        <f>SUM(D10:D21)</f>
        <v>0</v>
      </c>
    </row>
    <row r="3" spans="1:9">
      <c r="A3" s="413" t="s">
        <v>122</v>
      </c>
      <c r="B3" s="413"/>
      <c r="C3" s="109">
        <f>POWER(1+C2,1/12)-1</f>
        <v>3.2737397821989145E-3</v>
      </c>
      <c r="D3" s="239">
        <f>((1-$D1))/(($D2-1))</f>
        <v>54.394333419206639</v>
      </c>
      <c r="E3" s="59"/>
      <c r="F3" s="91">
        <v>2</v>
      </c>
      <c r="G3" s="58">
        <f>F33-G2</f>
        <v>0</v>
      </c>
      <c r="H3" s="92">
        <f>SUM(D22:D33)</f>
        <v>0</v>
      </c>
    </row>
    <row r="4" spans="1:9">
      <c r="A4" s="414" t="s">
        <v>123</v>
      </c>
      <c r="B4" s="414"/>
      <c r="C4" s="264">
        <v>5</v>
      </c>
      <c r="D4" s="59"/>
      <c r="E4" s="63"/>
      <c r="F4" s="93">
        <v>3</v>
      </c>
      <c r="G4" s="94">
        <f>F45-G3-G2</f>
        <v>0</v>
      </c>
      <c r="H4" s="95">
        <f>SUM(D34:D45)</f>
        <v>0</v>
      </c>
    </row>
    <row r="5" spans="1:9">
      <c r="A5" s="413" t="s">
        <v>124</v>
      </c>
      <c r="B5" s="413"/>
      <c r="C5" s="58">
        <f>C1*C3</f>
        <v>0</v>
      </c>
      <c r="D5" s="64"/>
      <c r="E5" s="65"/>
      <c r="F5" s="62"/>
      <c r="G5" s="58"/>
      <c r="H5" s="58"/>
    </row>
    <row r="6" spans="1:9">
      <c r="A6" s="413" t="s">
        <v>30</v>
      </c>
      <c r="B6" s="413"/>
      <c r="C6" s="82">
        <f>$C$1/$D$3</f>
        <v>0</v>
      </c>
      <c r="D6" s="65"/>
      <c r="E6" s="58"/>
      <c r="F6" s="62"/>
      <c r="G6" s="58"/>
      <c r="H6" s="58"/>
    </row>
    <row r="7" spans="1:9" ht="9.75" customHeight="1" thickBot="1">
      <c r="E7" s="65"/>
      <c r="F7" s="67"/>
    </row>
    <row r="8" spans="1:9" ht="38.25">
      <c r="B8" s="68" t="s">
        <v>125</v>
      </c>
      <c r="C8" s="69" t="s">
        <v>30</v>
      </c>
      <c r="D8" s="69" t="s">
        <v>126</v>
      </c>
      <c r="E8" s="70" t="s">
        <v>127</v>
      </c>
      <c r="F8" s="71" t="s">
        <v>128</v>
      </c>
      <c r="G8" s="72" t="s">
        <v>129</v>
      </c>
      <c r="H8" s="72" t="s">
        <v>130</v>
      </c>
      <c r="I8" s="73" t="s">
        <v>131</v>
      </c>
    </row>
    <row r="9" spans="1:9">
      <c r="B9" s="74">
        <v>0</v>
      </c>
      <c r="C9" s="75"/>
      <c r="D9" s="75"/>
      <c r="E9" s="75"/>
      <c r="F9" s="76"/>
      <c r="G9" s="75">
        <f>C1</f>
        <v>0</v>
      </c>
      <c r="H9" s="75"/>
      <c r="I9" s="77"/>
    </row>
    <row r="10" spans="1:9">
      <c r="B10" s="78">
        <v>38718</v>
      </c>
      <c r="C10" s="75">
        <f t="shared" ref="C10:C57" si="0">$C$1/$D$3</f>
        <v>0</v>
      </c>
      <c r="D10" s="75">
        <f>$C$3*$C$1</f>
        <v>0</v>
      </c>
      <c r="E10" s="75">
        <f t="shared" ref="E10:E57" si="1">C10-D10</f>
        <v>0</v>
      </c>
      <c r="F10" s="75">
        <f>E10+E9</f>
        <v>0</v>
      </c>
      <c r="G10" s="75">
        <f t="shared" ref="G10:G57" si="2">$G$9-F10</f>
        <v>0</v>
      </c>
      <c r="H10" s="75">
        <f t="shared" ref="H10:H56" si="3">D10+D11+D12</f>
        <v>0</v>
      </c>
      <c r="I10" s="77">
        <f t="shared" ref="I10:I56" si="4">G10+H10</f>
        <v>0</v>
      </c>
    </row>
    <row r="11" spans="1:9">
      <c r="B11" s="78">
        <v>38749</v>
      </c>
      <c r="C11" s="75">
        <f t="shared" si="0"/>
        <v>0</v>
      </c>
      <c r="D11" s="75">
        <f t="shared" ref="D11:D57" si="5">G10*$C$3</f>
        <v>0</v>
      </c>
      <c r="E11" s="75">
        <f t="shared" si="1"/>
        <v>0</v>
      </c>
      <c r="F11" s="75">
        <f t="shared" ref="F11:F57" si="6">F10+E11</f>
        <v>0</v>
      </c>
      <c r="G11" s="75">
        <f t="shared" si="2"/>
        <v>0</v>
      </c>
      <c r="H11" s="75">
        <f t="shared" si="3"/>
        <v>0</v>
      </c>
      <c r="I11" s="77">
        <f t="shared" si="4"/>
        <v>0</v>
      </c>
    </row>
    <row r="12" spans="1:9">
      <c r="B12" s="78">
        <v>38777</v>
      </c>
      <c r="C12" s="75">
        <f t="shared" si="0"/>
        <v>0</v>
      </c>
      <c r="D12" s="75">
        <f t="shared" si="5"/>
        <v>0</v>
      </c>
      <c r="E12" s="75">
        <f t="shared" si="1"/>
        <v>0</v>
      </c>
      <c r="F12" s="75">
        <f t="shared" si="6"/>
        <v>0</v>
      </c>
      <c r="G12" s="75">
        <f t="shared" si="2"/>
        <v>0</v>
      </c>
      <c r="H12" s="75">
        <f t="shared" si="3"/>
        <v>0</v>
      </c>
      <c r="I12" s="77">
        <f t="shared" si="4"/>
        <v>0</v>
      </c>
    </row>
    <row r="13" spans="1:9">
      <c r="B13" s="78">
        <v>38808</v>
      </c>
      <c r="C13" s="75">
        <f t="shared" si="0"/>
        <v>0</v>
      </c>
      <c r="D13" s="75">
        <f t="shared" si="5"/>
        <v>0</v>
      </c>
      <c r="E13" s="75">
        <f t="shared" si="1"/>
        <v>0</v>
      </c>
      <c r="F13" s="75">
        <f t="shared" si="6"/>
        <v>0</v>
      </c>
      <c r="G13" s="75">
        <f t="shared" si="2"/>
        <v>0</v>
      </c>
      <c r="H13" s="75">
        <f t="shared" si="3"/>
        <v>0</v>
      </c>
      <c r="I13" s="77">
        <f t="shared" si="4"/>
        <v>0</v>
      </c>
    </row>
    <row r="14" spans="1:9">
      <c r="B14" s="78">
        <v>38838</v>
      </c>
      <c r="C14" s="75">
        <f t="shared" si="0"/>
        <v>0</v>
      </c>
      <c r="D14" s="75">
        <f t="shared" si="5"/>
        <v>0</v>
      </c>
      <c r="E14" s="75">
        <f t="shared" si="1"/>
        <v>0</v>
      </c>
      <c r="F14" s="75">
        <f t="shared" si="6"/>
        <v>0</v>
      </c>
      <c r="G14" s="75">
        <f t="shared" si="2"/>
        <v>0</v>
      </c>
      <c r="H14" s="75">
        <f t="shared" si="3"/>
        <v>0</v>
      </c>
      <c r="I14" s="77">
        <f t="shared" si="4"/>
        <v>0</v>
      </c>
    </row>
    <row r="15" spans="1:9">
      <c r="B15" s="78">
        <v>38869</v>
      </c>
      <c r="C15" s="75">
        <f t="shared" si="0"/>
        <v>0</v>
      </c>
      <c r="D15" s="75">
        <f t="shared" si="5"/>
        <v>0</v>
      </c>
      <c r="E15" s="75">
        <f t="shared" si="1"/>
        <v>0</v>
      </c>
      <c r="F15" s="75">
        <f t="shared" si="6"/>
        <v>0</v>
      </c>
      <c r="G15" s="75">
        <f t="shared" si="2"/>
        <v>0</v>
      </c>
      <c r="H15" s="75">
        <f t="shared" si="3"/>
        <v>0</v>
      </c>
      <c r="I15" s="77">
        <f t="shared" si="4"/>
        <v>0</v>
      </c>
    </row>
    <row r="16" spans="1:9">
      <c r="B16" s="78">
        <v>38899</v>
      </c>
      <c r="C16" s="75">
        <f t="shared" si="0"/>
        <v>0</v>
      </c>
      <c r="D16" s="75">
        <f t="shared" si="5"/>
        <v>0</v>
      </c>
      <c r="E16" s="75">
        <f t="shared" si="1"/>
        <v>0</v>
      </c>
      <c r="F16" s="75">
        <f t="shared" si="6"/>
        <v>0</v>
      </c>
      <c r="G16" s="75">
        <f t="shared" si="2"/>
        <v>0</v>
      </c>
      <c r="H16" s="75">
        <f t="shared" si="3"/>
        <v>0</v>
      </c>
      <c r="I16" s="77">
        <f t="shared" si="4"/>
        <v>0</v>
      </c>
    </row>
    <row r="17" spans="2:9">
      <c r="B17" s="78">
        <v>38930</v>
      </c>
      <c r="C17" s="75">
        <f t="shared" si="0"/>
        <v>0</v>
      </c>
      <c r="D17" s="75">
        <f t="shared" si="5"/>
        <v>0</v>
      </c>
      <c r="E17" s="75">
        <f t="shared" si="1"/>
        <v>0</v>
      </c>
      <c r="F17" s="75">
        <f t="shared" si="6"/>
        <v>0</v>
      </c>
      <c r="G17" s="75">
        <f t="shared" si="2"/>
        <v>0</v>
      </c>
      <c r="H17" s="75">
        <f t="shared" si="3"/>
        <v>0</v>
      </c>
      <c r="I17" s="77">
        <f t="shared" si="4"/>
        <v>0</v>
      </c>
    </row>
    <row r="18" spans="2:9">
      <c r="B18" s="78">
        <v>38961</v>
      </c>
      <c r="C18" s="75">
        <f t="shared" si="0"/>
        <v>0</v>
      </c>
      <c r="D18" s="75">
        <f t="shared" si="5"/>
        <v>0</v>
      </c>
      <c r="E18" s="75">
        <f t="shared" si="1"/>
        <v>0</v>
      </c>
      <c r="F18" s="75">
        <f t="shared" si="6"/>
        <v>0</v>
      </c>
      <c r="G18" s="75">
        <f t="shared" si="2"/>
        <v>0</v>
      </c>
      <c r="H18" s="75">
        <f t="shared" si="3"/>
        <v>0</v>
      </c>
      <c r="I18" s="77">
        <f t="shared" si="4"/>
        <v>0</v>
      </c>
    </row>
    <row r="19" spans="2:9">
      <c r="B19" s="78">
        <v>38991</v>
      </c>
      <c r="C19" s="75">
        <f t="shared" si="0"/>
        <v>0</v>
      </c>
      <c r="D19" s="75">
        <f t="shared" si="5"/>
        <v>0</v>
      </c>
      <c r="E19" s="75">
        <f t="shared" si="1"/>
        <v>0</v>
      </c>
      <c r="F19" s="75">
        <f t="shared" si="6"/>
        <v>0</v>
      </c>
      <c r="G19" s="75">
        <f t="shared" si="2"/>
        <v>0</v>
      </c>
      <c r="H19" s="75">
        <f t="shared" si="3"/>
        <v>0</v>
      </c>
      <c r="I19" s="77">
        <f t="shared" si="4"/>
        <v>0</v>
      </c>
    </row>
    <row r="20" spans="2:9">
      <c r="B20" s="78">
        <v>39022</v>
      </c>
      <c r="C20" s="75">
        <f t="shared" si="0"/>
        <v>0</v>
      </c>
      <c r="D20" s="75">
        <f t="shared" si="5"/>
        <v>0</v>
      </c>
      <c r="E20" s="75">
        <f t="shared" si="1"/>
        <v>0</v>
      </c>
      <c r="F20" s="75">
        <f t="shared" si="6"/>
        <v>0</v>
      </c>
      <c r="G20" s="75">
        <f t="shared" si="2"/>
        <v>0</v>
      </c>
      <c r="H20" s="75">
        <f t="shared" si="3"/>
        <v>0</v>
      </c>
      <c r="I20" s="77">
        <f t="shared" si="4"/>
        <v>0</v>
      </c>
    </row>
    <row r="21" spans="2:9">
      <c r="B21" s="78">
        <v>39052</v>
      </c>
      <c r="C21" s="75">
        <f t="shared" si="0"/>
        <v>0</v>
      </c>
      <c r="D21" s="75">
        <f t="shared" si="5"/>
        <v>0</v>
      </c>
      <c r="E21" s="75">
        <f t="shared" si="1"/>
        <v>0</v>
      </c>
      <c r="F21" s="75">
        <f t="shared" si="6"/>
        <v>0</v>
      </c>
      <c r="G21" s="75">
        <f t="shared" si="2"/>
        <v>0</v>
      </c>
      <c r="H21" s="75">
        <f t="shared" si="3"/>
        <v>0</v>
      </c>
      <c r="I21" s="77">
        <f t="shared" si="4"/>
        <v>0</v>
      </c>
    </row>
    <row r="22" spans="2:9">
      <c r="B22" s="78">
        <v>39083</v>
      </c>
      <c r="C22" s="75">
        <f t="shared" si="0"/>
        <v>0</v>
      </c>
      <c r="D22" s="75">
        <f t="shared" si="5"/>
        <v>0</v>
      </c>
      <c r="E22" s="75">
        <f t="shared" si="1"/>
        <v>0</v>
      </c>
      <c r="F22" s="75">
        <f t="shared" si="6"/>
        <v>0</v>
      </c>
      <c r="G22" s="75">
        <f t="shared" si="2"/>
        <v>0</v>
      </c>
      <c r="H22" s="75">
        <f t="shared" si="3"/>
        <v>0</v>
      </c>
      <c r="I22" s="77">
        <f t="shared" si="4"/>
        <v>0</v>
      </c>
    </row>
    <row r="23" spans="2:9">
      <c r="B23" s="78">
        <v>39114</v>
      </c>
      <c r="C23" s="75">
        <f t="shared" si="0"/>
        <v>0</v>
      </c>
      <c r="D23" s="75">
        <f t="shared" si="5"/>
        <v>0</v>
      </c>
      <c r="E23" s="75">
        <f t="shared" si="1"/>
        <v>0</v>
      </c>
      <c r="F23" s="75">
        <f t="shared" si="6"/>
        <v>0</v>
      </c>
      <c r="G23" s="75">
        <f t="shared" si="2"/>
        <v>0</v>
      </c>
      <c r="H23" s="75">
        <f t="shared" si="3"/>
        <v>0</v>
      </c>
      <c r="I23" s="77">
        <f t="shared" si="4"/>
        <v>0</v>
      </c>
    </row>
    <row r="24" spans="2:9">
      <c r="B24" s="78">
        <v>39142</v>
      </c>
      <c r="C24" s="75">
        <f t="shared" si="0"/>
        <v>0</v>
      </c>
      <c r="D24" s="75">
        <f t="shared" si="5"/>
        <v>0</v>
      </c>
      <c r="E24" s="75">
        <f t="shared" si="1"/>
        <v>0</v>
      </c>
      <c r="F24" s="75">
        <f t="shared" si="6"/>
        <v>0</v>
      </c>
      <c r="G24" s="75">
        <f t="shared" si="2"/>
        <v>0</v>
      </c>
      <c r="H24" s="75">
        <f t="shared" si="3"/>
        <v>0</v>
      </c>
      <c r="I24" s="77">
        <f t="shared" si="4"/>
        <v>0</v>
      </c>
    </row>
    <row r="25" spans="2:9">
      <c r="B25" s="78">
        <v>39173</v>
      </c>
      <c r="C25" s="75">
        <f t="shared" si="0"/>
        <v>0</v>
      </c>
      <c r="D25" s="75">
        <f t="shared" si="5"/>
        <v>0</v>
      </c>
      <c r="E25" s="75">
        <f t="shared" si="1"/>
        <v>0</v>
      </c>
      <c r="F25" s="75">
        <f t="shared" si="6"/>
        <v>0</v>
      </c>
      <c r="G25" s="75">
        <f t="shared" si="2"/>
        <v>0</v>
      </c>
      <c r="H25" s="75">
        <f t="shared" si="3"/>
        <v>0</v>
      </c>
      <c r="I25" s="77">
        <f t="shared" si="4"/>
        <v>0</v>
      </c>
    </row>
    <row r="26" spans="2:9">
      <c r="B26" s="78">
        <v>39203</v>
      </c>
      <c r="C26" s="75">
        <f t="shared" si="0"/>
        <v>0</v>
      </c>
      <c r="D26" s="75">
        <f t="shared" si="5"/>
        <v>0</v>
      </c>
      <c r="E26" s="75">
        <f t="shared" si="1"/>
        <v>0</v>
      </c>
      <c r="F26" s="75">
        <f t="shared" si="6"/>
        <v>0</v>
      </c>
      <c r="G26" s="75">
        <f t="shared" si="2"/>
        <v>0</v>
      </c>
      <c r="H26" s="75">
        <f t="shared" si="3"/>
        <v>0</v>
      </c>
      <c r="I26" s="77">
        <f t="shared" si="4"/>
        <v>0</v>
      </c>
    </row>
    <row r="27" spans="2:9">
      <c r="B27" s="78">
        <v>39234</v>
      </c>
      <c r="C27" s="75">
        <f t="shared" si="0"/>
        <v>0</v>
      </c>
      <c r="D27" s="75">
        <f t="shared" si="5"/>
        <v>0</v>
      </c>
      <c r="E27" s="75">
        <f t="shared" si="1"/>
        <v>0</v>
      </c>
      <c r="F27" s="75">
        <f t="shared" si="6"/>
        <v>0</v>
      </c>
      <c r="G27" s="75">
        <f t="shared" si="2"/>
        <v>0</v>
      </c>
      <c r="H27" s="75">
        <f t="shared" si="3"/>
        <v>0</v>
      </c>
      <c r="I27" s="77">
        <f t="shared" si="4"/>
        <v>0</v>
      </c>
    </row>
    <row r="28" spans="2:9">
      <c r="B28" s="78">
        <v>39264</v>
      </c>
      <c r="C28" s="75">
        <f t="shared" si="0"/>
        <v>0</v>
      </c>
      <c r="D28" s="75">
        <f t="shared" si="5"/>
        <v>0</v>
      </c>
      <c r="E28" s="75">
        <f t="shared" si="1"/>
        <v>0</v>
      </c>
      <c r="F28" s="75">
        <f t="shared" si="6"/>
        <v>0</v>
      </c>
      <c r="G28" s="75">
        <f t="shared" si="2"/>
        <v>0</v>
      </c>
      <c r="H28" s="75">
        <f t="shared" si="3"/>
        <v>0</v>
      </c>
      <c r="I28" s="77">
        <f t="shared" si="4"/>
        <v>0</v>
      </c>
    </row>
    <row r="29" spans="2:9">
      <c r="B29" s="78">
        <v>39295</v>
      </c>
      <c r="C29" s="75">
        <f t="shared" si="0"/>
        <v>0</v>
      </c>
      <c r="D29" s="75">
        <f t="shared" si="5"/>
        <v>0</v>
      </c>
      <c r="E29" s="75">
        <f t="shared" si="1"/>
        <v>0</v>
      </c>
      <c r="F29" s="75">
        <f t="shared" si="6"/>
        <v>0</v>
      </c>
      <c r="G29" s="75">
        <f t="shared" si="2"/>
        <v>0</v>
      </c>
      <c r="H29" s="75">
        <f t="shared" si="3"/>
        <v>0</v>
      </c>
      <c r="I29" s="77">
        <f t="shared" si="4"/>
        <v>0</v>
      </c>
    </row>
    <row r="30" spans="2:9">
      <c r="B30" s="78">
        <v>39326</v>
      </c>
      <c r="C30" s="75">
        <f t="shared" si="0"/>
        <v>0</v>
      </c>
      <c r="D30" s="75">
        <f t="shared" si="5"/>
        <v>0</v>
      </c>
      <c r="E30" s="75">
        <f t="shared" si="1"/>
        <v>0</v>
      </c>
      <c r="F30" s="75">
        <f t="shared" si="6"/>
        <v>0</v>
      </c>
      <c r="G30" s="75">
        <f t="shared" si="2"/>
        <v>0</v>
      </c>
      <c r="H30" s="75">
        <f t="shared" si="3"/>
        <v>0</v>
      </c>
      <c r="I30" s="77">
        <f t="shared" si="4"/>
        <v>0</v>
      </c>
    </row>
    <row r="31" spans="2:9">
      <c r="B31" s="78">
        <v>39356</v>
      </c>
      <c r="C31" s="75">
        <f t="shared" si="0"/>
        <v>0</v>
      </c>
      <c r="D31" s="75">
        <f t="shared" si="5"/>
        <v>0</v>
      </c>
      <c r="E31" s="75">
        <f t="shared" si="1"/>
        <v>0</v>
      </c>
      <c r="F31" s="75">
        <f t="shared" si="6"/>
        <v>0</v>
      </c>
      <c r="G31" s="75">
        <f t="shared" si="2"/>
        <v>0</v>
      </c>
      <c r="H31" s="75">
        <f t="shared" si="3"/>
        <v>0</v>
      </c>
      <c r="I31" s="77">
        <f t="shared" si="4"/>
        <v>0</v>
      </c>
    </row>
    <row r="32" spans="2:9">
      <c r="B32" s="78">
        <v>39387</v>
      </c>
      <c r="C32" s="75">
        <f t="shared" si="0"/>
        <v>0</v>
      </c>
      <c r="D32" s="75">
        <f t="shared" si="5"/>
        <v>0</v>
      </c>
      <c r="E32" s="75">
        <f t="shared" si="1"/>
        <v>0</v>
      </c>
      <c r="F32" s="75">
        <f t="shared" si="6"/>
        <v>0</v>
      </c>
      <c r="G32" s="75">
        <f t="shared" si="2"/>
        <v>0</v>
      </c>
      <c r="H32" s="75">
        <f t="shared" si="3"/>
        <v>0</v>
      </c>
      <c r="I32" s="77">
        <f t="shared" si="4"/>
        <v>0</v>
      </c>
    </row>
    <row r="33" spans="2:9">
      <c r="B33" s="78">
        <v>39417</v>
      </c>
      <c r="C33" s="75">
        <f t="shared" si="0"/>
        <v>0</v>
      </c>
      <c r="D33" s="75">
        <f t="shared" si="5"/>
        <v>0</v>
      </c>
      <c r="E33" s="75">
        <f t="shared" si="1"/>
        <v>0</v>
      </c>
      <c r="F33" s="75">
        <f t="shared" si="6"/>
        <v>0</v>
      </c>
      <c r="G33" s="75">
        <f t="shared" si="2"/>
        <v>0</v>
      </c>
      <c r="H33" s="75">
        <f t="shared" si="3"/>
        <v>0</v>
      </c>
      <c r="I33" s="77">
        <f t="shared" si="4"/>
        <v>0</v>
      </c>
    </row>
    <row r="34" spans="2:9">
      <c r="B34" s="78">
        <v>39448</v>
      </c>
      <c r="C34" s="75">
        <f t="shared" si="0"/>
        <v>0</v>
      </c>
      <c r="D34" s="75">
        <f t="shared" si="5"/>
        <v>0</v>
      </c>
      <c r="E34" s="75">
        <f t="shared" si="1"/>
        <v>0</v>
      </c>
      <c r="F34" s="75">
        <f t="shared" si="6"/>
        <v>0</v>
      </c>
      <c r="G34" s="75">
        <f t="shared" si="2"/>
        <v>0</v>
      </c>
      <c r="H34" s="75">
        <f t="shared" si="3"/>
        <v>0</v>
      </c>
      <c r="I34" s="77">
        <f t="shared" si="4"/>
        <v>0</v>
      </c>
    </row>
    <row r="35" spans="2:9">
      <c r="B35" s="78">
        <v>39479</v>
      </c>
      <c r="C35" s="75">
        <f t="shared" si="0"/>
        <v>0</v>
      </c>
      <c r="D35" s="75">
        <f t="shared" si="5"/>
        <v>0</v>
      </c>
      <c r="E35" s="75">
        <f t="shared" si="1"/>
        <v>0</v>
      </c>
      <c r="F35" s="75">
        <f t="shared" si="6"/>
        <v>0</v>
      </c>
      <c r="G35" s="75">
        <f t="shared" si="2"/>
        <v>0</v>
      </c>
      <c r="H35" s="75">
        <f t="shared" si="3"/>
        <v>0</v>
      </c>
      <c r="I35" s="77">
        <f t="shared" si="4"/>
        <v>0</v>
      </c>
    </row>
    <row r="36" spans="2:9">
      <c r="B36" s="78">
        <v>39508</v>
      </c>
      <c r="C36" s="75">
        <f t="shared" si="0"/>
        <v>0</v>
      </c>
      <c r="D36" s="75">
        <f t="shared" si="5"/>
        <v>0</v>
      </c>
      <c r="E36" s="75">
        <f t="shared" si="1"/>
        <v>0</v>
      </c>
      <c r="F36" s="75">
        <f t="shared" si="6"/>
        <v>0</v>
      </c>
      <c r="G36" s="75">
        <f t="shared" si="2"/>
        <v>0</v>
      </c>
      <c r="H36" s="75">
        <f t="shared" si="3"/>
        <v>0</v>
      </c>
      <c r="I36" s="77">
        <f t="shared" si="4"/>
        <v>0</v>
      </c>
    </row>
    <row r="37" spans="2:9">
      <c r="B37" s="78">
        <v>39539</v>
      </c>
      <c r="C37" s="75">
        <f t="shared" si="0"/>
        <v>0</v>
      </c>
      <c r="D37" s="75">
        <f t="shared" si="5"/>
        <v>0</v>
      </c>
      <c r="E37" s="75">
        <f t="shared" si="1"/>
        <v>0</v>
      </c>
      <c r="F37" s="75">
        <f t="shared" si="6"/>
        <v>0</v>
      </c>
      <c r="G37" s="75">
        <f t="shared" si="2"/>
        <v>0</v>
      </c>
      <c r="H37" s="75">
        <f t="shared" si="3"/>
        <v>0</v>
      </c>
      <c r="I37" s="77">
        <f t="shared" si="4"/>
        <v>0</v>
      </c>
    </row>
    <row r="38" spans="2:9">
      <c r="B38" s="78">
        <v>39569</v>
      </c>
      <c r="C38" s="75">
        <f t="shared" si="0"/>
        <v>0</v>
      </c>
      <c r="D38" s="75">
        <f t="shared" si="5"/>
        <v>0</v>
      </c>
      <c r="E38" s="75">
        <f t="shared" si="1"/>
        <v>0</v>
      </c>
      <c r="F38" s="75">
        <f t="shared" si="6"/>
        <v>0</v>
      </c>
      <c r="G38" s="75">
        <f t="shared" si="2"/>
        <v>0</v>
      </c>
      <c r="H38" s="75">
        <f t="shared" si="3"/>
        <v>0</v>
      </c>
      <c r="I38" s="77">
        <f t="shared" si="4"/>
        <v>0</v>
      </c>
    </row>
    <row r="39" spans="2:9">
      <c r="B39" s="78">
        <v>39600</v>
      </c>
      <c r="C39" s="75">
        <f t="shared" si="0"/>
        <v>0</v>
      </c>
      <c r="D39" s="75">
        <f t="shared" si="5"/>
        <v>0</v>
      </c>
      <c r="E39" s="75">
        <f t="shared" si="1"/>
        <v>0</v>
      </c>
      <c r="F39" s="75">
        <f t="shared" si="6"/>
        <v>0</v>
      </c>
      <c r="G39" s="75">
        <f t="shared" si="2"/>
        <v>0</v>
      </c>
      <c r="H39" s="75">
        <f t="shared" si="3"/>
        <v>0</v>
      </c>
      <c r="I39" s="77">
        <f t="shared" si="4"/>
        <v>0</v>
      </c>
    </row>
    <row r="40" spans="2:9">
      <c r="B40" s="78">
        <v>39630</v>
      </c>
      <c r="C40" s="75">
        <f t="shared" si="0"/>
        <v>0</v>
      </c>
      <c r="D40" s="75">
        <f t="shared" si="5"/>
        <v>0</v>
      </c>
      <c r="E40" s="75">
        <f t="shared" si="1"/>
        <v>0</v>
      </c>
      <c r="F40" s="75">
        <f t="shared" si="6"/>
        <v>0</v>
      </c>
      <c r="G40" s="75">
        <f t="shared" si="2"/>
        <v>0</v>
      </c>
      <c r="H40" s="75">
        <f t="shared" si="3"/>
        <v>0</v>
      </c>
      <c r="I40" s="77">
        <f t="shared" si="4"/>
        <v>0</v>
      </c>
    </row>
    <row r="41" spans="2:9">
      <c r="B41" s="78">
        <v>39661</v>
      </c>
      <c r="C41" s="75">
        <f t="shared" si="0"/>
        <v>0</v>
      </c>
      <c r="D41" s="75">
        <f t="shared" si="5"/>
        <v>0</v>
      </c>
      <c r="E41" s="75">
        <f t="shared" si="1"/>
        <v>0</v>
      </c>
      <c r="F41" s="75">
        <f t="shared" si="6"/>
        <v>0</v>
      </c>
      <c r="G41" s="75">
        <f t="shared" si="2"/>
        <v>0</v>
      </c>
      <c r="H41" s="75">
        <f t="shared" si="3"/>
        <v>0</v>
      </c>
      <c r="I41" s="77">
        <f t="shared" si="4"/>
        <v>0</v>
      </c>
    </row>
    <row r="42" spans="2:9">
      <c r="B42" s="78">
        <v>39692</v>
      </c>
      <c r="C42" s="75">
        <f t="shared" si="0"/>
        <v>0</v>
      </c>
      <c r="D42" s="75">
        <f t="shared" si="5"/>
        <v>0</v>
      </c>
      <c r="E42" s="75">
        <f t="shared" si="1"/>
        <v>0</v>
      </c>
      <c r="F42" s="75">
        <f t="shared" si="6"/>
        <v>0</v>
      </c>
      <c r="G42" s="75">
        <f t="shared" si="2"/>
        <v>0</v>
      </c>
      <c r="H42" s="75">
        <f t="shared" si="3"/>
        <v>0</v>
      </c>
      <c r="I42" s="77">
        <f t="shared" si="4"/>
        <v>0</v>
      </c>
    </row>
    <row r="43" spans="2:9">
      <c r="B43" s="78">
        <v>39722</v>
      </c>
      <c r="C43" s="75">
        <f t="shared" si="0"/>
        <v>0</v>
      </c>
      <c r="D43" s="75">
        <f t="shared" si="5"/>
        <v>0</v>
      </c>
      <c r="E43" s="75">
        <f t="shared" si="1"/>
        <v>0</v>
      </c>
      <c r="F43" s="75">
        <f t="shared" si="6"/>
        <v>0</v>
      </c>
      <c r="G43" s="75">
        <f t="shared" si="2"/>
        <v>0</v>
      </c>
      <c r="H43" s="75">
        <f t="shared" si="3"/>
        <v>0</v>
      </c>
      <c r="I43" s="77">
        <f t="shared" si="4"/>
        <v>0</v>
      </c>
    </row>
    <row r="44" spans="2:9">
      <c r="B44" s="78">
        <v>39753</v>
      </c>
      <c r="C44" s="75">
        <f t="shared" si="0"/>
        <v>0</v>
      </c>
      <c r="D44" s="75">
        <f t="shared" si="5"/>
        <v>0</v>
      </c>
      <c r="E44" s="75">
        <f t="shared" si="1"/>
        <v>0</v>
      </c>
      <c r="F44" s="75">
        <f t="shared" si="6"/>
        <v>0</v>
      </c>
      <c r="G44" s="75">
        <f t="shared" si="2"/>
        <v>0</v>
      </c>
      <c r="H44" s="75">
        <f t="shared" si="3"/>
        <v>0</v>
      </c>
      <c r="I44" s="77">
        <f t="shared" si="4"/>
        <v>0</v>
      </c>
    </row>
    <row r="45" spans="2:9">
      <c r="B45" s="78">
        <v>39783</v>
      </c>
      <c r="C45" s="75">
        <f t="shared" si="0"/>
        <v>0</v>
      </c>
      <c r="D45" s="75">
        <f t="shared" si="5"/>
        <v>0</v>
      </c>
      <c r="E45" s="75">
        <f t="shared" si="1"/>
        <v>0</v>
      </c>
      <c r="F45" s="75">
        <f t="shared" si="6"/>
        <v>0</v>
      </c>
      <c r="G45" s="75">
        <f t="shared" si="2"/>
        <v>0</v>
      </c>
      <c r="H45" s="75">
        <f t="shared" si="3"/>
        <v>0</v>
      </c>
      <c r="I45" s="77">
        <f t="shared" si="4"/>
        <v>0</v>
      </c>
    </row>
    <row r="46" spans="2:9">
      <c r="B46" s="78">
        <v>39814</v>
      </c>
      <c r="C46" s="75">
        <f t="shared" si="0"/>
        <v>0</v>
      </c>
      <c r="D46" s="75">
        <f t="shared" si="5"/>
        <v>0</v>
      </c>
      <c r="E46" s="75">
        <f t="shared" si="1"/>
        <v>0</v>
      </c>
      <c r="F46" s="75">
        <f t="shared" si="6"/>
        <v>0</v>
      </c>
      <c r="G46" s="75">
        <f t="shared" si="2"/>
        <v>0</v>
      </c>
      <c r="H46" s="75">
        <f t="shared" si="3"/>
        <v>0</v>
      </c>
      <c r="I46" s="77">
        <f t="shared" si="4"/>
        <v>0</v>
      </c>
    </row>
    <row r="47" spans="2:9">
      <c r="B47" s="78">
        <v>39845</v>
      </c>
      <c r="C47" s="75">
        <f t="shared" si="0"/>
        <v>0</v>
      </c>
      <c r="D47" s="75">
        <f t="shared" si="5"/>
        <v>0</v>
      </c>
      <c r="E47" s="75">
        <f t="shared" si="1"/>
        <v>0</v>
      </c>
      <c r="F47" s="75">
        <f t="shared" si="6"/>
        <v>0</v>
      </c>
      <c r="G47" s="75">
        <f t="shared" si="2"/>
        <v>0</v>
      </c>
      <c r="H47" s="75">
        <f t="shared" si="3"/>
        <v>0</v>
      </c>
      <c r="I47" s="77">
        <f t="shared" si="4"/>
        <v>0</v>
      </c>
    </row>
    <row r="48" spans="2:9">
      <c r="B48" s="78">
        <v>39873</v>
      </c>
      <c r="C48" s="75">
        <f t="shared" si="0"/>
        <v>0</v>
      </c>
      <c r="D48" s="75">
        <f t="shared" si="5"/>
        <v>0</v>
      </c>
      <c r="E48" s="75">
        <f t="shared" si="1"/>
        <v>0</v>
      </c>
      <c r="F48" s="75">
        <f t="shared" si="6"/>
        <v>0</v>
      </c>
      <c r="G48" s="75">
        <f t="shared" si="2"/>
        <v>0</v>
      </c>
      <c r="H48" s="75">
        <f t="shared" si="3"/>
        <v>0</v>
      </c>
      <c r="I48" s="77">
        <f t="shared" si="4"/>
        <v>0</v>
      </c>
    </row>
    <row r="49" spans="2:9">
      <c r="B49" s="78">
        <v>39904</v>
      </c>
      <c r="C49" s="75">
        <f t="shared" si="0"/>
        <v>0</v>
      </c>
      <c r="D49" s="75">
        <f t="shared" si="5"/>
        <v>0</v>
      </c>
      <c r="E49" s="75">
        <f t="shared" si="1"/>
        <v>0</v>
      </c>
      <c r="F49" s="75">
        <f t="shared" si="6"/>
        <v>0</v>
      </c>
      <c r="G49" s="75">
        <f t="shared" si="2"/>
        <v>0</v>
      </c>
      <c r="H49" s="75">
        <f t="shared" si="3"/>
        <v>0</v>
      </c>
      <c r="I49" s="77">
        <f t="shared" si="4"/>
        <v>0</v>
      </c>
    </row>
    <row r="50" spans="2:9">
      <c r="B50" s="78">
        <v>39934</v>
      </c>
      <c r="C50" s="75">
        <f t="shared" si="0"/>
        <v>0</v>
      </c>
      <c r="D50" s="75">
        <f t="shared" si="5"/>
        <v>0</v>
      </c>
      <c r="E50" s="75">
        <f t="shared" si="1"/>
        <v>0</v>
      </c>
      <c r="F50" s="75">
        <f t="shared" si="6"/>
        <v>0</v>
      </c>
      <c r="G50" s="75">
        <f t="shared" si="2"/>
        <v>0</v>
      </c>
      <c r="H50" s="75">
        <f t="shared" si="3"/>
        <v>0</v>
      </c>
      <c r="I50" s="77">
        <f t="shared" si="4"/>
        <v>0</v>
      </c>
    </row>
    <row r="51" spans="2:9">
      <c r="B51" s="78">
        <v>39965</v>
      </c>
      <c r="C51" s="75">
        <f t="shared" si="0"/>
        <v>0</v>
      </c>
      <c r="D51" s="75">
        <f t="shared" si="5"/>
        <v>0</v>
      </c>
      <c r="E51" s="75">
        <f t="shared" si="1"/>
        <v>0</v>
      </c>
      <c r="F51" s="75">
        <f t="shared" si="6"/>
        <v>0</v>
      </c>
      <c r="G51" s="75">
        <f t="shared" si="2"/>
        <v>0</v>
      </c>
      <c r="H51" s="75">
        <f t="shared" si="3"/>
        <v>0</v>
      </c>
      <c r="I51" s="77">
        <f t="shared" si="4"/>
        <v>0</v>
      </c>
    </row>
    <row r="52" spans="2:9">
      <c r="B52" s="78">
        <v>39995</v>
      </c>
      <c r="C52" s="75">
        <f t="shared" si="0"/>
        <v>0</v>
      </c>
      <c r="D52" s="75">
        <f t="shared" si="5"/>
        <v>0</v>
      </c>
      <c r="E52" s="75">
        <f t="shared" si="1"/>
        <v>0</v>
      </c>
      <c r="F52" s="75">
        <f t="shared" si="6"/>
        <v>0</v>
      </c>
      <c r="G52" s="75">
        <f t="shared" si="2"/>
        <v>0</v>
      </c>
      <c r="H52" s="75">
        <f t="shared" si="3"/>
        <v>0</v>
      </c>
      <c r="I52" s="77">
        <f t="shared" si="4"/>
        <v>0</v>
      </c>
    </row>
    <row r="53" spans="2:9">
      <c r="B53" s="78">
        <v>40026</v>
      </c>
      <c r="C53" s="75">
        <f t="shared" si="0"/>
        <v>0</v>
      </c>
      <c r="D53" s="75">
        <f t="shared" si="5"/>
        <v>0</v>
      </c>
      <c r="E53" s="75">
        <f t="shared" si="1"/>
        <v>0</v>
      </c>
      <c r="F53" s="75">
        <f t="shared" si="6"/>
        <v>0</v>
      </c>
      <c r="G53" s="75">
        <f t="shared" si="2"/>
        <v>0</v>
      </c>
      <c r="H53" s="75">
        <f t="shared" si="3"/>
        <v>0</v>
      </c>
      <c r="I53" s="77">
        <f t="shared" si="4"/>
        <v>0</v>
      </c>
    </row>
    <row r="54" spans="2:9">
      <c r="B54" s="78">
        <v>40057</v>
      </c>
      <c r="C54" s="75">
        <f t="shared" si="0"/>
        <v>0</v>
      </c>
      <c r="D54" s="75">
        <f t="shared" si="5"/>
        <v>0</v>
      </c>
      <c r="E54" s="75">
        <f t="shared" si="1"/>
        <v>0</v>
      </c>
      <c r="F54" s="75">
        <f t="shared" si="6"/>
        <v>0</v>
      </c>
      <c r="G54" s="75">
        <f t="shared" si="2"/>
        <v>0</v>
      </c>
      <c r="H54" s="75">
        <f t="shared" si="3"/>
        <v>0</v>
      </c>
      <c r="I54" s="77">
        <f t="shared" si="4"/>
        <v>0</v>
      </c>
    </row>
    <row r="55" spans="2:9">
      <c r="B55" s="78">
        <v>40087</v>
      </c>
      <c r="C55" s="75">
        <f t="shared" si="0"/>
        <v>0</v>
      </c>
      <c r="D55" s="75">
        <f t="shared" si="5"/>
        <v>0</v>
      </c>
      <c r="E55" s="75">
        <f t="shared" si="1"/>
        <v>0</v>
      </c>
      <c r="F55" s="75">
        <f t="shared" si="6"/>
        <v>0</v>
      </c>
      <c r="G55" s="75">
        <f t="shared" si="2"/>
        <v>0</v>
      </c>
      <c r="H55" s="75">
        <f t="shared" si="3"/>
        <v>0</v>
      </c>
      <c r="I55" s="77">
        <f t="shared" si="4"/>
        <v>0</v>
      </c>
    </row>
    <row r="56" spans="2:9">
      <c r="B56" s="78">
        <v>40118</v>
      </c>
      <c r="C56" s="75">
        <f t="shared" si="0"/>
        <v>0</v>
      </c>
      <c r="D56" s="75">
        <f t="shared" si="5"/>
        <v>0</v>
      </c>
      <c r="E56" s="75">
        <f t="shared" si="1"/>
        <v>0</v>
      </c>
      <c r="F56" s="75">
        <f t="shared" si="6"/>
        <v>0</v>
      </c>
      <c r="G56" s="75">
        <f t="shared" si="2"/>
        <v>0</v>
      </c>
      <c r="H56" s="75">
        <f t="shared" si="3"/>
        <v>0</v>
      </c>
      <c r="I56" s="77">
        <f t="shared" si="4"/>
        <v>0</v>
      </c>
    </row>
    <row r="57" spans="2:9">
      <c r="B57" s="78">
        <v>40148</v>
      </c>
      <c r="C57" s="75">
        <f t="shared" si="0"/>
        <v>0</v>
      </c>
      <c r="D57" s="75">
        <f t="shared" si="5"/>
        <v>0</v>
      </c>
      <c r="E57" s="75">
        <f t="shared" si="1"/>
        <v>0</v>
      </c>
      <c r="F57" s="75">
        <f t="shared" si="6"/>
        <v>0</v>
      </c>
      <c r="G57" s="75">
        <f t="shared" si="2"/>
        <v>0</v>
      </c>
      <c r="H57" s="75"/>
      <c r="I57" s="77"/>
    </row>
  </sheetData>
  <sheetProtection sheet="1" selectLockedCells="1"/>
  <mergeCells count="6">
    <mergeCell ref="A5:B5"/>
    <mergeCell ref="A6:B6"/>
    <mergeCell ref="A1:B1"/>
    <mergeCell ref="A2:B2"/>
    <mergeCell ref="A3:B3"/>
    <mergeCell ref="A4:B4"/>
  </mergeCells>
  <phoneticPr fontId="17" type="noConversion"/>
  <pageMargins left="0.78740157499999996" right="0.78740157499999996" top="0.984251969" bottom="0.984251969" header="0.4921259845" footer="0.4921259845"/>
  <pageSetup paperSize="9" scale="61" orientation="landscape" copies="6" r:id="rId1"/>
  <headerFooter alignWithMargins="0">
    <oddHeader>&amp;F</oddHead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Affectation</vt:lpstr>
      <vt:lpstr>Bilan</vt:lpstr>
      <vt:lpstr>Résultat</vt:lpstr>
      <vt:lpstr>Ventes </vt:lpstr>
      <vt:lpstr>Investissements</vt:lpstr>
      <vt:lpstr>Personnel</vt:lpstr>
      <vt:lpstr>Trésorerie AN 1</vt:lpstr>
      <vt:lpstr>Trésorerie AN 2</vt:lpstr>
      <vt:lpstr>Trésorerie AN 3</vt:lpstr>
      <vt:lpstr>Données emprunt</vt:lpstr>
      <vt:lpstr>Amortissement crédit</vt:lpstr>
      <vt:lpstr>Amortissement leasing</vt:lpstr>
      <vt:lpstr>Affectation!Zone_d_impression</vt:lpstr>
      <vt:lpstr>'Amortissement crédit'!Zone_d_impression</vt:lpstr>
      <vt:lpstr>'Amortissement leasing'!Zone_d_impression</vt:lpstr>
      <vt:lpstr>Bilan!Zone_d_impression</vt:lpstr>
      <vt:lpstr>'Données emprunt'!Zone_d_impression</vt:lpstr>
      <vt:lpstr>Investissements!Zone_d_impression</vt:lpstr>
      <vt:lpstr>Personnel!Zone_d_impression</vt:lpstr>
      <vt:lpstr>Résultat!Zone_d_impression</vt:lpstr>
      <vt:lpstr>'Trésorerie AN 1'!Zone_d_impression</vt:lpstr>
      <vt:lpstr>'Trésorerie AN 2'!Zone_d_impression</vt:lpstr>
      <vt:lpstr>'Trésorerie AN 3'!Zone_d_impression</vt:lpstr>
      <vt:lpstr>'Ventes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Financier SPRL</dc:title>
  <dc:creator>Ludovic Vanhecke</dc:creator>
  <cp:lastModifiedBy>Ludovic VANHECKE</cp:lastModifiedBy>
  <cp:lastPrinted>2005-06-02T12:38:53Z</cp:lastPrinted>
  <dcterms:created xsi:type="dcterms:W3CDTF">2000-09-04T14:33:30Z</dcterms:created>
  <dcterms:modified xsi:type="dcterms:W3CDTF">2023-11-13T12:04:42Z</dcterms:modified>
</cp:coreProperties>
</file>